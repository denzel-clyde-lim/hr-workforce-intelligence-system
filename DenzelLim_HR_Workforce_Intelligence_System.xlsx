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enzel-clyde/Documents/"/>
    </mc:Choice>
  </mc:AlternateContent>
  <xr:revisionPtr revIDLastSave="0" documentId="13_ncr:1_{8536554F-9C4C-6842-9A9E-1E95C22ACBDB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00_ReadMe" sheetId="1" r:id="rId1"/>
    <sheet name="01_Data_Dictionary" sheetId="2" r:id="rId2"/>
    <sheet name="02_Lookup_Lists" sheetId="3" r:id="rId3"/>
    <sheet name="03_Employee_Master" sheetId="4" r:id="rId4"/>
    <sheet name="04_Department_Position_Master" sheetId="5" r:id="rId5"/>
    <sheet name="05_Requisitions_MRF" sheetId="6" r:id="rId6"/>
    <sheet name="06_Recruitment_Pipeline" sheetId="7" r:id="rId7"/>
    <sheet name="07_Hiring_Costs" sheetId="8" r:id="rId8"/>
    <sheet name="08_Onboarding_Tracker" sheetId="9" r:id="rId9"/>
    <sheet name="09_Attrition_Tracker" sheetId="10" r:id="rId10"/>
    <sheet name="10_Productivity_Inputs" sheetId="11" r:id="rId11"/>
    <sheet name="11_Headcount_Snapshot" sheetId="12" r:id="rId12"/>
    <sheet name="12_Calculation_Layer" sheetId="13" r:id="rId13"/>
    <sheet name="13_Analysis_Summary" sheetId="14" r:id="rId14"/>
    <sheet name="14_Dashboard_HR_Ops" sheetId="15" r:id="rId15"/>
    <sheet name="15_Dashboard_Managerial" sheetId="16" r:id="rId16"/>
    <sheet name="16_Dashboard_Executive" sheetId="17" r:id="rId17"/>
    <sheet name="17_Change_Log" sheetId="18" r:id="rId18"/>
    <sheet name="18_QA_Checks" sheetId="19" r:id="rId19"/>
    <sheet name="19_SQL_Schema" sheetId="20" r:id="rId20"/>
    <sheet name="20_PowerBI_Model_Guide" sheetId="21" r:id="rId21"/>
    <sheet name="21_Portfolio_Case_Study" sheetId="22" r:id="rId22"/>
  </sheets>
  <definedNames>
    <definedName name="AttritionReasonCategories">tblAttritionReasonCategory[Attrition Reason Category]</definedName>
    <definedName name="AttritionReasons">tblAttritionReasons[Attrition Reasons]</definedName>
    <definedName name="AttritionTypes">tblAttritionTypes[Attrition Types]</definedName>
    <definedName name="CandidateSources">tblCandidateSources[Candidate Sources]</definedName>
    <definedName name="CostTypes">tblCostType[Cost Type]</definedName>
    <definedName name="Departments">tblDepartments[Departments]</definedName>
    <definedName name="EmployeeStatuses">tblEmployeeStatuses[Employee Statuses]</definedName>
    <definedName name="EmploymentTypes">tblEmploymentTypes[Employment Types]</definedName>
    <definedName name="HiringPriorities">tblHiringPriorities[Hiring Priorities]</definedName>
    <definedName name="JobFamilies">tblJobFamilies[Job Families]</definedName>
    <definedName name="OfferStatuses">tblOfferStatuses[Offer Statuses]</definedName>
    <definedName name="RecruitmentStages">tblRecruitmentStages[Recruitment Stages]</definedName>
    <definedName name="RequisitionStatuses">tblRequisitionStatuses[Requisition Statuses]</definedName>
    <definedName name="RiskCategories">tblRiskCategories[Risk Categories]</definedName>
    <definedName name="SLAStatuses">tblSLAStatuses[SLA Statuses]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9" l="1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N5" i="6"/>
  <c r="G13" i="12"/>
  <c r="S5" i="6"/>
  <c r="S6" i="6"/>
  <c r="S7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C18" i="19" a="1"/>
  <c r="C18" i="19" s="1"/>
  <c r="C13" i="19" a="1"/>
  <c r="C13" i="19" s="1"/>
  <c r="D13" i="19" s="1"/>
  <c r="C8" i="19"/>
  <c r="C7" i="19"/>
  <c r="C10" i="19"/>
  <c r="T5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T22" i="7"/>
  <c r="U22" i="7" s="1"/>
  <c r="T23" i="7"/>
  <c r="U23" i="7" s="1"/>
  <c r="T24" i="7"/>
  <c r="U24" i="7" s="1"/>
  <c r="T25" i="7"/>
  <c r="U25" i="7" s="1"/>
  <c r="T26" i="7"/>
  <c r="U26" i="7" s="1"/>
  <c r="T27" i="7"/>
  <c r="U27" i="7" s="1"/>
  <c r="T28" i="7"/>
  <c r="U28" i="7" s="1"/>
  <c r="T29" i="7"/>
  <c r="U29" i="7" s="1"/>
  <c r="T30" i="7"/>
  <c r="U30" i="7" s="1"/>
  <c r="T31" i="7"/>
  <c r="U31" i="7" s="1"/>
  <c r="T32" i="7"/>
  <c r="U32" i="7" s="1"/>
  <c r="T33" i="7"/>
  <c r="U33" i="7" s="1"/>
  <c r="T34" i="7"/>
  <c r="U34" i="7" s="1"/>
  <c r="T35" i="7"/>
  <c r="U35" i="7" s="1"/>
  <c r="T36" i="7"/>
  <c r="U36" i="7" s="1"/>
  <c r="T37" i="7"/>
  <c r="U37" i="7" s="1"/>
  <c r="T38" i="7"/>
  <c r="U38" i="7" s="1"/>
  <c r="T39" i="7"/>
  <c r="U39" i="7" s="1"/>
  <c r="T40" i="7"/>
  <c r="U40" i="7" s="1"/>
  <c r="T41" i="7"/>
  <c r="U41" i="7" s="1"/>
  <c r="T42" i="7"/>
  <c r="U42" i="7" s="1"/>
  <c r="T43" i="7"/>
  <c r="U43" i="7" s="1"/>
  <c r="T44" i="7"/>
  <c r="U44" i="7" s="1"/>
  <c r="T45" i="7"/>
  <c r="U45" i="7" s="1"/>
  <c r="T46" i="7"/>
  <c r="U46" i="7" s="1"/>
  <c r="T47" i="7"/>
  <c r="U47" i="7" s="1"/>
  <c r="T48" i="7"/>
  <c r="U48" i="7" s="1"/>
  <c r="T49" i="7"/>
  <c r="U49" i="7" s="1"/>
  <c r="T50" i="7"/>
  <c r="U50" i="7" s="1"/>
  <c r="T51" i="7"/>
  <c r="U51" i="7" s="1"/>
  <c r="T52" i="7"/>
  <c r="U52" i="7" s="1"/>
  <c r="T53" i="7"/>
  <c r="U53" i="7" s="1"/>
  <c r="T54" i="7"/>
  <c r="U54" i="7" s="1"/>
  <c r="T55" i="7"/>
  <c r="U55" i="7" s="1"/>
  <c r="T56" i="7"/>
  <c r="U56" i="7" s="1"/>
  <c r="T57" i="7"/>
  <c r="U57" i="7" s="1"/>
  <c r="T58" i="7"/>
  <c r="U58" i="7" s="1"/>
  <c r="T59" i="7"/>
  <c r="U59" i="7" s="1"/>
  <c r="T60" i="7"/>
  <c r="U60" i="7" s="1"/>
  <c r="T61" i="7"/>
  <c r="U61" i="7" s="1"/>
  <c r="T62" i="7"/>
  <c r="U62" i="7" s="1"/>
  <c r="T63" i="7"/>
  <c r="U63" i="7" s="1"/>
  <c r="T64" i="7"/>
  <c r="U64" i="7" s="1"/>
  <c r="T65" i="7"/>
  <c r="U65" i="7" s="1"/>
  <c r="T66" i="7"/>
  <c r="U66" i="7" s="1"/>
  <c r="T67" i="7"/>
  <c r="U67" i="7" s="1"/>
  <c r="T68" i="7"/>
  <c r="U68" i="7" s="1"/>
  <c r="T69" i="7"/>
  <c r="U69" i="7" s="1"/>
  <c r="T70" i="7"/>
  <c r="U70" i="7" s="1"/>
  <c r="T71" i="7"/>
  <c r="U71" i="7" s="1"/>
  <c r="T72" i="7"/>
  <c r="U72" i="7" s="1"/>
  <c r="T73" i="7"/>
  <c r="U73" i="7" s="1"/>
  <c r="T74" i="7"/>
  <c r="U74" i="7" s="1"/>
  <c r="T75" i="7"/>
  <c r="U75" i="7" s="1"/>
  <c r="T76" i="7"/>
  <c r="U76" i="7" s="1"/>
  <c r="T77" i="7"/>
  <c r="U77" i="7" s="1"/>
  <c r="T78" i="7"/>
  <c r="U78" i="7" s="1"/>
  <c r="T79" i="7"/>
  <c r="U79" i="7" s="1"/>
  <c r="T80" i="7"/>
  <c r="U80" i="7" s="1"/>
  <c r="T81" i="7"/>
  <c r="U81" i="7" s="1"/>
  <c r="T82" i="7"/>
  <c r="U82" i="7" s="1"/>
  <c r="T83" i="7"/>
  <c r="U83" i="7" s="1"/>
  <c r="T84" i="7"/>
  <c r="U84" i="7" s="1"/>
  <c r="T85" i="7"/>
  <c r="U85" i="7" s="1"/>
  <c r="T86" i="7"/>
  <c r="U86" i="7" s="1"/>
  <c r="T87" i="7"/>
  <c r="U87" i="7" s="1"/>
  <c r="T88" i="7"/>
  <c r="U88" i="7" s="1"/>
  <c r="T89" i="7"/>
  <c r="U89" i="7" s="1"/>
  <c r="T90" i="7"/>
  <c r="U90" i="7" s="1"/>
  <c r="T91" i="7"/>
  <c r="U91" i="7" s="1"/>
  <c r="T92" i="7"/>
  <c r="U92" i="7" s="1"/>
  <c r="T93" i="7"/>
  <c r="U93" i="7" s="1"/>
  <c r="T94" i="7"/>
  <c r="U94" i="7" s="1"/>
  <c r="T95" i="7"/>
  <c r="U95" i="7" s="1"/>
  <c r="T96" i="7"/>
  <c r="U96" i="7" s="1"/>
  <c r="T97" i="7"/>
  <c r="U97" i="7" s="1"/>
  <c r="T98" i="7"/>
  <c r="U98" i="7" s="1"/>
  <c r="T99" i="7"/>
  <c r="U99" i="7" s="1"/>
  <c r="T100" i="7"/>
  <c r="U100" i="7" s="1"/>
  <c r="T101" i="7"/>
  <c r="U101" i="7" s="1"/>
  <c r="T102" i="7"/>
  <c r="U102" i="7" s="1"/>
  <c r="T103" i="7"/>
  <c r="U103" i="7" s="1"/>
  <c r="T104" i="7"/>
  <c r="U104" i="7" s="1"/>
  <c r="T105" i="7"/>
  <c r="U105" i="7" s="1"/>
  <c r="T106" i="7"/>
  <c r="U106" i="7" s="1"/>
  <c r="T107" i="7"/>
  <c r="U107" i="7" s="1"/>
  <c r="T108" i="7"/>
  <c r="U108" i="7" s="1"/>
  <c r="T109" i="7"/>
  <c r="U109" i="7" s="1"/>
  <c r="T110" i="7"/>
  <c r="U110" i="7" s="1"/>
  <c r="T111" i="7"/>
  <c r="U111" i="7" s="1"/>
  <c r="T112" i="7"/>
  <c r="U112" i="7" s="1"/>
  <c r="T113" i="7"/>
  <c r="U113" i="7" s="1"/>
  <c r="T114" i="7"/>
  <c r="U114" i="7" s="1"/>
  <c r="T115" i="7"/>
  <c r="U115" i="7" s="1"/>
  <c r="T116" i="7"/>
  <c r="U116" i="7" s="1"/>
  <c r="T117" i="7"/>
  <c r="U117" i="7" s="1"/>
  <c r="T118" i="7"/>
  <c r="U118" i="7" s="1"/>
  <c r="T119" i="7"/>
  <c r="U119" i="7" s="1"/>
  <c r="T120" i="7"/>
  <c r="U120" i="7" s="1"/>
  <c r="T121" i="7"/>
  <c r="U121" i="7" s="1"/>
  <c r="T122" i="7"/>
  <c r="U122" i="7" s="1"/>
  <c r="T123" i="7"/>
  <c r="U123" i="7" s="1"/>
  <c r="T124" i="7"/>
  <c r="U124" i="7" s="1"/>
  <c r="T125" i="7"/>
  <c r="U125" i="7" s="1"/>
  <c r="T126" i="7"/>
  <c r="U126" i="7" s="1"/>
  <c r="T127" i="7"/>
  <c r="U127" i="7" s="1"/>
  <c r="T128" i="7"/>
  <c r="U128" i="7" s="1"/>
  <c r="T129" i="7"/>
  <c r="U129" i="7" s="1"/>
  <c r="T130" i="7"/>
  <c r="U130" i="7" s="1"/>
  <c r="T131" i="7"/>
  <c r="U131" i="7" s="1"/>
  <c r="T132" i="7"/>
  <c r="U132" i="7" s="1"/>
  <c r="T133" i="7"/>
  <c r="U133" i="7" s="1"/>
  <c r="T134" i="7"/>
  <c r="U134" i="7" s="1"/>
  <c r="T135" i="7"/>
  <c r="U135" i="7" s="1"/>
  <c r="T136" i="7"/>
  <c r="U136" i="7" s="1"/>
  <c r="T137" i="7"/>
  <c r="U137" i="7" s="1"/>
  <c r="T138" i="7"/>
  <c r="U138" i="7" s="1"/>
  <c r="T139" i="7"/>
  <c r="U139" i="7" s="1"/>
  <c r="T140" i="7"/>
  <c r="U140" i="7" s="1"/>
  <c r="T141" i="7"/>
  <c r="U141" i="7" s="1"/>
  <c r="T142" i="7"/>
  <c r="U142" i="7" s="1"/>
  <c r="T143" i="7"/>
  <c r="U143" i="7" s="1"/>
  <c r="T144" i="7"/>
  <c r="U144" i="7" s="1"/>
  <c r="T145" i="7"/>
  <c r="U145" i="7" s="1"/>
  <c r="T146" i="7"/>
  <c r="U146" i="7" s="1"/>
  <c r="T147" i="7"/>
  <c r="U147" i="7" s="1"/>
  <c r="T148" i="7"/>
  <c r="U148" i="7" s="1"/>
  <c r="T149" i="7"/>
  <c r="U149" i="7" s="1"/>
  <c r="T150" i="7"/>
  <c r="U150" i="7" s="1"/>
  <c r="T151" i="7"/>
  <c r="U151" i="7" s="1"/>
  <c r="T152" i="7"/>
  <c r="U152" i="7" s="1"/>
  <c r="T153" i="7"/>
  <c r="U153" i="7" s="1"/>
  <c r="T154" i="7"/>
  <c r="U154" i="7" s="1"/>
  <c r="T155" i="7"/>
  <c r="U155" i="7" s="1"/>
  <c r="T156" i="7"/>
  <c r="U156" i="7" s="1"/>
  <c r="T157" i="7"/>
  <c r="U157" i="7" s="1"/>
  <c r="T158" i="7"/>
  <c r="U158" i="7" s="1"/>
  <c r="T159" i="7"/>
  <c r="U159" i="7" s="1"/>
  <c r="T160" i="7"/>
  <c r="U160" i="7" s="1"/>
  <c r="T161" i="7"/>
  <c r="U161" i="7" s="1"/>
  <c r="T162" i="7"/>
  <c r="U162" i="7" s="1"/>
  <c r="T163" i="7"/>
  <c r="U163" i="7" s="1"/>
  <c r="T164" i="7"/>
  <c r="U164" i="7" s="1"/>
  <c r="T165" i="7"/>
  <c r="U165" i="7" s="1"/>
  <c r="T166" i="7"/>
  <c r="U166" i="7" s="1"/>
  <c r="T167" i="7"/>
  <c r="U167" i="7" s="1"/>
  <c r="T168" i="7"/>
  <c r="U168" i="7" s="1"/>
  <c r="T169" i="7"/>
  <c r="U169" i="7" s="1"/>
  <c r="T170" i="7"/>
  <c r="U170" i="7" s="1"/>
  <c r="T171" i="7"/>
  <c r="U171" i="7" s="1"/>
  <c r="T172" i="7"/>
  <c r="U172" i="7" s="1"/>
  <c r="T173" i="7"/>
  <c r="U173" i="7" s="1"/>
  <c r="T174" i="7"/>
  <c r="U174" i="7" s="1"/>
  <c r="T175" i="7"/>
  <c r="U175" i="7" s="1"/>
  <c r="T176" i="7"/>
  <c r="U176" i="7" s="1"/>
  <c r="T177" i="7"/>
  <c r="U177" i="7" s="1"/>
  <c r="T178" i="7"/>
  <c r="U178" i="7" s="1"/>
  <c r="T179" i="7"/>
  <c r="U179" i="7" s="1"/>
  <c r="T180" i="7"/>
  <c r="U180" i="7" s="1"/>
  <c r="T181" i="7"/>
  <c r="U181" i="7" s="1"/>
  <c r="T182" i="7"/>
  <c r="U182" i="7" s="1"/>
  <c r="T183" i="7"/>
  <c r="U183" i="7" s="1"/>
  <c r="T184" i="7"/>
  <c r="U184" i="7" s="1"/>
  <c r="T185" i="7"/>
  <c r="U185" i="7" s="1"/>
  <c r="T186" i="7"/>
  <c r="U186" i="7" s="1"/>
  <c r="T187" i="7"/>
  <c r="U187" i="7" s="1"/>
  <c r="T188" i="7"/>
  <c r="U188" i="7" s="1"/>
  <c r="T189" i="7"/>
  <c r="U189" i="7" s="1"/>
  <c r="T190" i="7"/>
  <c r="U190" i="7" s="1"/>
  <c r="T191" i="7"/>
  <c r="U191" i="7" s="1"/>
  <c r="T192" i="7"/>
  <c r="U192" i="7" s="1"/>
  <c r="T193" i="7"/>
  <c r="U193" i="7" s="1"/>
  <c r="T194" i="7"/>
  <c r="U194" i="7" s="1"/>
  <c r="T195" i="7"/>
  <c r="U195" i="7" s="1"/>
  <c r="T196" i="7"/>
  <c r="U196" i="7" s="1"/>
  <c r="T197" i="7"/>
  <c r="U197" i="7" s="1"/>
  <c r="T198" i="7"/>
  <c r="U198" i="7" s="1"/>
  <c r="T199" i="7"/>
  <c r="U199" i="7" s="1"/>
  <c r="T200" i="7"/>
  <c r="U200" i="7" s="1"/>
  <c r="T201" i="7"/>
  <c r="U201" i="7" s="1"/>
  <c r="T202" i="7"/>
  <c r="U202" i="7" s="1"/>
  <c r="T203" i="7"/>
  <c r="U203" i="7" s="1"/>
  <c r="T204" i="7"/>
  <c r="U204" i="7" s="1"/>
  <c r="T205" i="7"/>
  <c r="U205" i="7" s="1"/>
  <c r="T206" i="7"/>
  <c r="U206" i="7" s="1"/>
  <c r="T207" i="7"/>
  <c r="U207" i="7" s="1"/>
  <c r="T208" i="7"/>
  <c r="U208" i="7" s="1"/>
  <c r="T209" i="7"/>
  <c r="U209" i="7" s="1"/>
  <c r="T210" i="7"/>
  <c r="U210" i="7" s="1"/>
  <c r="T211" i="7"/>
  <c r="U211" i="7" s="1"/>
  <c r="T212" i="7"/>
  <c r="U212" i="7" s="1"/>
  <c r="T213" i="7"/>
  <c r="U213" i="7" s="1"/>
  <c r="T214" i="7"/>
  <c r="U214" i="7" s="1"/>
  <c r="T215" i="7"/>
  <c r="U215" i="7" s="1"/>
  <c r="T216" i="7"/>
  <c r="U216" i="7" s="1"/>
  <c r="T217" i="7"/>
  <c r="U217" i="7" s="1"/>
  <c r="T218" i="7"/>
  <c r="U218" i="7" s="1"/>
  <c r="T219" i="7"/>
  <c r="U219" i="7" s="1"/>
  <c r="T220" i="7"/>
  <c r="U220" i="7" s="1"/>
  <c r="T221" i="7"/>
  <c r="U221" i="7" s="1"/>
  <c r="T222" i="7"/>
  <c r="U222" i="7" s="1"/>
  <c r="T223" i="7"/>
  <c r="U223" i="7" s="1"/>
  <c r="T224" i="7"/>
  <c r="U224" i="7" s="1"/>
  <c r="T225" i="7"/>
  <c r="U225" i="7" s="1"/>
  <c r="T226" i="7"/>
  <c r="U226" i="7" s="1"/>
  <c r="T227" i="7"/>
  <c r="U227" i="7" s="1"/>
  <c r="T228" i="7"/>
  <c r="U228" i="7" s="1"/>
  <c r="T229" i="7"/>
  <c r="U229" i="7" s="1"/>
  <c r="T230" i="7"/>
  <c r="U230" i="7" s="1"/>
  <c r="T231" i="7"/>
  <c r="U231" i="7" s="1"/>
  <c r="T232" i="7"/>
  <c r="U232" i="7" s="1"/>
  <c r="T233" i="7"/>
  <c r="U233" i="7" s="1"/>
  <c r="T234" i="7"/>
  <c r="U234" i="7" s="1"/>
  <c r="T235" i="7"/>
  <c r="U235" i="7" s="1"/>
  <c r="T236" i="7"/>
  <c r="U236" i="7" s="1"/>
  <c r="T237" i="7"/>
  <c r="U237" i="7" s="1"/>
  <c r="T238" i="7"/>
  <c r="U238" i="7" s="1"/>
  <c r="T239" i="7"/>
  <c r="U239" i="7" s="1"/>
  <c r="T240" i="7"/>
  <c r="U240" i="7" s="1"/>
  <c r="T241" i="7"/>
  <c r="U241" i="7" s="1"/>
  <c r="T242" i="7"/>
  <c r="U242" i="7" s="1"/>
  <c r="T243" i="7"/>
  <c r="U243" i="7" s="1"/>
  <c r="T244" i="7"/>
  <c r="U244" i="7" s="1"/>
  <c r="T245" i="7"/>
  <c r="U245" i="7" s="1"/>
  <c r="T246" i="7"/>
  <c r="U246" i="7" s="1"/>
  <c r="T247" i="7"/>
  <c r="U247" i="7" s="1"/>
  <c r="T248" i="7"/>
  <c r="U248" i="7" s="1"/>
  <c r="T249" i="7"/>
  <c r="U249" i="7" s="1"/>
  <c r="T250" i="7"/>
  <c r="U250" i="7" s="1"/>
  <c r="T251" i="7"/>
  <c r="U251" i="7" s="1"/>
  <c r="T252" i="7"/>
  <c r="U252" i="7" s="1"/>
  <c r="T253" i="7"/>
  <c r="U253" i="7" s="1"/>
  <c r="T254" i="7"/>
  <c r="U254" i="7" s="1"/>
  <c r="T255" i="7"/>
  <c r="U255" i="7" s="1"/>
  <c r="T256" i="7"/>
  <c r="U256" i="7" s="1"/>
  <c r="T257" i="7"/>
  <c r="U257" i="7" s="1"/>
  <c r="T258" i="7"/>
  <c r="U258" i="7" s="1"/>
  <c r="T259" i="7"/>
  <c r="U259" i="7" s="1"/>
  <c r="T260" i="7"/>
  <c r="U260" i="7" s="1"/>
  <c r="T261" i="7"/>
  <c r="U261" i="7" s="1"/>
  <c r="T262" i="7"/>
  <c r="U262" i="7" s="1"/>
  <c r="T263" i="7"/>
  <c r="U263" i="7" s="1"/>
  <c r="T264" i="7"/>
  <c r="U264" i="7" s="1"/>
  <c r="T265" i="7"/>
  <c r="U265" i="7" s="1"/>
  <c r="T266" i="7"/>
  <c r="U266" i="7" s="1"/>
  <c r="T267" i="7"/>
  <c r="U267" i="7" s="1"/>
  <c r="T268" i="7"/>
  <c r="U268" i="7" s="1"/>
  <c r="T269" i="7"/>
  <c r="U269" i="7" s="1"/>
  <c r="T270" i="7"/>
  <c r="U270" i="7" s="1"/>
  <c r="T271" i="7"/>
  <c r="U271" i="7" s="1"/>
  <c r="T272" i="7"/>
  <c r="U272" i="7" s="1"/>
  <c r="T273" i="7"/>
  <c r="U273" i="7" s="1"/>
  <c r="T274" i="7"/>
  <c r="U274" i="7" s="1"/>
  <c r="T275" i="7"/>
  <c r="U275" i="7" s="1"/>
  <c r="T276" i="7"/>
  <c r="U276" i="7" s="1"/>
  <c r="T277" i="7"/>
  <c r="U277" i="7" s="1"/>
  <c r="T278" i="7"/>
  <c r="U278" i="7" s="1"/>
  <c r="T279" i="7"/>
  <c r="U279" i="7" s="1"/>
  <c r="T280" i="7"/>
  <c r="U280" i="7" s="1"/>
  <c r="T281" i="7"/>
  <c r="U281" i="7" s="1"/>
  <c r="T282" i="7"/>
  <c r="U282" i="7" s="1"/>
  <c r="T283" i="7"/>
  <c r="U283" i="7" s="1"/>
  <c r="T284" i="7"/>
  <c r="U284" i="7" s="1"/>
  <c r="T285" i="7"/>
  <c r="U285" i="7" s="1"/>
  <c r="T286" i="7"/>
  <c r="U286" i="7" s="1"/>
  <c r="T287" i="7"/>
  <c r="U287" i="7" s="1"/>
  <c r="T288" i="7"/>
  <c r="U288" i="7" s="1"/>
  <c r="T289" i="7"/>
  <c r="U289" i="7" s="1"/>
  <c r="T290" i="7"/>
  <c r="U290" i="7" s="1"/>
  <c r="T291" i="7"/>
  <c r="U291" i="7" s="1"/>
  <c r="T292" i="7"/>
  <c r="U292" i="7" s="1"/>
  <c r="T293" i="7"/>
  <c r="U293" i="7" s="1"/>
  <c r="T294" i="7"/>
  <c r="U294" i="7" s="1"/>
  <c r="T295" i="7"/>
  <c r="U295" i="7" s="1"/>
  <c r="T296" i="7"/>
  <c r="U296" i="7" s="1"/>
  <c r="T297" i="7"/>
  <c r="U297" i="7" s="1"/>
  <c r="T298" i="7"/>
  <c r="U298" i="7" s="1"/>
  <c r="T299" i="7"/>
  <c r="U299" i="7" s="1"/>
  <c r="T300" i="7"/>
  <c r="U300" i="7" s="1"/>
  <c r="T301" i="7"/>
  <c r="U301" i="7" s="1"/>
  <c r="T302" i="7"/>
  <c r="U302" i="7" s="1"/>
  <c r="T303" i="7"/>
  <c r="U303" i="7" s="1"/>
  <c r="T304" i="7"/>
  <c r="U304" i="7" s="1"/>
  <c r="T305" i="7"/>
  <c r="U305" i="7" s="1"/>
  <c r="T306" i="7"/>
  <c r="U306" i="7" s="1"/>
  <c r="T307" i="7"/>
  <c r="U307" i="7" s="1"/>
  <c r="T308" i="7"/>
  <c r="U308" i="7" s="1"/>
  <c r="T309" i="7"/>
  <c r="U309" i="7" s="1"/>
  <c r="T310" i="7"/>
  <c r="U310" i="7" s="1"/>
  <c r="T311" i="7"/>
  <c r="U311" i="7" s="1"/>
  <c r="T312" i="7"/>
  <c r="U312" i="7" s="1"/>
  <c r="T313" i="7"/>
  <c r="U313" i="7" s="1"/>
  <c r="T314" i="7"/>
  <c r="U314" i="7" s="1"/>
  <c r="T315" i="7"/>
  <c r="U315" i="7" s="1"/>
  <c r="T316" i="7"/>
  <c r="U316" i="7" s="1"/>
  <c r="T317" i="7"/>
  <c r="U317" i="7" s="1"/>
  <c r="T318" i="7"/>
  <c r="U318" i="7" s="1"/>
  <c r="T319" i="7"/>
  <c r="U319" i="7" s="1"/>
  <c r="T320" i="7"/>
  <c r="U320" i="7" s="1"/>
  <c r="T321" i="7"/>
  <c r="U321" i="7" s="1"/>
  <c r="T322" i="7"/>
  <c r="U322" i="7" s="1"/>
  <c r="T323" i="7"/>
  <c r="U323" i="7" s="1"/>
  <c r="T324" i="7"/>
  <c r="U324" i="7" s="1"/>
  <c r="T325" i="7"/>
  <c r="U325" i="7" s="1"/>
  <c r="T326" i="7"/>
  <c r="U326" i="7" s="1"/>
  <c r="T327" i="7"/>
  <c r="U327" i="7" s="1"/>
  <c r="T328" i="7"/>
  <c r="U328" i="7" s="1"/>
  <c r="T329" i="7"/>
  <c r="U329" i="7" s="1"/>
  <c r="T330" i="7"/>
  <c r="U330" i="7" s="1"/>
  <c r="T331" i="7"/>
  <c r="U331" i="7" s="1"/>
  <c r="T332" i="7"/>
  <c r="U332" i="7" s="1"/>
  <c r="T333" i="7"/>
  <c r="U333" i="7" s="1"/>
  <c r="T334" i="7"/>
  <c r="U334" i="7" s="1"/>
  <c r="T335" i="7"/>
  <c r="U335" i="7" s="1"/>
  <c r="T336" i="7"/>
  <c r="U336" i="7" s="1"/>
  <c r="T337" i="7"/>
  <c r="U337" i="7" s="1"/>
  <c r="T338" i="7"/>
  <c r="U338" i="7" s="1"/>
  <c r="T339" i="7"/>
  <c r="U339" i="7" s="1"/>
  <c r="T340" i="7"/>
  <c r="U340" i="7" s="1"/>
  <c r="T341" i="7"/>
  <c r="U341" i="7" s="1"/>
  <c r="T342" i="7"/>
  <c r="U342" i="7" s="1"/>
  <c r="T343" i="7"/>
  <c r="U343" i="7" s="1"/>
  <c r="T344" i="7"/>
  <c r="U344" i="7" s="1"/>
  <c r="T345" i="7"/>
  <c r="U345" i="7" s="1"/>
  <c r="T346" i="7"/>
  <c r="U346" i="7" s="1"/>
  <c r="T347" i="7"/>
  <c r="U347" i="7" s="1"/>
  <c r="T348" i="7"/>
  <c r="U348" i="7" s="1"/>
  <c r="T349" i="7"/>
  <c r="U349" i="7" s="1"/>
  <c r="T350" i="7"/>
  <c r="U350" i="7" s="1"/>
  <c r="T351" i="7"/>
  <c r="U351" i="7" s="1"/>
  <c r="T352" i="7"/>
  <c r="U352" i="7" s="1"/>
  <c r="T353" i="7"/>
  <c r="U353" i="7" s="1"/>
  <c r="T354" i="7"/>
  <c r="U354" i="7" s="1"/>
  <c r="T355" i="7"/>
  <c r="U355" i="7" s="1"/>
  <c r="T356" i="7"/>
  <c r="U356" i="7" s="1"/>
  <c r="T357" i="7"/>
  <c r="U357" i="7" s="1"/>
  <c r="T358" i="7"/>
  <c r="U358" i="7" s="1"/>
  <c r="T359" i="7"/>
  <c r="U359" i="7" s="1"/>
  <c r="T360" i="7"/>
  <c r="U360" i="7" s="1"/>
  <c r="T361" i="7"/>
  <c r="U361" i="7" s="1"/>
  <c r="T362" i="7"/>
  <c r="U362" i="7" s="1"/>
  <c r="T363" i="7"/>
  <c r="U363" i="7" s="1"/>
  <c r="T364" i="7"/>
  <c r="U364" i="7" s="1"/>
  <c r="T365" i="7"/>
  <c r="U365" i="7" s="1"/>
  <c r="T366" i="7"/>
  <c r="U366" i="7" s="1"/>
  <c r="T367" i="7"/>
  <c r="U367" i="7" s="1"/>
  <c r="T368" i="7"/>
  <c r="U368" i="7" s="1"/>
  <c r="T369" i="7"/>
  <c r="U369" i="7" s="1"/>
  <c r="T370" i="7"/>
  <c r="U370" i="7" s="1"/>
  <c r="T371" i="7"/>
  <c r="U371" i="7" s="1"/>
  <c r="T372" i="7"/>
  <c r="U372" i="7" s="1"/>
  <c r="T373" i="7"/>
  <c r="U373" i="7" s="1"/>
  <c r="T374" i="7"/>
  <c r="U374" i="7" s="1"/>
  <c r="T375" i="7"/>
  <c r="U375" i="7" s="1"/>
  <c r="T376" i="7"/>
  <c r="U376" i="7" s="1"/>
  <c r="T377" i="7"/>
  <c r="U377" i="7" s="1"/>
  <c r="T378" i="7"/>
  <c r="U378" i="7" s="1"/>
  <c r="T379" i="7"/>
  <c r="U379" i="7" s="1"/>
  <c r="T380" i="7"/>
  <c r="U380" i="7" s="1"/>
  <c r="T381" i="7"/>
  <c r="U381" i="7" s="1"/>
  <c r="T382" i="7"/>
  <c r="U382" i="7" s="1"/>
  <c r="T383" i="7"/>
  <c r="U383" i="7" s="1"/>
  <c r="T384" i="7"/>
  <c r="U384" i="7" s="1"/>
  <c r="T385" i="7"/>
  <c r="U385" i="7" s="1"/>
  <c r="T386" i="7"/>
  <c r="U386" i="7" s="1"/>
  <c r="T387" i="7"/>
  <c r="U387" i="7" s="1"/>
  <c r="T388" i="7"/>
  <c r="U388" i="7" s="1"/>
  <c r="T389" i="7"/>
  <c r="U389" i="7" s="1"/>
  <c r="T390" i="7"/>
  <c r="U390" i="7" s="1"/>
  <c r="T391" i="7"/>
  <c r="U391" i="7" s="1"/>
  <c r="T392" i="7"/>
  <c r="U392" i="7" s="1"/>
  <c r="T393" i="7"/>
  <c r="U393" i="7" s="1"/>
  <c r="T394" i="7"/>
  <c r="U394" i="7" s="1"/>
  <c r="T395" i="7"/>
  <c r="U395" i="7" s="1"/>
  <c r="T396" i="7"/>
  <c r="U396" i="7" s="1"/>
  <c r="T397" i="7"/>
  <c r="U397" i="7" s="1"/>
  <c r="T398" i="7"/>
  <c r="U398" i="7" s="1"/>
  <c r="T399" i="7"/>
  <c r="U399" i="7" s="1"/>
  <c r="T400" i="7"/>
  <c r="U400" i="7" s="1"/>
  <c r="T401" i="7"/>
  <c r="U401" i="7" s="1"/>
  <c r="T402" i="7"/>
  <c r="U402" i="7" s="1"/>
  <c r="T403" i="7"/>
  <c r="U403" i="7" s="1"/>
  <c r="T404" i="7"/>
  <c r="U404" i="7" s="1"/>
  <c r="T405" i="7"/>
  <c r="U405" i="7" s="1"/>
  <c r="T406" i="7"/>
  <c r="U406" i="7" s="1"/>
  <c r="T407" i="7"/>
  <c r="U407" i="7" s="1"/>
  <c r="T408" i="7"/>
  <c r="U408" i="7" s="1"/>
  <c r="T409" i="7"/>
  <c r="U409" i="7" s="1"/>
  <c r="T410" i="7"/>
  <c r="U410" i="7" s="1"/>
  <c r="T411" i="7"/>
  <c r="U411" i="7" s="1"/>
  <c r="T412" i="7"/>
  <c r="U412" i="7" s="1"/>
  <c r="T413" i="7"/>
  <c r="U413" i="7" s="1"/>
  <c r="T414" i="7"/>
  <c r="U414" i="7" s="1"/>
  <c r="T415" i="7"/>
  <c r="U415" i="7" s="1"/>
  <c r="T416" i="7"/>
  <c r="U416" i="7" s="1"/>
  <c r="T417" i="7"/>
  <c r="U417" i="7" s="1"/>
  <c r="T418" i="7"/>
  <c r="U418" i="7" s="1"/>
  <c r="T419" i="7"/>
  <c r="U419" i="7" s="1"/>
  <c r="T420" i="7"/>
  <c r="U420" i="7" s="1"/>
  <c r="T421" i="7"/>
  <c r="U421" i="7" s="1"/>
  <c r="T422" i="7"/>
  <c r="U422" i="7" s="1"/>
  <c r="T423" i="7"/>
  <c r="U423" i="7" s="1"/>
  <c r="T424" i="7"/>
  <c r="U424" i="7" s="1"/>
  <c r="T425" i="7"/>
  <c r="U425" i="7" s="1"/>
  <c r="T426" i="7"/>
  <c r="U426" i="7" s="1"/>
  <c r="T427" i="7"/>
  <c r="U427" i="7" s="1"/>
  <c r="T428" i="7"/>
  <c r="U428" i="7" s="1"/>
  <c r="T429" i="7"/>
  <c r="U429" i="7" s="1"/>
  <c r="T430" i="7"/>
  <c r="U430" i="7" s="1"/>
  <c r="T431" i="7"/>
  <c r="U431" i="7" s="1"/>
  <c r="T432" i="7"/>
  <c r="U432" i="7" s="1"/>
  <c r="T433" i="7"/>
  <c r="U433" i="7" s="1"/>
  <c r="T434" i="7"/>
  <c r="U434" i="7" s="1"/>
  <c r="T435" i="7"/>
  <c r="U435" i="7" s="1"/>
  <c r="T436" i="7"/>
  <c r="U436" i="7" s="1"/>
  <c r="T437" i="7"/>
  <c r="U437" i="7" s="1"/>
  <c r="T438" i="7"/>
  <c r="U438" i="7" s="1"/>
  <c r="T439" i="7"/>
  <c r="U439" i="7" s="1"/>
  <c r="T440" i="7"/>
  <c r="U440" i="7" s="1"/>
  <c r="T441" i="7"/>
  <c r="U441" i="7" s="1"/>
  <c r="T442" i="7"/>
  <c r="U442" i="7" s="1"/>
  <c r="T443" i="7"/>
  <c r="U443" i="7" s="1"/>
  <c r="T444" i="7"/>
  <c r="U444" i="7" s="1"/>
  <c r="T445" i="7"/>
  <c r="U445" i="7" s="1"/>
  <c r="T446" i="7"/>
  <c r="U446" i="7" s="1"/>
  <c r="T447" i="7"/>
  <c r="U447" i="7" s="1"/>
  <c r="T448" i="7"/>
  <c r="U448" i="7" s="1"/>
  <c r="T449" i="7"/>
  <c r="U449" i="7" s="1"/>
  <c r="T450" i="7"/>
  <c r="U450" i="7" s="1"/>
  <c r="T451" i="7"/>
  <c r="U451" i="7" s="1"/>
  <c r="T452" i="7"/>
  <c r="U452" i="7" s="1"/>
  <c r="T453" i="7"/>
  <c r="U453" i="7" s="1"/>
  <c r="T454" i="7"/>
  <c r="U454" i="7" s="1"/>
  <c r="T455" i="7"/>
  <c r="U455" i="7" s="1"/>
  <c r="T456" i="7"/>
  <c r="U456" i="7" s="1"/>
  <c r="T457" i="7"/>
  <c r="U457" i="7" s="1"/>
  <c r="T458" i="7"/>
  <c r="U458" i="7" s="1"/>
  <c r="T459" i="7"/>
  <c r="U459" i="7" s="1"/>
  <c r="T460" i="7"/>
  <c r="U460" i="7" s="1"/>
  <c r="T461" i="7"/>
  <c r="U461" i="7" s="1"/>
  <c r="T462" i="7"/>
  <c r="U462" i="7" s="1"/>
  <c r="T463" i="7"/>
  <c r="U463" i="7" s="1"/>
  <c r="T464" i="7"/>
  <c r="U464" i="7" s="1"/>
  <c r="T465" i="7"/>
  <c r="U465" i="7" s="1"/>
  <c r="T466" i="7"/>
  <c r="U466" i="7" s="1"/>
  <c r="T467" i="7"/>
  <c r="U467" i="7" s="1"/>
  <c r="T468" i="7"/>
  <c r="U468" i="7" s="1"/>
  <c r="T469" i="7"/>
  <c r="U469" i="7" s="1"/>
  <c r="T470" i="7"/>
  <c r="U470" i="7" s="1"/>
  <c r="T471" i="7"/>
  <c r="U471" i="7" s="1"/>
  <c r="T472" i="7"/>
  <c r="U472" i="7" s="1"/>
  <c r="T473" i="7"/>
  <c r="U473" i="7" s="1"/>
  <c r="T474" i="7"/>
  <c r="U474" i="7" s="1"/>
  <c r="T475" i="7"/>
  <c r="U475" i="7" s="1"/>
  <c r="T476" i="7"/>
  <c r="U476" i="7" s="1"/>
  <c r="T477" i="7"/>
  <c r="U477" i="7" s="1"/>
  <c r="T478" i="7"/>
  <c r="U478" i="7" s="1"/>
  <c r="T479" i="7"/>
  <c r="U479" i="7" s="1"/>
  <c r="T480" i="7"/>
  <c r="U480" i="7" s="1"/>
  <c r="T481" i="7"/>
  <c r="U481" i="7" s="1"/>
  <c r="U5" i="7" l="1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R5" i="9"/>
  <c r="W8" i="6"/>
  <c r="W9" i="6"/>
  <c r="W10" i="6"/>
  <c r="W11" i="6"/>
  <c r="W54" i="6"/>
  <c r="W46" i="6"/>
  <c r="W47" i="6"/>
  <c r="W12" i="6"/>
  <c r="W13" i="6"/>
  <c r="W14" i="6"/>
  <c r="W48" i="6"/>
  <c r="W55" i="6"/>
  <c r="W56" i="6"/>
  <c r="W15" i="6"/>
  <c r="W16" i="6"/>
  <c r="W57" i="6"/>
  <c r="W58" i="6"/>
  <c r="W17" i="6"/>
  <c r="W18" i="6"/>
  <c r="W19" i="6"/>
  <c r="W59" i="6"/>
  <c r="W20" i="6"/>
  <c r="W60" i="6"/>
  <c r="W21" i="6"/>
  <c r="W22" i="6"/>
  <c r="W23" i="6"/>
  <c r="W61" i="6"/>
  <c r="W24" i="6"/>
  <c r="W25" i="6"/>
  <c r="W26" i="6"/>
  <c r="W27" i="6"/>
  <c r="W62" i="6"/>
  <c r="W28" i="6"/>
  <c r="W49" i="6"/>
  <c r="W63" i="6"/>
  <c r="W29" i="6"/>
  <c r="W50" i="6"/>
  <c r="W64" i="6"/>
  <c r="W65" i="6"/>
  <c r="W66" i="6"/>
  <c r="W67" i="6"/>
  <c r="W68" i="6"/>
  <c r="W69" i="6"/>
  <c r="W70" i="6"/>
  <c r="W30" i="6"/>
  <c r="W51" i="6"/>
  <c r="W71" i="6"/>
  <c r="W72" i="6"/>
  <c r="W31" i="6"/>
  <c r="W32" i="6"/>
  <c r="W33" i="6"/>
  <c r="W34" i="6"/>
  <c r="W35" i="6"/>
  <c r="W5" i="6"/>
  <c r="W73" i="6"/>
  <c r="W36" i="6"/>
  <c r="W37" i="6"/>
  <c r="W38" i="6"/>
  <c r="W74" i="6"/>
  <c r="W75" i="6"/>
  <c r="W39" i="6"/>
  <c r="W40" i="6"/>
  <c r="W52" i="6"/>
  <c r="W41" i="6"/>
  <c r="W76" i="6"/>
  <c r="W77" i="6"/>
  <c r="W42" i="6"/>
  <c r="W43" i="6"/>
  <c r="W78" i="6"/>
  <c r="W79" i="6"/>
  <c r="W44" i="6"/>
  <c r="W6" i="6"/>
  <c r="W53" i="6"/>
  <c r="W80" i="6"/>
  <c r="W81" i="6"/>
  <c r="W45" i="6"/>
  <c r="W82" i="6"/>
  <c r="W83" i="6"/>
  <c r="W7" i="6"/>
  <c r="W84" i="6"/>
  <c r="V8" i="6"/>
  <c r="V9" i="6"/>
  <c r="V10" i="6"/>
  <c r="V11" i="6"/>
  <c r="V46" i="6"/>
  <c r="V47" i="6"/>
  <c r="V12" i="6"/>
  <c r="V13" i="6"/>
  <c r="V14" i="6"/>
  <c r="V48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49" i="6"/>
  <c r="V29" i="6"/>
  <c r="V50" i="6"/>
  <c r="V30" i="6"/>
  <c r="V51" i="6"/>
  <c r="V31" i="6"/>
  <c r="V32" i="6"/>
  <c r="V33" i="6"/>
  <c r="V34" i="6"/>
  <c r="V35" i="6"/>
  <c r="V5" i="6"/>
  <c r="V36" i="6"/>
  <c r="V37" i="6"/>
  <c r="V38" i="6"/>
  <c r="V39" i="6"/>
  <c r="V40" i="6"/>
  <c r="V52" i="6"/>
  <c r="V41" i="6"/>
  <c r="V42" i="6"/>
  <c r="V43" i="6"/>
  <c r="V44" i="6"/>
  <c r="V6" i="6"/>
  <c r="V53" i="6"/>
  <c r="V45" i="6"/>
  <c r="V7" i="6"/>
  <c r="U8" i="6"/>
  <c r="U9" i="6"/>
  <c r="U10" i="6"/>
  <c r="U11" i="6"/>
  <c r="U54" i="6"/>
  <c r="V54" i="6" s="1"/>
  <c r="U46" i="6"/>
  <c r="U47" i="6"/>
  <c r="U12" i="6"/>
  <c r="U13" i="6"/>
  <c r="U14" i="6"/>
  <c r="U48" i="6"/>
  <c r="U55" i="6"/>
  <c r="V55" i="6" s="1"/>
  <c r="U56" i="6"/>
  <c r="V56" i="6" s="1"/>
  <c r="U15" i="6"/>
  <c r="U16" i="6"/>
  <c r="U57" i="6"/>
  <c r="V57" i="6" s="1"/>
  <c r="U58" i="6"/>
  <c r="V58" i="6" s="1"/>
  <c r="U17" i="6"/>
  <c r="U18" i="6"/>
  <c r="U19" i="6"/>
  <c r="U59" i="6"/>
  <c r="V59" i="6" s="1"/>
  <c r="U20" i="6"/>
  <c r="U60" i="6"/>
  <c r="V60" i="6" s="1"/>
  <c r="U21" i="6"/>
  <c r="U22" i="6"/>
  <c r="U23" i="6"/>
  <c r="U61" i="6"/>
  <c r="V61" i="6" s="1"/>
  <c r="U24" i="6"/>
  <c r="U25" i="6"/>
  <c r="U26" i="6"/>
  <c r="U27" i="6"/>
  <c r="U62" i="6"/>
  <c r="V62" i="6" s="1"/>
  <c r="U28" i="6"/>
  <c r="U49" i="6"/>
  <c r="U63" i="6"/>
  <c r="V63" i="6" s="1"/>
  <c r="U29" i="6"/>
  <c r="U50" i="6"/>
  <c r="U64" i="6"/>
  <c r="V64" i="6" s="1"/>
  <c r="U65" i="6"/>
  <c r="V65" i="6" s="1"/>
  <c r="U66" i="6"/>
  <c r="V66" i="6" s="1"/>
  <c r="U67" i="6"/>
  <c r="V67" i="6" s="1"/>
  <c r="U68" i="6"/>
  <c r="V68" i="6" s="1"/>
  <c r="U69" i="6"/>
  <c r="V69" i="6" s="1"/>
  <c r="U70" i="6"/>
  <c r="V70" i="6" s="1"/>
  <c r="U30" i="6"/>
  <c r="U51" i="6"/>
  <c r="U71" i="6"/>
  <c r="V71" i="6" s="1"/>
  <c r="U72" i="6"/>
  <c r="V72" i="6" s="1"/>
  <c r="U31" i="6"/>
  <c r="U32" i="6"/>
  <c r="U33" i="6"/>
  <c r="U34" i="6"/>
  <c r="U35" i="6"/>
  <c r="U5" i="6"/>
  <c r="U73" i="6"/>
  <c r="V73" i="6" s="1"/>
  <c r="U36" i="6"/>
  <c r="U37" i="6"/>
  <c r="U38" i="6"/>
  <c r="U74" i="6"/>
  <c r="V74" i="6" s="1"/>
  <c r="U75" i="6"/>
  <c r="V75" i="6" s="1"/>
  <c r="U39" i="6"/>
  <c r="U40" i="6"/>
  <c r="U52" i="6"/>
  <c r="U41" i="6"/>
  <c r="U76" i="6"/>
  <c r="V76" i="6" s="1"/>
  <c r="U77" i="6"/>
  <c r="V77" i="6" s="1"/>
  <c r="U42" i="6"/>
  <c r="U43" i="6"/>
  <c r="U78" i="6"/>
  <c r="V78" i="6" s="1"/>
  <c r="U79" i="6"/>
  <c r="V79" i="6" s="1"/>
  <c r="U44" i="6"/>
  <c r="U6" i="6"/>
  <c r="U53" i="6"/>
  <c r="U80" i="6"/>
  <c r="V80" i="6" s="1"/>
  <c r="U81" i="6"/>
  <c r="V81" i="6" s="1"/>
  <c r="U45" i="6"/>
  <c r="U82" i="6"/>
  <c r="V82" i="6" s="1"/>
  <c r="U83" i="6"/>
  <c r="V83" i="6" s="1"/>
  <c r="U7" i="6"/>
  <c r="U84" i="6"/>
  <c r="V84" i="6" s="1"/>
  <c r="R8" i="6"/>
  <c r="R9" i="6"/>
  <c r="R10" i="6"/>
  <c r="R11" i="6"/>
  <c r="R54" i="6"/>
  <c r="T54" i="6" s="1"/>
  <c r="R46" i="6"/>
  <c r="T46" i="6" s="1"/>
  <c r="R47" i="6"/>
  <c r="T47" i="6" s="1"/>
  <c r="R12" i="6"/>
  <c r="R13" i="6"/>
  <c r="R14" i="6"/>
  <c r="R48" i="6"/>
  <c r="T48" i="6" s="1"/>
  <c r="R55" i="6"/>
  <c r="T55" i="6" s="1"/>
  <c r="R56" i="6"/>
  <c r="T56" i="6" s="1"/>
  <c r="R15" i="6"/>
  <c r="R16" i="6"/>
  <c r="R57" i="6"/>
  <c r="T57" i="6" s="1"/>
  <c r="R58" i="6"/>
  <c r="T58" i="6" s="1"/>
  <c r="R17" i="6"/>
  <c r="R18" i="6"/>
  <c r="R19" i="6"/>
  <c r="R59" i="6"/>
  <c r="T59" i="6" s="1"/>
  <c r="R20" i="6"/>
  <c r="R60" i="6"/>
  <c r="T60" i="6" s="1"/>
  <c r="R21" i="6"/>
  <c r="R22" i="6"/>
  <c r="R23" i="6"/>
  <c r="R61" i="6"/>
  <c r="T61" i="6" s="1"/>
  <c r="R24" i="6"/>
  <c r="R25" i="6"/>
  <c r="R26" i="6"/>
  <c r="R27" i="6"/>
  <c r="R62" i="6"/>
  <c r="T62" i="6" s="1"/>
  <c r="R28" i="6"/>
  <c r="R49" i="6"/>
  <c r="T49" i="6" s="1"/>
  <c r="R63" i="6"/>
  <c r="T63" i="6" s="1"/>
  <c r="R29" i="6"/>
  <c r="R50" i="6"/>
  <c r="T50" i="6" s="1"/>
  <c r="R64" i="6"/>
  <c r="T64" i="6" s="1"/>
  <c r="R65" i="6"/>
  <c r="T65" i="6" s="1"/>
  <c r="R66" i="6"/>
  <c r="T66" i="6" s="1"/>
  <c r="R67" i="6"/>
  <c r="T67" i="6" s="1"/>
  <c r="R68" i="6"/>
  <c r="T68" i="6" s="1"/>
  <c r="R69" i="6"/>
  <c r="T69" i="6" s="1"/>
  <c r="R70" i="6"/>
  <c r="T70" i="6" s="1"/>
  <c r="R30" i="6"/>
  <c r="R51" i="6"/>
  <c r="T51" i="6" s="1"/>
  <c r="R71" i="6"/>
  <c r="T71" i="6" s="1"/>
  <c r="R72" i="6"/>
  <c r="T72" i="6" s="1"/>
  <c r="R31" i="6"/>
  <c r="R32" i="6"/>
  <c r="R33" i="6"/>
  <c r="R34" i="6"/>
  <c r="R35" i="6"/>
  <c r="R5" i="6"/>
  <c r="T5" i="6" s="1"/>
  <c r="R73" i="6"/>
  <c r="T73" i="6" s="1"/>
  <c r="R36" i="6"/>
  <c r="R37" i="6"/>
  <c r="R38" i="6"/>
  <c r="R74" i="6"/>
  <c r="T74" i="6" s="1"/>
  <c r="R75" i="6"/>
  <c r="T75" i="6" s="1"/>
  <c r="R39" i="6"/>
  <c r="R40" i="6"/>
  <c r="R52" i="6"/>
  <c r="T52" i="6" s="1"/>
  <c r="R41" i="6"/>
  <c r="R76" i="6"/>
  <c r="T76" i="6" s="1"/>
  <c r="R77" i="6"/>
  <c r="T77" i="6" s="1"/>
  <c r="R42" i="6"/>
  <c r="R43" i="6"/>
  <c r="R78" i="6"/>
  <c r="T78" i="6" s="1"/>
  <c r="R79" i="6"/>
  <c r="T79" i="6" s="1"/>
  <c r="R44" i="6"/>
  <c r="R6" i="6"/>
  <c r="T6" i="6" s="1"/>
  <c r="R53" i="6"/>
  <c r="T53" i="6" s="1"/>
  <c r="R80" i="6"/>
  <c r="T80" i="6" s="1"/>
  <c r="R81" i="6"/>
  <c r="T81" i="6" s="1"/>
  <c r="R45" i="6"/>
  <c r="R82" i="6"/>
  <c r="T82" i="6" s="1"/>
  <c r="R83" i="6"/>
  <c r="T83" i="6" s="1"/>
  <c r="R7" i="6"/>
  <c r="T7" i="6" s="1"/>
  <c r="R84" i="6"/>
  <c r="T84" i="6" s="1"/>
  <c r="C20" i="19"/>
  <c r="D20" i="19" s="1"/>
  <c r="C19" i="19"/>
  <c r="D19" i="19" s="1"/>
  <c r="C17" i="19"/>
  <c r="D17" i="19" s="1"/>
  <c r="C15" i="19"/>
  <c r="D15" i="19" s="1"/>
  <c r="C14" i="19"/>
  <c r="D14" i="19" s="1"/>
  <c r="C12" i="19"/>
  <c r="D12" i="19" s="1"/>
  <c r="C11" i="19"/>
  <c r="D11" i="19" s="1"/>
  <c r="D10" i="19"/>
  <c r="C9" i="19"/>
  <c r="D9" i="19" s="1"/>
  <c r="C6" i="19"/>
  <c r="D6" i="19" s="1"/>
  <c r="C5" i="19"/>
  <c r="D5" i="19" s="1"/>
  <c r="A20" i="17"/>
  <c r="A19" i="17"/>
  <c r="F18" i="17"/>
  <c r="A18" i="17"/>
  <c r="F17" i="17"/>
  <c r="A17" i="17"/>
  <c r="F16" i="17"/>
  <c r="A16" i="17"/>
  <c r="F15" i="17"/>
  <c r="A15" i="17"/>
  <c r="F14" i="17"/>
  <c r="A14" i="17"/>
  <c r="F13" i="17"/>
  <c r="A13" i="17"/>
  <c r="F12" i="17"/>
  <c r="A12" i="17"/>
  <c r="F11" i="17"/>
  <c r="A11" i="17"/>
  <c r="F10" i="17"/>
  <c r="A10" i="17"/>
  <c r="F9" i="17"/>
  <c r="A9" i="17"/>
  <c r="L18" i="16"/>
  <c r="A18" i="16"/>
  <c r="M18" i="16" s="1"/>
  <c r="L17" i="16"/>
  <c r="A17" i="16"/>
  <c r="M17" i="16" s="1"/>
  <c r="L16" i="16"/>
  <c r="A16" i="16"/>
  <c r="M16" i="16" s="1"/>
  <c r="L15" i="16"/>
  <c r="A15" i="16"/>
  <c r="M15" i="16" s="1"/>
  <c r="L14" i="16"/>
  <c r="A14" i="16"/>
  <c r="M14" i="16" s="1"/>
  <c r="L13" i="16"/>
  <c r="A13" i="16"/>
  <c r="M13" i="16" s="1"/>
  <c r="L12" i="16"/>
  <c r="A12" i="16"/>
  <c r="M12" i="16" s="1"/>
  <c r="L11" i="16"/>
  <c r="A11" i="16"/>
  <c r="M11" i="16" s="1"/>
  <c r="L10" i="16"/>
  <c r="A10" i="16"/>
  <c r="M10" i="16" s="1"/>
  <c r="L9" i="16"/>
  <c r="A9" i="16"/>
  <c r="M9" i="16" s="1"/>
  <c r="G19" i="15"/>
  <c r="F19" i="15"/>
  <c r="A15" i="15"/>
  <c r="A14" i="15"/>
  <c r="N13" i="15"/>
  <c r="L13" i="15"/>
  <c r="A13" i="15"/>
  <c r="N12" i="15"/>
  <c r="L12" i="15"/>
  <c r="A12" i="15"/>
  <c r="N11" i="15"/>
  <c r="L11" i="15"/>
  <c r="A11" i="15"/>
  <c r="N10" i="15"/>
  <c r="L10" i="15"/>
  <c r="A10" i="15"/>
  <c r="I5" i="15"/>
  <c r="G47" i="14"/>
  <c r="G46" i="14"/>
  <c r="G45" i="14"/>
  <c r="G44" i="14"/>
  <c r="G43" i="14"/>
  <c r="A43" i="14"/>
  <c r="G42" i="14"/>
  <c r="A42" i="14"/>
  <c r="G41" i="14"/>
  <c r="A41" i="14"/>
  <c r="G40" i="14"/>
  <c r="A40" i="14"/>
  <c r="G39" i="14"/>
  <c r="A39" i="14"/>
  <c r="G38" i="14"/>
  <c r="A38" i="14"/>
  <c r="G37" i="14"/>
  <c r="A37" i="14"/>
  <c r="G36" i="14"/>
  <c r="A36" i="14"/>
  <c r="A35" i="14"/>
  <c r="A34" i="14"/>
  <c r="B29" i="14"/>
  <c r="G28" i="14"/>
  <c r="F28" i="14"/>
  <c r="B28" i="14"/>
  <c r="G27" i="14"/>
  <c r="F27" i="14"/>
  <c r="B27" i="14"/>
  <c r="G26" i="14"/>
  <c r="F26" i="14"/>
  <c r="B26" i="14"/>
  <c r="G25" i="14"/>
  <c r="F25" i="14"/>
  <c r="B25" i="14"/>
  <c r="G24" i="14"/>
  <c r="F24" i="14"/>
  <c r="B24" i="14"/>
  <c r="G23" i="14"/>
  <c r="F23" i="14"/>
  <c r="B23" i="14"/>
  <c r="G22" i="14"/>
  <c r="F22" i="14"/>
  <c r="B22" i="14"/>
  <c r="E15" i="14"/>
  <c r="E14" i="14"/>
  <c r="E13" i="14"/>
  <c r="E12" i="14"/>
  <c r="E11" i="14"/>
  <c r="E10" i="14"/>
  <c r="E9" i="14"/>
  <c r="E8" i="14"/>
  <c r="E7" i="14"/>
  <c r="E6" i="14"/>
  <c r="K45" i="13"/>
  <c r="L47" i="14" s="1"/>
  <c r="J45" i="13"/>
  <c r="K47" i="14" s="1"/>
  <c r="I45" i="13"/>
  <c r="D20" i="17" s="1"/>
  <c r="H45" i="13"/>
  <c r="G45" i="13"/>
  <c r="B20" i="17" s="1"/>
  <c r="K44" i="13"/>
  <c r="L46" i="14" s="1"/>
  <c r="J44" i="13"/>
  <c r="K46" i="14" s="1"/>
  <c r="I44" i="13"/>
  <c r="D19" i="17" s="1"/>
  <c r="H44" i="13"/>
  <c r="I46" i="14" s="1"/>
  <c r="G44" i="13"/>
  <c r="H46" i="14" s="1"/>
  <c r="K43" i="13"/>
  <c r="L45" i="14" s="1"/>
  <c r="J43" i="13"/>
  <c r="K45" i="14" s="1"/>
  <c r="I43" i="13"/>
  <c r="D18" i="17" s="1"/>
  <c r="H43" i="13"/>
  <c r="I45" i="14" s="1"/>
  <c r="G43" i="13"/>
  <c r="B18" i="17" s="1"/>
  <c r="K42" i="13"/>
  <c r="L44" i="14" s="1"/>
  <c r="J42" i="13"/>
  <c r="K44" i="14" s="1"/>
  <c r="I42" i="13"/>
  <c r="D17" i="17" s="1"/>
  <c r="H42" i="13"/>
  <c r="I44" i="14" s="1"/>
  <c r="G42" i="13"/>
  <c r="K41" i="13"/>
  <c r="L43" i="14" s="1"/>
  <c r="J41" i="13"/>
  <c r="K43" i="14" s="1"/>
  <c r="I41" i="13"/>
  <c r="D16" i="17" s="1"/>
  <c r="H41" i="13"/>
  <c r="I43" i="14" s="1"/>
  <c r="G41" i="13"/>
  <c r="H43" i="14" s="1"/>
  <c r="K40" i="13"/>
  <c r="L42" i="14" s="1"/>
  <c r="J40" i="13"/>
  <c r="K42" i="14" s="1"/>
  <c r="I40" i="13"/>
  <c r="H40" i="13"/>
  <c r="I42" i="14" s="1"/>
  <c r="G40" i="13"/>
  <c r="B15" i="17" s="1"/>
  <c r="K39" i="13"/>
  <c r="L41" i="14" s="1"/>
  <c r="J39" i="13"/>
  <c r="K41" i="14" s="1"/>
  <c r="I39" i="13"/>
  <c r="D14" i="17" s="1"/>
  <c r="H39" i="13"/>
  <c r="I41" i="14" s="1"/>
  <c r="G39" i="13"/>
  <c r="H41" i="14" s="1"/>
  <c r="B39" i="13"/>
  <c r="C15" i="15" s="1"/>
  <c r="K38" i="13"/>
  <c r="L40" i="14" s="1"/>
  <c r="J38" i="13"/>
  <c r="K40" i="14" s="1"/>
  <c r="I38" i="13"/>
  <c r="J40" i="14" s="1"/>
  <c r="H38" i="13"/>
  <c r="I40" i="14" s="1"/>
  <c r="G38" i="13"/>
  <c r="H40" i="14" s="1"/>
  <c r="B38" i="13"/>
  <c r="K37" i="13"/>
  <c r="L39" i="14" s="1"/>
  <c r="J37" i="13"/>
  <c r="K39" i="14" s="1"/>
  <c r="I37" i="13"/>
  <c r="D12" i="17" s="1"/>
  <c r="H37" i="13"/>
  <c r="I39" i="14" s="1"/>
  <c r="G37" i="13"/>
  <c r="H39" i="14" s="1"/>
  <c r="B37" i="13"/>
  <c r="C13" i="15" s="1"/>
  <c r="K36" i="13"/>
  <c r="L38" i="14" s="1"/>
  <c r="J36" i="13"/>
  <c r="K38" i="14" s="1"/>
  <c r="I36" i="13"/>
  <c r="J38" i="14" s="1"/>
  <c r="H36" i="13"/>
  <c r="C11" i="17" s="1"/>
  <c r="G36" i="13"/>
  <c r="B11" i="17" s="1"/>
  <c r="B36" i="13"/>
  <c r="C12" i="15" s="1"/>
  <c r="K35" i="13"/>
  <c r="L37" i="14" s="1"/>
  <c r="J35" i="13"/>
  <c r="K37" i="14" s="1"/>
  <c r="I35" i="13"/>
  <c r="D10" i="17" s="1"/>
  <c r="H35" i="13"/>
  <c r="C10" i="17" s="1"/>
  <c r="G35" i="13"/>
  <c r="B10" i="17" s="1"/>
  <c r="B35" i="13"/>
  <c r="C11" i="15" s="1"/>
  <c r="K34" i="13"/>
  <c r="L36" i="14" s="1"/>
  <c r="J34" i="13"/>
  <c r="K36" i="14" s="1"/>
  <c r="I34" i="13"/>
  <c r="H34" i="13"/>
  <c r="I36" i="14" s="1"/>
  <c r="G34" i="13"/>
  <c r="B34" i="13"/>
  <c r="C10" i="15" s="1"/>
  <c r="B29" i="13"/>
  <c r="B28" i="13"/>
  <c r="B21" i="13"/>
  <c r="P20" i="13"/>
  <c r="P15" i="14" s="1"/>
  <c r="M20" i="13"/>
  <c r="M15" i="14" s="1"/>
  <c r="J20" i="13"/>
  <c r="G20" i="13"/>
  <c r="F20" i="13"/>
  <c r="C18" i="16" s="1"/>
  <c r="P19" i="13"/>
  <c r="P14" i="14" s="1"/>
  <c r="N19" i="13"/>
  <c r="N14" i="14" s="1"/>
  <c r="M19" i="13"/>
  <c r="M14" i="14" s="1"/>
  <c r="J19" i="13"/>
  <c r="J14" i="14" s="1"/>
  <c r="G19" i="13"/>
  <c r="F19" i="13"/>
  <c r="C17" i="16" s="1"/>
  <c r="B19" i="13"/>
  <c r="P18" i="13"/>
  <c r="P13" i="14" s="1"/>
  <c r="M18" i="13"/>
  <c r="M13" i="14" s="1"/>
  <c r="J18" i="13"/>
  <c r="J13" i="14" s="1"/>
  <c r="G18" i="13"/>
  <c r="D16" i="16" s="1"/>
  <c r="F18" i="13"/>
  <c r="B18" i="13"/>
  <c r="B13" i="14" s="1"/>
  <c r="P17" i="13"/>
  <c r="P12" i="14" s="1"/>
  <c r="M17" i="13"/>
  <c r="M12" i="14" s="1"/>
  <c r="J17" i="13"/>
  <c r="J12" i="14" s="1"/>
  <c r="G17" i="13"/>
  <c r="D15" i="16" s="1"/>
  <c r="F17" i="13"/>
  <c r="C15" i="16" s="1"/>
  <c r="P16" i="13"/>
  <c r="P11" i="14" s="1"/>
  <c r="M16" i="13"/>
  <c r="M11" i="14" s="1"/>
  <c r="J16" i="13"/>
  <c r="G16" i="13"/>
  <c r="F16" i="13"/>
  <c r="F11" i="14" s="1"/>
  <c r="P15" i="13"/>
  <c r="P10" i="14" s="1"/>
  <c r="M15" i="13"/>
  <c r="M10" i="14" s="1"/>
  <c r="J15" i="13"/>
  <c r="G15" i="13"/>
  <c r="F15" i="13"/>
  <c r="F10" i="14" s="1"/>
  <c r="B15" i="13"/>
  <c r="B43" i="13" s="1"/>
  <c r="B19" i="15" s="1"/>
  <c r="P14" i="13"/>
  <c r="P9" i="14" s="1"/>
  <c r="M14" i="13"/>
  <c r="M9" i="14" s="1"/>
  <c r="J14" i="13"/>
  <c r="J9" i="14" s="1"/>
  <c r="G14" i="13"/>
  <c r="D12" i="16" s="1"/>
  <c r="F14" i="13"/>
  <c r="P13" i="13"/>
  <c r="P8" i="14" s="1"/>
  <c r="M13" i="13"/>
  <c r="M8" i="14" s="1"/>
  <c r="J13" i="13"/>
  <c r="G13" i="13"/>
  <c r="D11" i="16" s="1"/>
  <c r="F13" i="13"/>
  <c r="P12" i="13"/>
  <c r="P7" i="14" s="1"/>
  <c r="M12" i="13"/>
  <c r="M7" i="14" s="1"/>
  <c r="J12" i="13"/>
  <c r="J7" i="14" s="1"/>
  <c r="G12" i="13"/>
  <c r="F12" i="13"/>
  <c r="C10" i="16" s="1"/>
  <c r="B12" i="13"/>
  <c r="B7" i="14" s="1"/>
  <c r="P11" i="13"/>
  <c r="P6" i="14" s="1"/>
  <c r="M11" i="13"/>
  <c r="M6" i="14" s="1"/>
  <c r="J11" i="13"/>
  <c r="G11" i="13"/>
  <c r="F11" i="13"/>
  <c r="B11" i="13"/>
  <c r="B25" i="13" s="1"/>
  <c r="G5" i="17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H13" i="12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J124" i="11"/>
  <c r="K124" i="11" s="1"/>
  <c r="I124" i="11"/>
  <c r="J123" i="11"/>
  <c r="K123" i="11" s="1"/>
  <c r="I123" i="11"/>
  <c r="J122" i="11"/>
  <c r="K122" i="11" s="1"/>
  <c r="I122" i="11"/>
  <c r="J121" i="11"/>
  <c r="K121" i="11" s="1"/>
  <c r="I121" i="11"/>
  <c r="J120" i="11"/>
  <c r="K120" i="11" s="1"/>
  <c r="I120" i="11"/>
  <c r="J119" i="11"/>
  <c r="K119" i="11" s="1"/>
  <c r="I119" i="11"/>
  <c r="J118" i="11"/>
  <c r="K118" i="11" s="1"/>
  <c r="I118" i="11"/>
  <c r="J117" i="11"/>
  <c r="K117" i="11" s="1"/>
  <c r="I117" i="11"/>
  <c r="J116" i="11"/>
  <c r="K116" i="11" s="1"/>
  <c r="I116" i="11"/>
  <c r="J115" i="11"/>
  <c r="K115" i="11" s="1"/>
  <c r="I115" i="11"/>
  <c r="J114" i="11"/>
  <c r="K114" i="11" s="1"/>
  <c r="I114" i="11"/>
  <c r="J113" i="11"/>
  <c r="K113" i="11" s="1"/>
  <c r="I113" i="11"/>
  <c r="J112" i="11"/>
  <c r="K112" i="11" s="1"/>
  <c r="I112" i="11"/>
  <c r="J111" i="11"/>
  <c r="K111" i="11" s="1"/>
  <c r="I111" i="11"/>
  <c r="J110" i="11"/>
  <c r="K110" i="11" s="1"/>
  <c r="I110" i="11"/>
  <c r="J109" i="11"/>
  <c r="K109" i="11" s="1"/>
  <c r="I109" i="11"/>
  <c r="J108" i="11"/>
  <c r="K108" i="11" s="1"/>
  <c r="I108" i="11"/>
  <c r="J107" i="11"/>
  <c r="K107" i="11" s="1"/>
  <c r="I107" i="11"/>
  <c r="J106" i="11"/>
  <c r="K106" i="11" s="1"/>
  <c r="I106" i="11"/>
  <c r="J105" i="11"/>
  <c r="K105" i="11" s="1"/>
  <c r="I105" i="11"/>
  <c r="J104" i="11"/>
  <c r="K104" i="11" s="1"/>
  <c r="I104" i="11"/>
  <c r="J103" i="11"/>
  <c r="K103" i="11" s="1"/>
  <c r="I103" i="11"/>
  <c r="J102" i="11"/>
  <c r="K102" i="11" s="1"/>
  <c r="I102" i="11"/>
  <c r="J101" i="11"/>
  <c r="K101" i="11" s="1"/>
  <c r="I101" i="11"/>
  <c r="J100" i="11"/>
  <c r="K100" i="11" s="1"/>
  <c r="I100" i="11"/>
  <c r="J99" i="11"/>
  <c r="K99" i="11" s="1"/>
  <c r="I99" i="11"/>
  <c r="J98" i="11"/>
  <c r="K98" i="11" s="1"/>
  <c r="I98" i="11"/>
  <c r="J97" i="11"/>
  <c r="K97" i="11" s="1"/>
  <c r="I97" i="11"/>
  <c r="J96" i="11"/>
  <c r="K96" i="11" s="1"/>
  <c r="I96" i="11"/>
  <c r="J95" i="11"/>
  <c r="K95" i="11" s="1"/>
  <c r="I95" i="11"/>
  <c r="J94" i="11"/>
  <c r="K94" i="11" s="1"/>
  <c r="I94" i="11"/>
  <c r="J93" i="11"/>
  <c r="K93" i="11" s="1"/>
  <c r="I93" i="11"/>
  <c r="J92" i="11"/>
  <c r="K92" i="11" s="1"/>
  <c r="I92" i="11"/>
  <c r="J91" i="11"/>
  <c r="K91" i="11" s="1"/>
  <c r="I91" i="11"/>
  <c r="J90" i="11"/>
  <c r="K90" i="11" s="1"/>
  <c r="I90" i="11"/>
  <c r="J89" i="11"/>
  <c r="K89" i="11" s="1"/>
  <c r="I89" i="11"/>
  <c r="J88" i="11"/>
  <c r="K88" i="11" s="1"/>
  <c r="I88" i="11"/>
  <c r="J87" i="11"/>
  <c r="K87" i="11" s="1"/>
  <c r="I87" i="11"/>
  <c r="J86" i="11"/>
  <c r="K86" i="11" s="1"/>
  <c r="I86" i="11"/>
  <c r="J85" i="11"/>
  <c r="K85" i="11" s="1"/>
  <c r="I85" i="11"/>
  <c r="J84" i="11"/>
  <c r="K84" i="11" s="1"/>
  <c r="I84" i="11"/>
  <c r="J83" i="11"/>
  <c r="K83" i="11" s="1"/>
  <c r="I83" i="11"/>
  <c r="J82" i="11"/>
  <c r="K82" i="11" s="1"/>
  <c r="I82" i="11"/>
  <c r="J81" i="11"/>
  <c r="K81" i="11" s="1"/>
  <c r="I81" i="11"/>
  <c r="J80" i="11"/>
  <c r="K80" i="11" s="1"/>
  <c r="I80" i="11"/>
  <c r="J79" i="11"/>
  <c r="K79" i="11" s="1"/>
  <c r="I79" i="11"/>
  <c r="J78" i="11"/>
  <c r="K78" i="11" s="1"/>
  <c r="I78" i="11"/>
  <c r="J77" i="11"/>
  <c r="K77" i="11" s="1"/>
  <c r="I77" i="11"/>
  <c r="J76" i="11"/>
  <c r="K76" i="11" s="1"/>
  <c r="I76" i="11"/>
  <c r="J75" i="11"/>
  <c r="K75" i="11" s="1"/>
  <c r="I75" i="11"/>
  <c r="J74" i="11"/>
  <c r="K74" i="11" s="1"/>
  <c r="I74" i="11"/>
  <c r="J73" i="11"/>
  <c r="K73" i="11" s="1"/>
  <c r="I73" i="11"/>
  <c r="J72" i="11"/>
  <c r="K72" i="11" s="1"/>
  <c r="I72" i="11"/>
  <c r="J71" i="11"/>
  <c r="K71" i="11" s="1"/>
  <c r="I71" i="11"/>
  <c r="J70" i="11"/>
  <c r="K70" i="11" s="1"/>
  <c r="I70" i="11"/>
  <c r="J69" i="11"/>
  <c r="K69" i="11" s="1"/>
  <c r="I69" i="11"/>
  <c r="J68" i="11"/>
  <c r="K68" i="11" s="1"/>
  <c r="I68" i="11"/>
  <c r="J67" i="11"/>
  <c r="K67" i="11" s="1"/>
  <c r="I67" i="11"/>
  <c r="J66" i="11"/>
  <c r="K66" i="11" s="1"/>
  <c r="I66" i="11"/>
  <c r="J65" i="11"/>
  <c r="K65" i="11" s="1"/>
  <c r="I65" i="11"/>
  <c r="J64" i="11"/>
  <c r="K64" i="11" s="1"/>
  <c r="I64" i="11"/>
  <c r="J63" i="11"/>
  <c r="K63" i="11" s="1"/>
  <c r="I63" i="11"/>
  <c r="J62" i="11"/>
  <c r="K62" i="11" s="1"/>
  <c r="I62" i="11"/>
  <c r="J61" i="11"/>
  <c r="K61" i="11" s="1"/>
  <c r="I61" i="11"/>
  <c r="J60" i="11"/>
  <c r="K60" i="11" s="1"/>
  <c r="I60" i="11"/>
  <c r="J59" i="11"/>
  <c r="K59" i="11" s="1"/>
  <c r="I59" i="11"/>
  <c r="J58" i="11"/>
  <c r="K58" i="11" s="1"/>
  <c r="I58" i="11"/>
  <c r="J57" i="11"/>
  <c r="K57" i="11" s="1"/>
  <c r="I57" i="11"/>
  <c r="J56" i="11"/>
  <c r="K56" i="11" s="1"/>
  <c r="I56" i="11"/>
  <c r="J55" i="11"/>
  <c r="K55" i="11" s="1"/>
  <c r="I55" i="11"/>
  <c r="J54" i="11"/>
  <c r="K54" i="11" s="1"/>
  <c r="I54" i="11"/>
  <c r="J53" i="11"/>
  <c r="K53" i="11" s="1"/>
  <c r="I53" i="11"/>
  <c r="J52" i="11"/>
  <c r="K52" i="11" s="1"/>
  <c r="I52" i="11"/>
  <c r="J51" i="11"/>
  <c r="K51" i="11" s="1"/>
  <c r="I51" i="11"/>
  <c r="J50" i="11"/>
  <c r="K50" i="11" s="1"/>
  <c r="I50" i="11"/>
  <c r="J49" i="11"/>
  <c r="K49" i="11" s="1"/>
  <c r="I49" i="11"/>
  <c r="J48" i="11"/>
  <c r="K48" i="11" s="1"/>
  <c r="I48" i="11"/>
  <c r="J47" i="11"/>
  <c r="K47" i="11" s="1"/>
  <c r="I47" i="11"/>
  <c r="J46" i="11"/>
  <c r="K46" i="11" s="1"/>
  <c r="I46" i="11"/>
  <c r="J45" i="11"/>
  <c r="K45" i="11" s="1"/>
  <c r="I45" i="11"/>
  <c r="J44" i="11"/>
  <c r="K44" i="11" s="1"/>
  <c r="I44" i="11"/>
  <c r="J43" i="11"/>
  <c r="K43" i="11" s="1"/>
  <c r="I43" i="11"/>
  <c r="J42" i="11"/>
  <c r="K42" i="11" s="1"/>
  <c r="I42" i="11"/>
  <c r="J41" i="11"/>
  <c r="K41" i="11" s="1"/>
  <c r="I41" i="11"/>
  <c r="J40" i="11"/>
  <c r="K40" i="11" s="1"/>
  <c r="I40" i="11"/>
  <c r="J39" i="11"/>
  <c r="K39" i="11" s="1"/>
  <c r="I39" i="11"/>
  <c r="J38" i="11"/>
  <c r="K38" i="11" s="1"/>
  <c r="I38" i="11"/>
  <c r="J37" i="11"/>
  <c r="K37" i="11" s="1"/>
  <c r="I37" i="11"/>
  <c r="J36" i="11"/>
  <c r="K36" i="11" s="1"/>
  <c r="I36" i="11"/>
  <c r="J35" i="11"/>
  <c r="K35" i="11" s="1"/>
  <c r="I35" i="11"/>
  <c r="J34" i="11"/>
  <c r="K34" i="11" s="1"/>
  <c r="I34" i="11"/>
  <c r="J33" i="11"/>
  <c r="K33" i="11" s="1"/>
  <c r="I33" i="11"/>
  <c r="J32" i="11"/>
  <c r="K32" i="11" s="1"/>
  <c r="I32" i="11"/>
  <c r="J31" i="11"/>
  <c r="K31" i="11" s="1"/>
  <c r="I31" i="11"/>
  <c r="J30" i="11"/>
  <c r="K30" i="11" s="1"/>
  <c r="I30" i="11"/>
  <c r="J29" i="11"/>
  <c r="K29" i="11" s="1"/>
  <c r="I29" i="11"/>
  <c r="J28" i="11"/>
  <c r="K28" i="11" s="1"/>
  <c r="I28" i="11"/>
  <c r="J27" i="11"/>
  <c r="K27" i="11" s="1"/>
  <c r="I27" i="11"/>
  <c r="J26" i="11"/>
  <c r="K26" i="11" s="1"/>
  <c r="I26" i="11"/>
  <c r="J25" i="11"/>
  <c r="K25" i="11" s="1"/>
  <c r="I25" i="11"/>
  <c r="J24" i="11"/>
  <c r="K24" i="11" s="1"/>
  <c r="I24" i="11"/>
  <c r="J23" i="11"/>
  <c r="K23" i="11" s="1"/>
  <c r="I23" i="11"/>
  <c r="J22" i="11"/>
  <c r="K22" i="11" s="1"/>
  <c r="I22" i="11"/>
  <c r="J21" i="11"/>
  <c r="K21" i="11" s="1"/>
  <c r="I21" i="11"/>
  <c r="J20" i="11"/>
  <c r="K20" i="11" s="1"/>
  <c r="I20" i="11"/>
  <c r="J19" i="11"/>
  <c r="K19" i="11" s="1"/>
  <c r="I19" i="11"/>
  <c r="J18" i="11"/>
  <c r="K18" i="11" s="1"/>
  <c r="I18" i="11"/>
  <c r="J17" i="11"/>
  <c r="K17" i="11" s="1"/>
  <c r="I17" i="11"/>
  <c r="J16" i="11"/>
  <c r="K16" i="11" s="1"/>
  <c r="I16" i="11"/>
  <c r="J15" i="11"/>
  <c r="K15" i="11" s="1"/>
  <c r="I15" i="11"/>
  <c r="J14" i="11"/>
  <c r="K14" i="11" s="1"/>
  <c r="I14" i="11"/>
  <c r="J13" i="11"/>
  <c r="K13" i="11" s="1"/>
  <c r="I13" i="11"/>
  <c r="J12" i="11"/>
  <c r="K12" i="11" s="1"/>
  <c r="I12" i="11"/>
  <c r="J11" i="11"/>
  <c r="K11" i="11" s="1"/>
  <c r="I11" i="11"/>
  <c r="J10" i="11"/>
  <c r="K10" i="11" s="1"/>
  <c r="I10" i="11"/>
  <c r="J9" i="11"/>
  <c r="K9" i="11" s="1"/>
  <c r="I9" i="11"/>
  <c r="J8" i="11"/>
  <c r="K8" i="11" s="1"/>
  <c r="I8" i="11"/>
  <c r="J7" i="11"/>
  <c r="K7" i="11" s="1"/>
  <c r="I7" i="11"/>
  <c r="J6" i="11"/>
  <c r="K6" i="11" s="1"/>
  <c r="I6" i="11"/>
  <c r="J5" i="11"/>
  <c r="K5" i="11" s="1"/>
  <c r="I5" i="11"/>
  <c r="P52" i="10"/>
  <c r="H52" i="10"/>
  <c r="P51" i="10"/>
  <c r="H51" i="10"/>
  <c r="P50" i="10"/>
  <c r="H50" i="10"/>
  <c r="P49" i="10"/>
  <c r="H49" i="10"/>
  <c r="P48" i="10"/>
  <c r="H48" i="10"/>
  <c r="P47" i="10"/>
  <c r="H47" i="10"/>
  <c r="P46" i="10"/>
  <c r="H46" i="10"/>
  <c r="P45" i="10"/>
  <c r="H45" i="10"/>
  <c r="P44" i="10"/>
  <c r="H44" i="10"/>
  <c r="P43" i="10"/>
  <c r="H43" i="10"/>
  <c r="P42" i="10"/>
  <c r="H42" i="10"/>
  <c r="P41" i="10"/>
  <c r="H41" i="10"/>
  <c r="P40" i="10"/>
  <c r="H40" i="10"/>
  <c r="P39" i="10"/>
  <c r="H39" i="10"/>
  <c r="P38" i="10"/>
  <c r="H38" i="10"/>
  <c r="P37" i="10"/>
  <c r="H37" i="10"/>
  <c r="P36" i="10"/>
  <c r="H36" i="10"/>
  <c r="P35" i="10"/>
  <c r="H35" i="10"/>
  <c r="P34" i="10"/>
  <c r="H34" i="10"/>
  <c r="P33" i="10"/>
  <c r="H33" i="10"/>
  <c r="P32" i="10"/>
  <c r="H32" i="10"/>
  <c r="P31" i="10"/>
  <c r="H31" i="10"/>
  <c r="P30" i="10"/>
  <c r="H30" i="10"/>
  <c r="P29" i="10"/>
  <c r="H29" i="10"/>
  <c r="P28" i="10"/>
  <c r="H28" i="10"/>
  <c r="P27" i="10"/>
  <c r="H27" i="10"/>
  <c r="P26" i="10"/>
  <c r="H26" i="10"/>
  <c r="P25" i="10"/>
  <c r="H25" i="10"/>
  <c r="P24" i="10"/>
  <c r="H24" i="10"/>
  <c r="P23" i="10"/>
  <c r="H23" i="10"/>
  <c r="P22" i="10"/>
  <c r="H22" i="10"/>
  <c r="P21" i="10"/>
  <c r="H21" i="10"/>
  <c r="P20" i="10"/>
  <c r="H20" i="10"/>
  <c r="P19" i="10"/>
  <c r="H19" i="10"/>
  <c r="P18" i="10"/>
  <c r="H18" i="10"/>
  <c r="P17" i="10"/>
  <c r="H17" i="10"/>
  <c r="P16" i="10"/>
  <c r="H16" i="10"/>
  <c r="P15" i="10"/>
  <c r="H15" i="10"/>
  <c r="P14" i="10"/>
  <c r="H14" i="10"/>
  <c r="P13" i="10"/>
  <c r="H13" i="10"/>
  <c r="P12" i="10"/>
  <c r="H12" i="10"/>
  <c r="P11" i="10"/>
  <c r="H11" i="10"/>
  <c r="P10" i="10"/>
  <c r="H10" i="10"/>
  <c r="P9" i="10"/>
  <c r="H9" i="10"/>
  <c r="P8" i="10"/>
  <c r="H8" i="10"/>
  <c r="P7" i="10"/>
  <c r="H7" i="10"/>
  <c r="P6" i="10"/>
  <c r="H6" i="10"/>
  <c r="P5" i="10"/>
  <c r="H5" i="10"/>
  <c r="R83" i="9"/>
  <c r="O83" i="9"/>
  <c r="R82" i="9"/>
  <c r="O82" i="9"/>
  <c r="R81" i="9"/>
  <c r="O81" i="9"/>
  <c r="R80" i="9"/>
  <c r="O80" i="9"/>
  <c r="R79" i="9"/>
  <c r="O79" i="9"/>
  <c r="R78" i="9"/>
  <c r="O78" i="9"/>
  <c r="R77" i="9"/>
  <c r="O77" i="9"/>
  <c r="R76" i="9"/>
  <c r="O76" i="9"/>
  <c r="R75" i="9"/>
  <c r="O75" i="9"/>
  <c r="R74" i="9"/>
  <c r="O74" i="9"/>
  <c r="R73" i="9"/>
  <c r="O73" i="9"/>
  <c r="R72" i="9"/>
  <c r="O72" i="9"/>
  <c r="R71" i="9"/>
  <c r="O71" i="9"/>
  <c r="R70" i="9"/>
  <c r="O70" i="9"/>
  <c r="R69" i="9"/>
  <c r="O69" i="9"/>
  <c r="R68" i="9"/>
  <c r="O68" i="9"/>
  <c r="R67" i="9"/>
  <c r="O67" i="9"/>
  <c r="R66" i="9"/>
  <c r="O66" i="9"/>
  <c r="R65" i="9"/>
  <c r="O65" i="9"/>
  <c r="R64" i="9"/>
  <c r="O64" i="9"/>
  <c r="R63" i="9"/>
  <c r="O63" i="9"/>
  <c r="R62" i="9"/>
  <c r="O62" i="9"/>
  <c r="R61" i="9"/>
  <c r="O61" i="9"/>
  <c r="R60" i="9"/>
  <c r="O60" i="9"/>
  <c r="R59" i="9"/>
  <c r="O59" i="9"/>
  <c r="R58" i="9"/>
  <c r="O58" i="9"/>
  <c r="R57" i="9"/>
  <c r="O57" i="9"/>
  <c r="R56" i="9"/>
  <c r="O56" i="9"/>
  <c r="R55" i="9"/>
  <c r="O55" i="9"/>
  <c r="R54" i="9"/>
  <c r="O54" i="9"/>
  <c r="R53" i="9"/>
  <c r="O53" i="9"/>
  <c r="R52" i="9"/>
  <c r="O52" i="9"/>
  <c r="R51" i="9"/>
  <c r="O51" i="9"/>
  <c r="R50" i="9"/>
  <c r="O50" i="9"/>
  <c r="R49" i="9"/>
  <c r="O49" i="9"/>
  <c r="R48" i="9"/>
  <c r="O48" i="9"/>
  <c r="R47" i="9"/>
  <c r="O47" i="9"/>
  <c r="R46" i="9"/>
  <c r="O46" i="9"/>
  <c r="R45" i="9"/>
  <c r="O45" i="9"/>
  <c r="R44" i="9"/>
  <c r="O44" i="9"/>
  <c r="R43" i="9"/>
  <c r="O43" i="9"/>
  <c r="R42" i="9"/>
  <c r="O42" i="9"/>
  <c r="R41" i="9"/>
  <c r="O41" i="9"/>
  <c r="R40" i="9"/>
  <c r="O40" i="9"/>
  <c r="R39" i="9"/>
  <c r="O39" i="9"/>
  <c r="R38" i="9"/>
  <c r="O38" i="9"/>
  <c r="R37" i="9"/>
  <c r="O37" i="9"/>
  <c r="R36" i="9"/>
  <c r="O36" i="9"/>
  <c r="R35" i="9"/>
  <c r="O35" i="9"/>
  <c r="R34" i="9"/>
  <c r="O34" i="9"/>
  <c r="R33" i="9"/>
  <c r="O33" i="9"/>
  <c r="R32" i="9"/>
  <c r="O32" i="9"/>
  <c r="R31" i="9"/>
  <c r="O31" i="9"/>
  <c r="R30" i="9"/>
  <c r="O30" i="9"/>
  <c r="R29" i="9"/>
  <c r="O29" i="9"/>
  <c r="R28" i="9"/>
  <c r="O28" i="9"/>
  <c r="R27" i="9"/>
  <c r="O27" i="9"/>
  <c r="R26" i="9"/>
  <c r="O26" i="9"/>
  <c r="R25" i="9"/>
  <c r="O25" i="9"/>
  <c r="R24" i="9"/>
  <c r="O24" i="9"/>
  <c r="R23" i="9"/>
  <c r="O23" i="9"/>
  <c r="R22" i="9"/>
  <c r="O22" i="9"/>
  <c r="R21" i="9"/>
  <c r="O21" i="9"/>
  <c r="R20" i="9"/>
  <c r="O20" i="9"/>
  <c r="R19" i="9"/>
  <c r="O19" i="9"/>
  <c r="R18" i="9"/>
  <c r="O18" i="9"/>
  <c r="R17" i="9"/>
  <c r="O17" i="9"/>
  <c r="R16" i="9"/>
  <c r="O16" i="9"/>
  <c r="R15" i="9"/>
  <c r="O15" i="9"/>
  <c r="R14" i="9"/>
  <c r="O14" i="9"/>
  <c r="R13" i="9"/>
  <c r="O13" i="9"/>
  <c r="R12" i="9"/>
  <c r="O12" i="9"/>
  <c r="R11" i="9"/>
  <c r="O11" i="9"/>
  <c r="R10" i="9"/>
  <c r="O10" i="9"/>
  <c r="R9" i="9"/>
  <c r="O9" i="9"/>
  <c r="R8" i="9"/>
  <c r="O8" i="9"/>
  <c r="R7" i="9"/>
  <c r="O7" i="9"/>
  <c r="R6" i="9"/>
  <c r="O6" i="9"/>
  <c r="O5" i="9"/>
  <c r="S481" i="7"/>
  <c r="P481" i="7"/>
  <c r="Q481" i="7" s="1"/>
  <c r="R481" i="7" s="1"/>
  <c r="S480" i="7"/>
  <c r="Q480" i="7"/>
  <c r="R480" i="7" s="1"/>
  <c r="P480" i="7"/>
  <c r="S479" i="7"/>
  <c r="Q479" i="7"/>
  <c r="R479" i="7" s="1"/>
  <c r="P479" i="7"/>
  <c r="S478" i="7"/>
  <c r="P478" i="7"/>
  <c r="Q478" i="7" s="1"/>
  <c r="R478" i="7" s="1"/>
  <c r="S477" i="7"/>
  <c r="Q477" i="7"/>
  <c r="R477" i="7" s="1"/>
  <c r="P477" i="7"/>
  <c r="S476" i="7"/>
  <c r="Q476" i="7"/>
  <c r="R476" i="7" s="1"/>
  <c r="P476" i="7"/>
  <c r="S475" i="7"/>
  <c r="Q475" i="7"/>
  <c r="R475" i="7" s="1"/>
  <c r="P475" i="7"/>
  <c r="S474" i="7"/>
  <c r="Q474" i="7"/>
  <c r="R474" i="7" s="1"/>
  <c r="P474" i="7"/>
  <c r="S473" i="7"/>
  <c r="Q473" i="7"/>
  <c r="R473" i="7" s="1"/>
  <c r="P473" i="7"/>
  <c r="S472" i="7"/>
  <c r="Q472" i="7"/>
  <c r="R472" i="7" s="1"/>
  <c r="P472" i="7"/>
  <c r="S471" i="7"/>
  <c r="Q471" i="7"/>
  <c r="R471" i="7" s="1"/>
  <c r="P471" i="7"/>
  <c r="S470" i="7"/>
  <c r="Q470" i="7"/>
  <c r="R470" i="7" s="1"/>
  <c r="P470" i="7"/>
  <c r="S469" i="7"/>
  <c r="P469" i="7"/>
  <c r="Q469" i="7" s="1"/>
  <c r="R469" i="7" s="1"/>
  <c r="S468" i="7"/>
  <c r="P468" i="7"/>
  <c r="Q468" i="7" s="1"/>
  <c r="R468" i="7" s="1"/>
  <c r="S467" i="7"/>
  <c r="P467" i="7"/>
  <c r="Q467" i="7" s="1"/>
  <c r="R467" i="7" s="1"/>
  <c r="S466" i="7"/>
  <c r="P466" i="7"/>
  <c r="Q466" i="7" s="1"/>
  <c r="R466" i="7" s="1"/>
  <c r="S465" i="7"/>
  <c r="Q465" i="7"/>
  <c r="R465" i="7" s="1"/>
  <c r="P465" i="7"/>
  <c r="S464" i="7"/>
  <c r="P464" i="7"/>
  <c r="Q464" i="7" s="1"/>
  <c r="R464" i="7" s="1"/>
  <c r="S463" i="7"/>
  <c r="P463" i="7"/>
  <c r="Q463" i="7" s="1"/>
  <c r="R463" i="7" s="1"/>
  <c r="S462" i="7"/>
  <c r="Q462" i="7"/>
  <c r="R462" i="7" s="1"/>
  <c r="P462" i="7"/>
  <c r="S461" i="7"/>
  <c r="P461" i="7"/>
  <c r="Q461" i="7" s="1"/>
  <c r="R461" i="7" s="1"/>
  <c r="S460" i="7"/>
  <c r="P460" i="7"/>
  <c r="Q460" i="7" s="1"/>
  <c r="R460" i="7" s="1"/>
  <c r="S459" i="7"/>
  <c r="Q459" i="7"/>
  <c r="R459" i="7" s="1"/>
  <c r="P459" i="7"/>
  <c r="S458" i="7"/>
  <c r="P458" i="7"/>
  <c r="Q458" i="7" s="1"/>
  <c r="R458" i="7" s="1"/>
  <c r="S457" i="7"/>
  <c r="P457" i="7"/>
  <c r="Q457" i="7" s="1"/>
  <c r="R457" i="7" s="1"/>
  <c r="S456" i="7"/>
  <c r="Q456" i="7"/>
  <c r="R456" i="7" s="1"/>
  <c r="P456" i="7"/>
  <c r="S455" i="7"/>
  <c r="Q455" i="7"/>
  <c r="R455" i="7" s="1"/>
  <c r="P455" i="7"/>
  <c r="S454" i="7"/>
  <c r="Q454" i="7"/>
  <c r="R454" i="7" s="1"/>
  <c r="P454" i="7"/>
  <c r="S453" i="7"/>
  <c r="P453" i="7"/>
  <c r="Q453" i="7" s="1"/>
  <c r="R453" i="7" s="1"/>
  <c r="S452" i="7"/>
  <c r="P452" i="7"/>
  <c r="Q452" i="7" s="1"/>
  <c r="R452" i="7" s="1"/>
  <c r="S451" i="7"/>
  <c r="Q451" i="7"/>
  <c r="R451" i="7" s="1"/>
  <c r="P451" i="7"/>
  <c r="S450" i="7"/>
  <c r="Q450" i="7"/>
  <c r="R450" i="7" s="1"/>
  <c r="P450" i="7"/>
  <c r="S449" i="7"/>
  <c r="P449" i="7"/>
  <c r="Q449" i="7" s="1"/>
  <c r="R449" i="7" s="1"/>
  <c r="S448" i="7"/>
  <c r="P448" i="7"/>
  <c r="Q448" i="7" s="1"/>
  <c r="R448" i="7" s="1"/>
  <c r="S447" i="7"/>
  <c r="Q447" i="7"/>
  <c r="R447" i="7" s="1"/>
  <c r="P447" i="7"/>
  <c r="S446" i="7"/>
  <c r="P446" i="7"/>
  <c r="Q446" i="7" s="1"/>
  <c r="R446" i="7" s="1"/>
  <c r="S445" i="7"/>
  <c r="Q445" i="7"/>
  <c r="R445" i="7" s="1"/>
  <c r="P445" i="7"/>
  <c r="S444" i="7"/>
  <c r="P444" i="7"/>
  <c r="Q444" i="7" s="1"/>
  <c r="R444" i="7" s="1"/>
  <c r="S443" i="7"/>
  <c r="Q443" i="7"/>
  <c r="R443" i="7" s="1"/>
  <c r="P443" i="7"/>
  <c r="S442" i="7"/>
  <c r="P442" i="7"/>
  <c r="Q442" i="7" s="1"/>
  <c r="R442" i="7" s="1"/>
  <c r="S441" i="7"/>
  <c r="Q441" i="7"/>
  <c r="R441" i="7" s="1"/>
  <c r="P441" i="7"/>
  <c r="S440" i="7"/>
  <c r="P440" i="7"/>
  <c r="Q440" i="7" s="1"/>
  <c r="R440" i="7" s="1"/>
  <c r="S439" i="7"/>
  <c r="P439" i="7"/>
  <c r="Q439" i="7" s="1"/>
  <c r="R439" i="7" s="1"/>
  <c r="S438" i="7"/>
  <c r="Q438" i="7"/>
  <c r="R438" i="7" s="1"/>
  <c r="P438" i="7"/>
  <c r="S437" i="7"/>
  <c r="P437" i="7"/>
  <c r="Q437" i="7" s="1"/>
  <c r="R437" i="7" s="1"/>
  <c r="S436" i="7"/>
  <c r="P436" i="7"/>
  <c r="Q436" i="7" s="1"/>
  <c r="R436" i="7" s="1"/>
  <c r="S435" i="7"/>
  <c r="P435" i="7"/>
  <c r="Q435" i="7" s="1"/>
  <c r="R435" i="7" s="1"/>
  <c r="S434" i="7"/>
  <c r="Q434" i="7"/>
  <c r="R434" i="7" s="1"/>
  <c r="P434" i="7"/>
  <c r="S433" i="7"/>
  <c r="P433" i="7"/>
  <c r="Q433" i="7" s="1"/>
  <c r="R433" i="7" s="1"/>
  <c r="S432" i="7"/>
  <c r="P432" i="7"/>
  <c r="Q432" i="7" s="1"/>
  <c r="R432" i="7" s="1"/>
  <c r="S431" i="7"/>
  <c r="Q431" i="7"/>
  <c r="R431" i="7" s="1"/>
  <c r="P431" i="7"/>
  <c r="S430" i="7"/>
  <c r="Q430" i="7"/>
  <c r="R430" i="7" s="1"/>
  <c r="P430" i="7"/>
  <c r="S429" i="7"/>
  <c r="Q429" i="7"/>
  <c r="R429" i="7" s="1"/>
  <c r="P429" i="7"/>
  <c r="S428" i="7"/>
  <c r="Q428" i="7"/>
  <c r="R428" i="7" s="1"/>
  <c r="P428" i="7"/>
  <c r="S427" i="7"/>
  <c r="Q427" i="7"/>
  <c r="R427" i="7" s="1"/>
  <c r="P427" i="7"/>
  <c r="S426" i="7"/>
  <c r="Q426" i="7"/>
  <c r="R426" i="7" s="1"/>
  <c r="P426" i="7"/>
  <c r="S425" i="7"/>
  <c r="Q425" i="7"/>
  <c r="R425" i="7" s="1"/>
  <c r="P425" i="7"/>
  <c r="S424" i="7"/>
  <c r="Q424" i="7"/>
  <c r="R424" i="7" s="1"/>
  <c r="P424" i="7"/>
  <c r="S423" i="7"/>
  <c r="P423" i="7"/>
  <c r="Q423" i="7" s="1"/>
  <c r="R423" i="7" s="1"/>
  <c r="S422" i="7"/>
  <c r="P422" i="7"/>
  <c r="Q422" i="7" s="1"/>
  <c r="R422" i="7" s="1"/>
  <c r="S421" i="7"/>
  <c r="P421" i="7"/>
  <c r="Q421" i="7" s="1"/>
  <c r="R421" i="7" s="1"/>
  <c r="S420" i="7"/>
  <c r="Q420" i="7"/>
  <c r="R420" i="7" s="1"/>
  <c r="P420" i="7"/>
  <c r="S419" i="7"/>
  <c r="Q419" i="7"/>
  <c r="R419" i="7" s="1"/>
  <c r="P419" i="7"/>
  <c r="S418" i="7"/>
  <c r="P418" i="7"/>
  <c r="Q418" i="7" s="1"/>
  <c r="R418" i="7" s="1"/>
  <c r="S417" i="7"/>
  <c r="P417" i="7"/>
  <c r="Q417" i="7" s="1"/>
  <c r="R417" i="7" s="1"/>
  <c r="S416" i="7"/>
  <c r="P416" i="7"/>
  <c r="Q416" i="7" s="1"/>
  <c r="R416" i="7" s="1"/>
  <c r="S415" i="7"/>
  <c r="P415" i="7"/>
  <c r="Q415" i="7" s="1"/>
  <c r="R415" i="7" s="1"/>
  <c r="S414" i="7"/>
  <c r="P414" i="7"/>
  <c r="Q414" i="7" s="1"/>
  <c r="R414" i="7" s="1"/>
  <c r="S413" i="7"/>
  <c r="P413" i="7"/>
  <c r="Q413" i="7" s="1"/>
  <c r="R413" i="7" s="1"/>
  <c r="S412" i="7"/>
  <c r="Q412" i="7"/>
  <c r="R412" i="7" s="1"/>
  <c r="P412" i="7"/>
  <c r="S411" i="7"/>
  <c r="Q411" i="7"/>
  <c r="R411" i="7" s="1"/>
  <c r="P411" i="7"/>
  <c r="S410" i="7"/>
  <c r="P410" i="7"/>
  <c r="Q410" i="7" s="1"/>
  <c r="R410" i="7" s="1"/>
  <c r="S409" i="7"/>
  <c r="Q409" i="7"/>
  <c r="R409" i="7" s="1"/>
  <c r="P409" i="7"/>
  <c r="S408" i="7"/>
  <c r="P408" i="7"/>
  <c r="Q408" i="7" s="1"/>
  <c r="R408" i="7" s="1"/>
  <c r="S407" i="7"/>
  <c r="P407" i="7"/>
  <c r="Q407" i="7" s="1"/>
  <c r="R407" i="7" s="1"/>
  <c r="S406" i="7"/>
  <c r="Q406" i="7"/>
  <c r="R406" i="7" s="1"/>
  <c r="P406" i="7"/>
  <c r="S405" i="7"/>
  <c r="P405" i="7"/>
  <c r="Q405" i="7" s="1"/>
  <c r="R405" i="7" s="1"/>
  <c r="S404" i="7"/>
  <c r="Q404" i="7"/>
  <c r="R404" i="7" s="1"/>
  <c r="P404" i="7"/>
  <c r="S403" i="7"/>
  <c r="Q403" i="7"/>
  <c r="R403" i="7" s="1"/>
  <c r="P403" i="7"/>
  <c r="S402" i="7"/>
  <c r="P402" i="7"/>
  <c r="Q402" i="7" s="1"/>
  <c r="R402" i="7" s="1"/>
  <c r="S401" i="7"/>
  <c r="Q401" i="7"/>
  <c r="R401" i="7" s="1"/>
  <c r="P401" i="7"/>
  <c r="S400" i="7"/>
  <c r="P400" i="7"/>
  <c r="Q400" i="7" s="1"/>
  <c r="R400" i="7" s="1"/>
  <c r="S399" i="7"/>
  <c r="P399" i="7"/>
  <c r="Q399" i="7" s="1"/>
  <c r="R399" i="7" s="1"/>
  <c r="S398" i="7"/>
  <c r="P398" i="7"/>
  <c r="Q398" i="7" s="1"/>
  <c r="R398" i="7" s="1"/>
  <c r="S397" i="7"/>
  <c r="P397" i="7"/>
  <c r="Q397" i="7" s="1"/>
  <c r="R397" i="7" s="1"/>
  <c r="S396" i="7"/>
  <c r="P396" i="7"/>
  <c r="Q396" i="7" s="1"/>
  <c r="R396" i="7" s="1"/>
  <c r="S395" i="7"/>
  <c r="Q395" i="7"/>
  <c r="R395" i="7" s="1"/>
  <c r="P395" i="7"/>
  <c r="S394" i="7"/>
  <c r="P394" i="7"/>
  <c r="Q394" i="7" s="1"/>
  <c r="R394" i="7" s="1"/>
  <c r="S393" i="7"/>
  <c r="Q393" i="7"/>
  <c r="R393" i="7" s="1"/>
  <c r="P393" i="7"/>
  <c r="S392" i="7"/>
  <c r="P392" i="7"/>
  <c r="Q392" i="7" s="1"/>
  <c r="R392" i="7" s="1"/>
  <c r="S391" i="7"/>
  <c r="Q391" i="7"/>
  <c r="R391" i="7" s="1"/>
  <c r="P391" i="7"/>
  <c r="S390" i="7"/>
  <c r="P390" i="7"/>
  <c r="Q390" i="7" s="1"/>
  <c r="R390" i="7" s="1"/>
  <c r="S389" i="7"/>
  <c r="Q389" i="7"/>
  <c r="R389" i="7" s="1"/>
  <c r="P389" i="7"/>
  <c r="S388" i="7"/>
  <c r="P388" i="7"/>
  <c r="Q388" i="7" s="1"/>
  <c r="R388" i="7" s="1"/>
  <c r="S387" i="7"/>
  <c r="Q387" i="7"/>
  <c r="R387" i="7" s="1"/>
  <c r="P387" i="7"/>
  <c r="S386" i="7"/>
  <c r="Q386" i="7"/>
  <c r="R386" i="7" s="1"/>
  <c r="P386" i="7"/>
  <c r="S385" i="7"/>
  <c r="P385" i="7"/>
  <c r="Q385" i="7" s="1"/>
  <c r="R385" i="7" s="1"/>
  <c r="S384" i="7"/>
  <c r="P384" i="7"/>
  <c r="Q384" i="7" s="1"/>
  <c r="R384" i="7" s="1"/>
  <c r="S383" i="7"/>
  <c r="P383" i="7"/>
  <c r="Q383" i="7" s="1"/>
  <c r="R383" i="7" s="1"/>
  <c r="S382" i="7"/>
  <c r="P382" i="7"/>
  <c r="Q382" i="7" s="1"/>
  <c r="R382" i="7" s="1"/>
  <c r="S381" i="7"/>
  <c r="Q381" i="7"/>
  <c r="R381" i="7" s="1"/>
  <c r="P381" i="7"/>
  <c r="S380" i="7"/>
  <c r="Q380" i="7"/>
  <c r="R380" i="7" s="1"/>
  <c r="P380" i="7"/>
  <c r="S379" i="7"/>
  <c r="Q379" i="7"/>
  <c r="R379" i="7" s="1"/>
  <c r="P379" i="7"/>
  <c r="S378" i="7"/>
  <c r="P378" i="7"/>
  <c r="Q378" i="7" s="1"/>
  <c r="R378" i="7" s="1"/>
  <c r="S377" i="7"/>
  <c r="P377" i="7"/>
  <c r="Q377" i="7" s="1"/>
  <c r="R377" i="7" s="1"/>
  <c r="S376" i="7"/>
  <c r="P376" i="7"/>
  <c r="Q376" i="7" s="1"/>
  <c r="R376" i="7" s="1"/>
  <c r="S375" i="7"/>
  <c r="Q375" i="7"/>
  <c r="R375" i="7" s="1"/>
  <c r="P375" i="7"/>
  <c r="S374" i="7"/>
  <c r="P374" i="7"/>
  <c r="Q374" i="7" s="1"/>
  <c r="R374" i="7" s="1"/>
  <c r="S373" i="7"/>
  <c r="Q373" i="7"/>
  <c r="R373" i="7" s="1"/>
  <c r="P373" i="7"/>
  <c r="S372" i="7"/>
  <c r="Q372" i="7"/>
  <c r="R372" i="7" s="1"/>
  <c r="P372" i="7"/>
  <c r="S371" i="7"/>
  <c r="Q371" i="7"/>
  <c r="R371" i="7" s="1"/>
  <c r="P371" i="7"/>
  <c r="S370" i="7"/>
  <c r="P370" i="7"/>
  <c r="Q370" i="7" s="1"/>
  <c r="R370" i="7" s="1"/>
  <c r="S369" i="7"/>
  <c r="P369" i="7"/>
  <c r="Q369" i="7" s="1"/>
  <c r="R369" i="7" s="1"/>
  <c r="S368" i="7"/>
  <c r="P368" i="7"/>
  <c r="Q368" i="7" s="1"/>
  <c r="R368" i="7" s="1"/>
  <c r="S367" i="7"/>
  <c r="P367" i="7"/>
  <c r="Q367" i="7" s="1"/>
  <c r="R367" i="7" s="1"/>
  <c r="S366" i="7"/>
  <c r="P366" i="7"/>
  <c r="Q366" i="7" s="1"/>
  <c r="R366" i="7" s="1"/>
  <c r="S365" i="7"/>
  <c r="P365" i="7"/>
  <c r="Q365" i="7" s="1"/>
  <c r="R365" i="7" s="1"/>
  <c r="S364" i="7"/>
  <c r="P364" i="7"/>
  <c r="Q364" i="7" s="1"/>
  <c r="R364" i="7" s="1"/>
  <c r="S363" i="7"/>
  <c r="P363" i="7"/>
  <c r="Q363" i="7" s="1"/>
  <c r="R363" i="7" s="1"/>
  <c r="S362" i="7"/>
  <c r="Q362" i="7"/>
  <c r="R362" i="7" s="1"/>
  <c r="P362" i="7"/>
  <c r="S361" i="7"/>
  <c r="P361" i="7"/>
  <c r="Q361" i="7" s="1"/>
  <c r="R361" i="7" s="1"/>
  <c r="S360" i="7"/>
  <c r="Q360" i="7"/>
  <c r="R360" i="7" s="1"/>
  <c r="P360" i="7"/>
  <c r="S359" i="7"/>
  <c r="Q359" i="7"/>
  <c r="R359" i="7" s="1"/>
  <c r="P359" i="7"/>
  <c r="S358" i="7"/>
  <c r="Q358" i="7"/>
  <c r="R358" i="7" s="1"/>
  <c r="P358" i="7"/>
  <c r="S357" i="7"/>
  <c r="P357" i="7"/>
  <c r="Q357" i="7" s="1"/>
  <c r="R357" i="7" s="1"/>
  <c r="S356" i="7"/>
  <c r="Q356" i="7"/>
  <c r="R356" i="7" s="1"/>
  <c r="P356" i="7"/>
  <c r="S355" i="7"/>
  <c r="Q355" i="7"/>
  <c r="R355" i="7" s="1"/>
  <c r="P355" i="7"/>
  <c r="S354" i="7"/>
  <c r="Q354" i="7"/>
  <c r="R354" i="7" s="1"/>
  <c r="P354" i="7"/>
  <c r="S353" i="7"/>
  <c r="P353" i="7"/>
  <c r="Q353" i="7" s="1"/>
  <c r="R353" i="7" s="1"/>
  <c r="S352" i="7"/>
  <c r="P352" i="7"/>
  <c r="Q352" i="7" s="1"/>
  <c r="R352" i="7" s="1"/>
  <c r="S351" i="7"/>
  <c r="P351" i="7"/>
  <c r="Q351" i="7" s="1"/>
  <c r="R351" i="7" s="1"/>
  <c r="S350" i="7"/>
  <c r="P350" i="7"/>
  <c r="Q350" i="7" s="1"/>
  <c r="R350" i="7" s="1"/>
  <c r="S349" i="7"/>
  <c r="P349" i="7"/>
  <c r="Q349" i="7" s="1"/>
  <c r="R349" i="7" s="1"/>
  <c r="S348" i="7"/>
  <c r="Q348" i="7"/>
  <c r="R348" i="7" s="1"/>
  <c r="P348" i="7"/>
  <c r="S347" i="7"/>
  <c r="Q347" i="7"/>
  <c r="R347" i="7" s="1"/>
  <c r="P347" i="7"/>
  <c r="S346" i="7"/>
  <c r="P346" i="7"/>
  <c r="Q346" i="7" s="1"/>
  <c r="R346" i="7" s="1"/>
  <c r="S345" i="7"/>
  <c r="P345" i="7"/>
  <c r="Q345" i="7" s="1"/>
  <c r="R345" i="7" s="1"/>
  <c r="S344" i="7"/>
  <c r="Q344" i="7"/>
  <c r="R344" i="7" s="1"/>
  <c r="P344" i="7"/>
  <c r="S343" i="7"/>
  <c r="P343" i="7"/>
  <c r="Q343" i="7" s="1"/>
  <c r="R343" i="7" s="1"/>
  <c r="S342" i="7"/>
  <c r="Q342" i="7"/>
  <c r="R342" i="7" s="1"/>
  <c r="P342" i="7"/>
  <c r="S341" i="7"/>
  <c r="P341" i="7"/>
  <c r="Q341" i="7" s="1"/>
  <c r="R341" i="7" s="1"/>
  <c r="S340" i="7"/>
  <c r="Q340" i="7"/>
  <c r="R340" i="7" s="1"/>
  <c r="P340" i="7"/>
  <c r="S339" i="7"/>
  <c r="P339" i="7"/>
  <c r="Q339" i="7" s="1"/>
  <c r="R339" i="7" s="1"/>
  <c r="S338" i="7"/>
  <c r="P338" i="7"/>
  <c r="Q338" i="7" s="1"/>
  <c r="R338" i="7" s="1"/>
  <c r="S337" i="7"/>
  <c r="Q337" i="7"/>
  <c r="R337" i="7" s="1"/>
  <c r="P337" i="7"/>
  <c r="S336" i="7"/>
  <c r="Q336" i="7"/>
  <c r="R336" i="7" s="1"/>
  <c r="P336" i="7"/>
  <c r="S335" i="7"/>
  <c r="P335" i="7"/>
  <c r="Q335" i="7" s="1"/>
  <c r="R335" i="7" s="1"/>
  <c r="S334" i="7"/>
  <c r="Q334" i="7"/>
  <c r="R334" i="7" s="1"/>
  <c r="P334" i="7"/>
  <c r="S333" i="7"/>
  <c r="Q333" i="7"/>
  <c r="R333" i="7" s="1"/>
  <c r="P333" i="7"/>
  <c r="S332" i="7"/>
  <c r="Q332" i="7"/>
  <c r="R332" i="7" s="1"/>
  <c r="P332" i="7"/>
  <c r="S331" i="7"/>
  <c r="Q331" i="7"/>
  <c r="R331" i="7" s="1"/>
  <c r="P331" i="7"/>
  <c r="S330" i="7"/>
  <c r="Q330" i="7"/>
  <c r="R330" i="7" s="1"/>
  <c r="P330" i="7"/>
  <c r="S329" i="7"/>
  <c r="Q329" i="7"/>
  <c r="R329" i="7" s="1"/>
  <c r="P329" i="7"/>
  <c r="S328" i="7"/>
  <c r="P328" i="7"/>
  <c r="Q328" i="7" s="1"/>
  <c r="R328" i="7" s="1"/>
  <c r="S327" i="7"/>
  <c r="Q327" i="7"/>
  <c r="R327" i="7" s="1"/>
  <c r="P327" i="7"/>
  <c r="S326" i="7"/>
  <c r="Q326" i="7"/>
  <c r="R326" i="7" s="1"/>
  <c r="P326" i="7"/>
  <c r="S325" i="7"/>
  <c r="Q325" i="7"/>
  <c r="R325" i="7" s="1"/>
  <c r="P325" i="7"/>
  <c r="S324" i="7"/>
  <c r="P324" i="7"/>
  <c r="Q324" i="7" s="1"/>
  <c r="R324" i="7" s="1"/>
  <c r="S323" i="7"/>
  <c r="P323" i="7"/>
  <c r="Q323" i="7" s="1"/>
  <c r="R323" i="7" s="1"/>
  <c r="S322" i="7"/>
  <c r="P322" i="7"/>
  <c r="Q322" i="7" s="1"/>
  <c r="R322" i="7" s="1"/>
  <c r="S321" i="7"/>
  <c r="Q321" i="7"/>
  <c r="R321" i="7" s="1"/>
  <c r="P321" i="7"/>
  <c r="S320" i="7"/>
  <c r="Q320" i="7"/>
  <c r="R320" i="7" s="1"/>
  <c r="P320" i="7"/>
  <c r="S319" i="7"/>
  <c r="Q319" i="7"/>
  <c r="R319" i="7" s="1"/>
  <c r="P319" i="7"/>
  <c r="S318" i="7"/>
  <c r="Q318" i="7"/>
  <c r="R318" i="7" s="1"/>
  <c r="P318" i="7"/>
  <c r="S317" i="7"/>
  <c r="Q317" i="7"/>
  <c r="R317" i="7" s="1"/>
  <c r="P317" i="7"/>
  <c r="S316" i="7"/>
  <c r="Q316" i="7"/>
  <c r="R316" i="7" s="1"/>
  <c r="P316" i="7"/>
  <c r="S315" i="7"/>
  <c r="Q315" i="7"/>
  <c r="R315" i="7" s="1"/>
  <c r="P315" i="7"/>
  <c r="S314" i="7"/>
  <c r="Q314" i="7"/>
  <c r="R314" i="7" s="1"/>
  <c r="P314" i="7"/>
  <c r="S313" i="7"/>
  <c r="P313" i="7"/>
  <c r="Q313" i="7" s="1"/>
  <c r="R313" i="7" s="1"/>
  <c r="S312" i="7"/>
  <c r="P312" i="7"/>
  <c r="Q312" i="7" s="1"/>
  <c r="R312" i="7" s="1"/>
  <c r="S311" i="7"/>
  <c r="P311" i="7"/>
  <c r="Q311" i="7" s="1"/>
  <c r="R311" i="7" s="1"/>
  <c r="S310" i="7"/>
  <c r="Q310" i="7"/>
  <c r="R310" i="7" s="1"/>
  <c r="P310" i="7"/>
  <c r="S309" i="7"/>
  <c r="Q309" i="7"/>
  <c r="R309" i="7" s="1"/>
  <c r="P309" i="7"/>
  <c r="S308" i="7"/>
  <c r="Q308" i="7"/>
  <c r="R308" i="7" s="1"/>
  <c r="P308" i="7"/>
  <c r="S307" i="7"/>
  <c r="P307" i="7"/>
  <c r="Q307" i="7" s="1"/>
  <c r="R307" i="7" s="1"/>
  <c r="S306" i="7"/>
  <c r="Q306" i="7"/>
  <c r="R306" i="7" s="1"/>
  <c r="P306" i="7"/>
  <c r="S305" i="7"/>
  <c r="P305" i="7"/>
  <c r="Q305" i="7" s="1"/>
  <c r="R305" i="7" s="1"/>
  <c r="S304" i="7"/>
  <c r="P304" i="7"/>
  <c r="Q304" i="7" s="1"/>
  <c r="R304" i="7" s="1"/>
  <c r="S303" i="7"/>
  <c r="Q303" i="7"/>
  <c r="R303" i="7" s="1"/>
  <c r="P303" i="7"/>
  <c r="S302" i="7"/>
  <c r="Q302" i="7"/>
  <c r="R302" i="7" s="1"/>
  <c r="P302" i="7"/>
  <c r="S301" i="7"/>
  <c r="P301" i="7"/>
  <c r="Q301" i="7" s="1"/>
  <c r="R301" i="7" s="1"/>
  <c r="S300" i="7"/>
  <c r="P300" i="7"/>
  <c r="Q300" i="7" s="1"/>
  <c r="R300" i="7" s="1"/>
  <c r="S299" i="7"/>
  <c r="Q299" i="7"/>
  <c r="R299" i="7" s="1"/>
  <c r="P299" i="7"/>
  <c r="S298" i="7"/>
  <c r="P298" i="7"/>
  <c r="Q298" i="7" s="1"/>
  <c r="R298" i="7" s="1"/>
  <c r="S297" i="7"/>
  <c r="Q297" i="7"/>
  <c r="R297" i="7" s="1"/>
  <c r="P297" i="7"/>
  <c r="S296" i="7"/>
  <c r="P296" i="7"/>
  <c r="Q296" i="7" s="1"/>
  <c r="R296" i="7" s="1"/>
  <c r="S295" i="7"/>
  <c r="P295" i="7"/>
  <c r="Q295" i="7" s="1"/>
  <c r="R295" i="7" s="1"/>
  <c r="S294" i="7"/>
  <c r="P294" i="7"/>
  <c r="Q294" i="7" s="1"/>
  <c r="R294" i="7" s="1"/>
  <c r="S293" i="7"/>
  <c r="Q293" i="7"/>
  <c r="R293" i="7" s="1"/>
  <c r="P293" i="7"/>
  <c r="S292" i="7"/>
  <c r="Q292" i="7"/>
  <c r="R292" i="7" s="1"/>
  <c r="P292" i="7"/>
  <c r="S291" i="7"/>
  <c r="Q291" i="7"/>
  <c r="R291" i="7" s="1"/>
  <c r="P291" i="7"/>
  <c r="S290" i="7"/>
  <c r="P290" i="7"/>
  <c r="Q290" i="7" s="1"/>
  <c r="R290" i="7" s="1"/>
  <c r="S289" i="7"/>
  <c r="Q289" i="7"/>
  <c r="R289" i="7" s="1"/>
  <c r="P289" i="7"/>
  <c r="S288" i="7"/>
  <c r="Q288" i="7"/>
  <c r="R288" i="7" s="1"/>
  <c r="P288" i="7"/>
  <c r="S287" i="7"/>
  <c r="Q287" i="7"/>
  <c r="R287" i="7" s="1"/>
  <c r="P287" i="7"/>
  <c r="S286" i="7"/>
  <c r="Q286" i="7"/>
  <c r="R286" i="7" s="1"/>
  <c r="P286" i="7"/>
  <c r="S285" i="7"/>
  <c r="P285" i="7"/>
  <c r="Q285" i="7" s="1"/>
  <c r="R285" i="7" s="1"/>
  <c r="S284" i="7"/>
  <c r="P284" i="7"/>
  <c r="Q284" i="7" s="1"/>
  <c r="R284" i="7" s="1"/>
  <c r="S283" i="7"/>
  <c r="Q283" i="7"/>
  <c r="R283" i="7" s="1"/>
  <c r="P283" i="7"/>
  <c r="S282" i="7"/>
  <c r="P282" i="7"/>
  <c r="Q282" i="7" s="1"/>
  <c r="R282" i="7" s="1"/>
  <c r="S281" i="7"/>
  <c r="Q281" i="7"/>
  <c r="R281" i="7" s="1"/>
  <c r="P281" i="7"/>
  <c r="S280" i="7"/>
  <c r="P280" i="7"/>
  <c r="Q280" i="7" s="1"/>
  <c r="R280" i="7" s="1"/>
  <c r="S279" i="7"/>
  <c r="Q279" i="7"/>
  <c r="R279" i="7" s="1"/>
  <c r="P279" i="7"/>
  <c r="S278" i="7"/>
  <c r="Q278" i="7"/>
  <c r="R278" i="7" s="1"/>
  <c r="P278" i="7"/>
  <c r="S277" i="7"/>
  <c r="P277" i="7"/>
  <c r="Q277" i="7" s="1"/>
  <c r="R277" i="7" s="1"/>
  <c r="S276" i="7"/>
  <c r="P276" i="7"/>
  <c r="Q276" i="7" s="1"/>
  <c r="R276" i="7" s="1"/>
  <c r="S275" i="7"/>
  <c r="P275" i="7"/>
  <c r="Q275" i="7" s="1"/>
  <c r="R275" i="7" s="1"/>
  <c r="S274" i="7"/>
  <c r="P274" i="7"/>
  <c r="Q274" i="7" s="1"/>
  <c r="R274" i="7" s="1"/>
  <c r="S273" i="7"/>
  <c r="P273" i="7"/>
  <c r="Q273" i="7" s="1"/>
  <c r="R273" i="7" s="1"/>
  <c r="S272" i="7"/>
  <c r="Q272" i="7"/>
  <c r="R272" i="7" s="1"/>
  <c r="P272" i="7"/>
  <c r="S271" i="7"/>
  <c r="Q271" i="7"/>
  <c r="R271" i="7" s="1"/>
  <c r="P271" i="7"/>
  <c r="S270" i="7"/>
  <c r="Q270" i="7"/>
  <c r="R270" i="7" s="1"/>
  <c r="P270" i="7"/>
  <c r="S269" i="7"/>
  <c r="P269" i="7"/>
  <c r="Q269" i="7" s="1"/>
  <c r="R269" i="7" s="1"/>
  <c r="S268" i="7"/>
  <c r="Q268" i="7"/>
  <c r="R268" i="7" s="1"/>
  <c r="P268" i="7"/>
  <c r="S267" i="7"/>
  <c r="Q267" i="7"/>
  <c r="R267" i="7" s="1"/>
  <c r="P267" i="7"/>
  <c r="S266" i="7"/>
  <c r="P266" i="7"/>
  <c r="Q266" i="7" s="1"/>
  <c r="R266" i="7" s="1"/>
  <c r="S265" i="7"/>
  <c r="Q265" i="7"/>
  <c r="R265" i="7" s="1"/>
  <c r="P265" i="7"/>
  <c r="S264" i="7"/>
  <c r="Q264" i="7"/>
  <c r="R264" i="7" s="1"/>
  <c r="P264" i="7"/>
  <c r="S263" i="7"/>
  <c r="Q263" i="7"/>
  <c r="R263" i="7" s="1"/>
  <c r="P263" i="7"/>
  <c r="S262" i="7"/>
  <c r="P262" i="7"/>
  <c r="Q262" i="7" s="1"/>
  <c r="R262" i="7" s="1"/>
  <c r="S261" i="7"/>
  <c r="P261" i="7"/>
  <c r="Q261" i="7" s="1"/>
  <c r="R261" i="7" s="1"/>
  <c r="S260" i="7"/>
  <c r="P260" i="7"/>
  <c r="Q260" i="7" s="1"/>
  <c r="R260" i="7" s="1"/>
  <c r="S259" i="7"/>
  <c r="Q259" i="7"/>
  <c r="R259" i="7" s="1"/>
  <c r="P259" i="7"/>
  <c r="S258" i="7"/>
  <c r="P258" i="7"/>
  <c r="Q258" i="7" s="1"/>
  <c r="R258" i="7" s="1"/>
  <c r="S257" i="7"/>
  <c r="P257" i="7"/>
  <c r="Q257" i="7" s="1"/>
  <c r="R257" i="7" s="1"/>
  <c r="S256" i="7"/>
  <c r="P256" i="7"/>
  <c r="Q256" i="7" s="1"/>
  <c r="R256" i="7" s="1"/>
  <c r="S255" i="7"/>
  <c r="P255" i="7"/>
  <c r="Q255" i="7" s="1"/>
  <c r="R255" i="7" s="1"/>
  <c r="S254" i="7"/>
  <c r="Q254" i="7"/>
  <c r="R254" i="7" s="1"/>
  <c r="P254" i="7"/>
  <c r="S253" i="7"/>
  <c r="Q253" i="7"/>
  <c r="R253" i="7" s="1"/>
  <c r="P253" i="7"/>
  <c r="S252" i="7"/>
  <c r="Q252" i="7"/>
  <c r="R252" i="7" s="1"/>
  <c r="P252" i="7"/>
  <c r="S251" i="7"/>
  <c r="P251" i="7"/>
  <c r="Q251" i="7" s="1"/>
  <c r="R251" i="7" s="1"/>
  <c r="S250" i="7"/>
  <c r="Q250" i="7"/>
  <c r="R250" i="7" s="1"/>
  <c r="P250" i="7"/>
  <c r="S249" i="7"/>
  <c r="P249" i="7"/>
  <c r="Q249" i="7" s="1"/>
  <c r="R249" i="7" s="1"/>
  <c r="S248" i="7"/>
  <c r="P248" i="7"/>
  <c r="Q248" i="7" s="1"/>
  <c r="R248" i="7" s="1"/>
  <c r="S247" i="7"/>
  <c r="P247" i="7"/>
  <c r="Q247" i="7" s="1"/>
  <c r="R247" i="7" s="1"/>
  <c r="S246" i="7"/>
  <c r="P246" i="7"/>
  <c r="Q246" i="7" s="1"/>
  <c r="R246" i="7" s="1"/>
  <c r="S245" i="7"/>
  <c r="P245" i="7"/>
  <c r="Q245" i="7" s="1"/>
  <c r="R245" i="7" s="1"/>
  <c r="S244" i="7"/>
  <c r="P244" i="7"/>
  <c r="Q244" i="7" s="1"/>
  <c r="R244" i="7" s="1"/>
  <c r="S243" i="7"/>
  <c r="P243" i="7"/>
  <c r="Q243" i="7" s="1"/>
  <c r="R243" i="7" s="1"/>
  <c r="S242" i="7"/>
  <c r="Q242" i="7"/>
  <c r="R242" i="7" s="1"/>
  <c r="P242" i="7"/>
  <c r="S241" i="7"/>
  <c r="P241" i="7"/>
  <c r="Q241" i="7" s="1"/>
  <c r="R241" i="7" s="1"/>
  <c r="S240" i="7"/>
  <c r="Q240" i="7"/>
  <c r="R240" i="7" s="1"/>
  <c r="P240" i="7"/>
  <c r="S239" i="7"/>
  <c r="P239" i="7"/>
  <c r="Q239" i="7" s="1"/>
  <c r="R239" i="7" s="1"/>
  <c r="S238" i="7"/>
  <c r="P238" i="7"/>
  <c r="Q238" i="7" s="1"/>
  <c r="R238" i="7" s="1"/>
  <c r="S237" i="7"/>
  <c r="P237" i="7"/>
  <c r="Q237" i="7" s="1"/>
  <c r="R237" i="7" s="1"/>
  <c r="S236" i="7"/>
  <c r="P236" i="7"/>
  <c r="Q236" i="7" s="1"/>
  <c r="R236" i="7" s="1"/>
  <c r="S235" i="7"/>
  <c r="P235" i="7"/>
  <c r="Q235" i="7" s="1"/>
  <c r="R235" i="7" s="1"/>
  <c r="S234" i="7"/>
  <c r="P234" i="7"/>
  <c r="Q234" i="7" s="1"/>
  <c r="R234" i="7" s="1"/>
  <c r="S233" i="7"/>
  <c r="P233" i="7"/>
  <c r="Q233" i="7" s="1"/>
  <c r="R233" i="7" s="1"/>
  <c r="S232" i="7"/>
  <c r="Q232" i="7"/>
  <c r="R232" i="7" s="1"/>
  <c r="P232" i="7"/>
  <c r="S231" i="7"/>
  <c r="P231" i="7"/>
  <c r="Q231" i="7" s="1"/>
  <c r="R231" i="7" s="1"/>
  <c r="S230" i="7"/>
  <c r="P230" i="7"/>
  <c r="Q230" i="7" s="1"/>
  <c r="R230" i="7" s="1"/>
  <c r="S229" i="7"/>
  <c r="P229" i="7"/>
  <c r="Q229" i="7" s="1"/>
  <c r="R229" i="7" s="1"/>
  <c r="S228" i="7"/>
  <c r="P228" i="7"/>
  <c r="Q228" i="7" s="1"/>
  <c r="R228" i="7" s="1"/>
  <c r="S227" i="7"/>
  <c r="P227" i="7"/>
  <c r="Q227" i="7" s="1"/>
  <c r="R227" i="7" s="1"/>
  <c r="S226" i="7"/>
  <c r="Q226" i="7"/>
  <c r="R226" i="7" s="1"/>
  <c r="P226" i="7"/>
  <c r="S225" i="7"/>
  <c r="P225" i="7"/>
  <c r="Q225" i="7" s="1"/>
  <c r="R225" i="7" s="1"/>
  <c r="S224" i="7"/>
  <c r="P224" i="7"/>
  <c r="Q224" i="7" s="1"/>
  <c r="R224" i="7" s="1"/>
  <c r="S223" i="7"/>
  <c r="Q223" i="7"/>
  <c r="R223" i="7" s="1"/>
  <c r="P223" i="7"/>
  <c r="S222" i="7"/>
  <c r="Q222" i="7"/>
  <c r="R222" i="7" s="1"/>
  <c r="P222" i="7"/>
  <c r="S221" i="7"/>
  <c r="P221" i="7"/>
  <c r="Q221" i="7" s="1"/>
  <c r="R221" i="7" s="1"/>
  <c r="S220" i="7"/>
  <c r="P220" i="7"/>
  <c r="Q220" i="7" s="1"/>
  <c r="R220" i="7" s="1"/>
  <c r="S219" i="7"/>
  <c r="Q219" i="7"/>
  <c r="R219" i="7" s="1"/>
  <c r="P219" i="7"/>
  <c r="S218" i="7"/>
  <c r="Q218" i="7"/>
  <c r="R218" i="7" s="1"/>
  <c r="P218" i="7"/>
  <c r="S217" i="7"/>
  <c r="P217" i="7"/>
  <c r="Q217" i="7" s="1"/>
  <c r="R217" i="7" s="1"/>
  <c r="S216" i="7"/>
  <c r="P216" i="7"/>
  <c r="Q216" i="7" s="1"/>
  <c r="R216" i="7" s="1"/>
  <c r="S215" i="7"/>
  <c r="P215" i="7"/>
  <c r="Q215" i="7" s="1"/>
  <c r="R215" i="7" s="1"/>
  <c r="S214" i="7"/>
  <c r="Q214" i="7"/>
  <c r="R214" i="7" s="1"/>
  <c r="P214" i="7"/>
  <c r="S213" i="7"/>
  <c r="Q213" i="7"/>
  <c r="R213" i="7" s="1"/>
  <c r="P213" i="7"/>
  <c r="S212" i="7"/>
  <c r="P212" i="7"/>
  <c r="Q212" i="7" s="1"/>
  <c r="R212" i="7" s="1"/>
  <c r="S211" i="7"/>
  <c r="P211" i="7"/>
  <c r="Q211" i="7" s="1"/>
  <c r="R211" i="7" s="1"/>
  <c r="S210" i="7"/>
  <c r="P210" i="7"/>
  <c r="Q210" i="7" s="1"/>
  <c r="R210" i="7" s="1"/>
  <c r="S209" i="7"/>
  <c r="Q209" i="7"/>
  <c r="R209" i="7" s="1"/>
  <c r="P209" i="7"/>
  <c r="S208" i="7"/>
  <c r="Q208" i="7"/>
  <c r="R208" i="7" s="1"/>
  <c r="P208" i="7"/>
  <c r="S207" i="7"/>
  <c r="Q207" i="7"/>
  <c r="R207" i="7" s="1"/>
  <c r="P207" i="7"/>
  <c r="S206" i="7"/>
  <c r="Q206" i="7"/>
  <c r="R206" i="7" s="1"/>
  <c r="P206" i="7"/>
  <c r="S205" i="7"/>
  <c r="P205" i="7"/>
  <c r="Q205" i="7" s="1"/>
  <c r="R205" i="7" s="1"/>
  <c r="S204" i="7"/>
  <c r="Q204" i="7"/>
  <c r="R204" i="7" s="1"/>
  <c r="P204" i="7"/>
  <c r="S203" i="7"/>
  <c r="P203" i="7"/>
  <c r="Q203" i="7" s="1"/>
  <c r="R203" i="7" s="1"/>
  <c r="S202" i="7"/>
  <c r="P202" i="7"/>
  <c r="Q202" i="7" s="1"/>
  <c r="R202" i="7" s="1"/>
  <c r="S201" i="7"/>
  <c r="P201" i="7"/>
  <c r="Q201" i="7" s="1"/>
  <c r="R201" i="7" s="1"/>
  <c r="S200" i="7"/>
  <c r="Q200" i="7"/>
  <c r="R200" i="7" s="1"/>
  <c r="P200" i="7"/>
  <c r="S199" i="7"/>
  <c r="P199" i="7"/>
  <c r="Q199" i="7" s="1"/>
  <c r="R199" i="7" s="1"/>
  <c r="S198" i="7"/>
  <c r="P198" i="7"/>
  <c r="Q198" i="7" s="1"/>
  <c r="R198" i="7" s="1"/>
  <c r="S197" i="7"/>
  <c r="P197" i="7"/>
  <c r="Q197" i="7" s="1"/>
  <c r="R197" i="7" s="1"/>
  <c r="S196" i="7"/>
  <c r="P196" i="7"/>
  <c r="Q196" i="7" s="1"/>
  <c r="R196" i="7" s="1"/>
  <c r="S195" i="7"/>
  <c r="P195" i="7"/>
  <c r="Q195" i="7" s="1"/>
  <c r="R195" i="7" s="1"/>
  <c r="S194" i="7"/>
  <c r="P194" i="7"/>
  <c r="Q194" i="7" s="1"/>
  <c r="R194" i="7" s="1"/>
  <c r="S193" i="7"/>
  <c r="P193" i="7"/>
  <c r="Q193" i="7" s="1"/>
  <c r="R193" i="7" s="1"/>
  <c r="S192" i="7"/>
  <c r="P192" i="7"/>
  <c r="Q192" i="7" s="1"/>
  <c r="R192" i="7" s="1"/>
  <c r="S191" i="7"/>
  <c r="Q191" i="7"/>
  <c r="R191" i="7" s="1"/>
  <c r="P191" i="7"/>
  <c r="S190" i="7"/>
  <c r="P190" i="7"/>
  <c r="Q190" i="7" s="1"/>
  <c r="R190" i="7" s="1"/>
  <c r="S189" i="7"/>
  <c r="P189" i="7"/>
  <c r="Q189" i="7" s="1"/>
  <c r="R189" i="7" s="1"/>
  <c r="S188" i="7"/>
  <c r="Q188" i="7"/>
  <c r="R188" i="7" s="1"/>
  <c r="P188" i="7"/>
  <c r="S187" i="7"/>
  <c r="Q187" i="7"/>
  <c r="R187" i="7" s="1"/>
  <c r="P187" i="7"/>
  <c r="S186" i="7"/>
  <c r="P186" i="7"/>
  <c r="Q186" i="7" s="1"/>
  <c r="R186" i="7" s="1"/>
  <c r="S185" i="7"/>
  <c r="P185" i="7"/>
  <c r="Q185" i="7" s="1"/>
  <c r="R185" i="7" s="1"/>
  <c r="S184" i="7"/>
  <c r="P184" i="7"/>
  <c r="Q184" i="7" s="1"/>
  <c r="R184" i="7" s="1"/>
  <c r="S183" i="7"/>
  <c r="P183" i="7"/>
  <c r="Q183" i="7" s="1"/>
  <c r="R183" i="7" s="1"/>
  <c r="S182" i="7"/>
  <c r="Q182" i="7"/>
  <c r="R182" i="7" s="1"/>
  <c r="P182" i="7"/>
  <c r="S181" i="7"/>
  <c r="P181" i="7"/>
  <c r="Q181" i="7" s="1"/>
  <c r="R181" i="7" s="1"/>
  <c r="S180" i="7"/>
  <c r="Q180" i="7"/>
  <c r="R180" i="7" s="1"/>
  <c r="P180" i="7"/>
  <c r="S179" i="7"/>
  <c r="P179" i="7"/>
  <c r="Q179" i="7" s="1"/>
  <c r="R179" i="7" s="1"/>
  <c r="S178" i="7"/>
  <c r="P178" i="7"/>
  <c r="Q178" i="7" s="1"/>
  <c r="R178" i="7" s="1"/>
  <c r="S177" i="7"/>
  <c r="Q177" i="7"/>
  <c r="R177" i="7" s="1"/>
  <c r="P177" i="7"/>
  <c r="S176" i="7"/>
  <c r="Q176" i="7"/>
  <c r="R176" i="7" s="1"/>
  <c r="P176" i="7"/>
  <c r="S175" i="7"/>
  <c r="Q175" i="7"/>
  <c r="R175" i="7" s="1"/>
  <c r="P175" i="7"/>
  <c r="S174" i="7"/>
  <c r="Q174" i="7"/>
  <c r="R174" i="7" s="1"/>
  <c r="P174" i="7"/>
  <c r="S173" i="7"/>
  <c r="Q173" i="7"/>
  <c r="R173" i="7" s="1"/>
  <c r="P173" i="7"/>
  <c r="S172" i="7"/>
  <c r="P172" i="7"/>
  <c r="Q172" i="7" s="1"/>
  <c r="R172" i="7" s="1"/>
  <c r="S171" i="7"/>
  <c r="P171" i="7"/>
  <c r="Q171" i="7" s="1"/>
  <c r="R171" i="7" s="1"/>
  <c r="S170" i="7"/>
  <c r="Q170" i="7"/>
  <c r="R170" i="7" s="1"/>
  <c r="P170" i="7"/>
  <c r="S169" i="7"/>
  <c r="Q169" i="7"/>
  <c r="R169" i="7" s="1"/>
  <c r="P169" i="7"/>
  <c r="S168" i="7"/>
  <c r="P168" i="7"/>
  <c r="Q168" i="7" s="1"/>
  <c r="R168" i="7" s="1"/>
  <c r="S167" i="7"/>
  <c r="P167" i="7"/>
  <c r="Q167" i="7" s="1"/>
  <c r="R167" i="7" s="1"/>
  <c r="S166" i="7"/>
  <c r="P166" i="7"/>
  <c r="Q166" i="7" s="1"/>
  <c r="R166" i="7" s="1"/>
  <c r="S165" i="7"/>
  <c r="P165" i="7"/>
  <c r="Q165" i="7" s="1"/>
  <c r="R165" i="7" s="1"/>
  <c r="S164" i="7"/>
  <c r="Q164" i="7"/>
  <c r="R164" i="7" s="1"/>
  <c r="P164" i="7"/>
  <c r="S163" i="7"/>
  <c r="P163" i="7"/>
  <c r="Q163" i="7" s="1"/>
  <c r="R163" i="7" s="1"/>
  <c r="S162" i="7"/>
  <c r="Q162" i="7"/>
  <c r="R162" i="7" s="1"/>
  <c r="P162" i="7"/>
  <c r="S161" i="7"/>
  <c r="P161" i="7"/>
  <c r="Q161" i="7" s="1"/>
  <c r="R161" i="7" s="1"/>
  <c r="S160" i="7"/>
  <c r="Q160" i="7"/>
  <c r="R160" i="7" s="1"/>
  <c r="P160" i="7"/>
  <c r="S159" i="7"/>
  <c r="P159" i="7"/>
  <c r="Q159" i="7" s="1"/>
  <c r="R159" i="7" s="1"/>
  <c r="S158" i="7"/>
  <c r="Q158" i="7"/>
  <c r="R158" i="7" s="1"/>
  <c r="P158" i="7"/>
  <c r="S157" i="7"/>
  <c r="Q157" i="7"/>
  <c r="R157" i="7" s="1"/>
  <c r="P157" i="7"/>
  <c r="S156" i="7"/>
  <c r="P156" i="7"/>
  <c r="Q156" i="7" s="1"/>
  <c r="R156" i="7" s="1"/>
  <c r="S155" i="7"/>
  <c r="P155" i="7"/>
  <c r="Q155" i="7" s="1"/>
  <c r="R155" i="7" s="1"/>
  <c r="S154" i="7"/>
  <c r="P154" i="7"/>
  <c r="Q154" i="7" s="1"/>
  <c r="R154" i="7" s="1"/>
  <c r="S153" i="7"/>
  <c r="P153" i="7"/>
  <c r="Q153" i="7" s="1"/>
  <c r="R153" i="7" s="1"/>
  <c r="S152" i="7"/>
  <c r="Q152" i="7"/>
  <c r="R152" i="7" s="1"/>
  <c r="P152" i="7"/>
  <c r="S151" i="7"/>
  <c r="P151" i="7"/>
  <c r="Q151" i="7" s="1"/>
  <c r="R151" i="7" s="1"/>
  <c r="S150" i="7"/>
  <c r="P150" i="7"/>
  <c r="Q150" i="7" s="1"/>
  <c r="R150" i="7" s="1"/>
  <c r="S149" i="7"/>
  <c r="P149" i="7"/>
  <c r="Q149" i="7" s="1"/>
  <c r="R149" i="7" s="1"/>
  <c r="S148" i="7"/>
  <c r="P148" i="7"/>
  <c r="Q148" i="7" s="1"/>
  <c r="R148" i="7" s="1"/>
  <c r="S147" i="7"/>
  <c r="Q147" i="7"/>
  <c r="R147" i="7" s="1"/>
  <c r="P147" i="7"/>
  <c r="S146" i="7"/>
  <c r="P146" i="7"/>
  <c r="Q146" i="7" s="1"/>
  <c r="R146" i="7" s="1"/>
  <c r="S145" i="7"/>
  <c r="Q145" i="7"/>
  <c r="R145" i="7" s="1"/>
  <c r="P145" i="7"/>
  <c r="S144" i="7"/>
  <c r="P144" i="7"/>
  <c r="Q144" i="7" s="1"/>
  <c r="R144" i="7" s="1"/>
  <c r="S143" i="7"/>
  <c r="Q143" i="7"/>
  <c r="R143" i="7" s="1"/>
  <c r="P143" i="7"/>
  <c r="S142" i="7"/>
  <c r="Q142" i="7"/>
  <c r="R142" i="7" s="1"/>
  <c r="P142" i="7"/>
  <c r="S141" i="7"/>
  <c r="P141" i="7"/>
  <c r="Q141" i="7" s="1"/>
  <c r="R141" i="7" s="1"/>
  <c r="S140" i="7"/>
  <c r="P140" i="7"/>
  <c r="Q140" i="7" s="1"/>
  <c r="R140" i="7" s="1"/>
  <c r="S139" i="7"/>
  <c r="Q139" i="7"/>
  <c r="R139" i="7" s="1"/>
  <c r="P139" i="7"/>
  <c r="S138" i="7"/>
  <c r="P138" i="7"/>
  <c r="Q138" i="7" s="1"/>
  <c r="R138" i="7" s="1"/>
  <c r="S137" i="7"/>
  <c r="P137" i="7"/>
  <c r="Q137" i="7" s="1"/>
  <c r="R137" i="7" s="1"/>
  <c r="S136" i="7"/>
  <c r="P136" i="7"/>
  <c r="Q136" i="7" s="1"/>
  <c r="R136" i="7" s="1"/>
  <c r="S135" i="7"/>
  <c r="P135" i="7"/>
  <c r="Q135" i="7" s="1"/>
  <c r="R135" i="7" s="1"/>
  <c r="S134" i="7"/>
  <c r="P134" i="7"/>
  <c r="Q134" i="7" s="1"/>
  <c r="R134" i="7" s="1"/>
  <c r="S133" i="7"/>
  <c r="P133" i="7"/>
  <c r="Q133" i="7" s="1"/>
  <c r="R133" i="7" s="1"/>
  <c r="S132" i="7"/>
  <c r="Q132" i="7"/>
  <c r="R132" i="7" s="1"/>
  <c r="P132" i="7"/>
  <c r="S131" i="7"/>
  <c r="Q131" i="7"/>
  <c r="R131" i="7" s="1"/>
  <c r="P131" i="7"/>
  <c r="S130" i="7"/>
  <c r="Q130" i="7"/>
  <c r="R130" i="7" s="1"/>
  <c r="P130" i="7"/>
  <c r="S129" i="7"/>
  <c r="P129" i="7"/>
  <c r="Q129" i="7" s="1"/>
  <c r="R129" i="7" s="1"/>
  <c r="S128" i="7"/>
  <c r="P128" i="7"/>
  <c r="Q128" i="7" s="1"/>
  <c r="R128" i="7" s="1"/>
  <c r="S127" i="7"/>
  <c r="P127" i="7"/>
  <c r="Q127" i="7" s="1"/>
  <c r="R127" i="7" s="1"/>
  <c r="S126" i="7"/>
  <c r="Q126" i="7"/>
  <c r="R126" i="7" s="1"/>
  <c r="P126" i="7"/>
  <c r="S125" i="7"/>
  <c r="P125" i="7"/>
  <c r="Q125" i="7" s="1"/>
  <c r="R125" i="7" s="1"/>
  <c r="S124" i="7"/>
  <c r="P124" i="7"/>
  <c r="Q124" i="7" s="1"/>
  <c r="R124" i="7" s="1"/>
  <c r="S123" i="7"/>
  <c r="Q123" i="7"/>
  <c r="R123" i="7" s="1"/>
  <c r="P123" i="7"/>
  <c r="S122" i="7"/>
  <c r="P122" i="7"/>
  <c r="Q122" i="7" s="1"/>
  <c r="R122" i="7" s="1"/>
  <c r="S121" i="7"/>
  <c r="P121" i="7"/>
  <c r="Q121" i="7" s="1"/>
  <c r="R121" i="7" s="1"/>
  <c r="S120" i="7"/>
  <c r="Q120" i="7"/>
  <c r="R120" i="7" s="1"/>
  <c r="P120" i="7"/>
  <c r="S119" i="7"/>
  <c r="P119" i="7"/>
  <c r="Q119" i="7" s="1"/>
  <c r="R119" i="7" s="1"/>
  <c r="S118" i="7"/>
  <c r="Q118" i="7"/>
  <c r="R118" i="7" s="1"/>
  <c r="P118" i="7"/>
  <c r="S117" i="7"/>
  <c r="Q117" i="7"/>
  <c r="R117" i="7" s="1"/>
  <c r="P117" i="7"/>
  <c r="S116" i="7"/>
  <c r="Q116" i="7"/>
  <c r="R116" i="7" s="1"/>
  <c r="P116" i="7"/>
  <c r="S115" i="7"/>
  <c r="P115" i="7"/>
  <c r="Q115" i="7" s="1"/>
  <c r="R115" i="7" s="1"/>
  <c r="S114" i="7"/>
  <c r="P114" i="7"/>
  <c r="Q114" i="7" s="1"/>
  <c r="R114" i="7" s="1"/>
  <c r="S113" i="7"/>
  <c r="Q113" i="7"/>
  <c r="R113" i="7" s="1"/>
  <c r="P113" i="7"/>
  <c r="S112" i="7"/>
  <c r="P112" i="7"/>
  <c r="Q112" i="7" s="1"/>
  <c r="R112" i="7" s="1"/>
  <c r="S111" i="7"/>
  <c r="P111" i="7"/>
  <c r="Q111" i="7" s="1"/>
  <c r="R111" i="7" s="1"/>
  <c r="S110" i="7"/>
  <c r="Q110" i="7"/>
  <c r="R110" i="7" s="1"/>
  <c r="P110" i="7"/>
  <c r="S109" i="7"/>
  <c r="P109" i="7"/>
  <c r="Q109" i="7" s="1"/>
  <c r="R109" i="7" s="1"/>
  <c r="S108" i="7"/>
  <c r="P108" i="7"/>
  <c r="Q108" i="7" s="1"/>
  <c r="R108" i="7" s="1"/>
  <c r="S107" i="7"/>
  <c r="Q107" i="7"/>
  <c r="R107" i="7" s="1"/>
  <c r="P107" i="7"/>
  <c r="S106" i="7"/>
  <c r="P106" i="7"/>
  <c r="Q106" i="7" s="1"/>
  <c r="R106" i="7" s="1"/>
  <c r="S105" i="7"/>
  <c r="P105" i="7"/>
  <c r="Q105" i="7" s="1"/>
  <c r="R105" i="7" s="1"/>
  <c r="S104" i="7"/>
  <c r="P104" i="7"/>
  <c r="Q104" i="7" s="1"/>
  <c r="R104" i="7" s="1"/>
  <c r="S103" i="7"/>
  <c r="Q103" i="7"/>
  <c r="R103" i="7" s="1"/>
  <c r="P103" i="7"/>
  <c r="S102" i="7"/>
  <c r="P102" i="7"/>
  <c r="Q102" i="7" s="1"/>
  <c r="R102" i="7" s="1"/>
  <c r="S101" i="7"/>
  <c r="Q101" i="7"/>
  <c r="R101" i="7" s="1"/>
  <c r="P101" i="7"/>
  <c r="S100" i="7"/>
  <c r="Q100" i="7"/>
  <c r="R100" i="7" s="1"/>
  <c r="P100" i="7"/>
  <c r="S99" i="7"/>
  <c r="P99" i="7"/>
  <c r="Q99" i="7" s="1"/>
  <c r="R99" i="7" s="1"/>
  <c r="S98" i="7"/>
  <c r="Q98" i="7"/>
  <c r="R98" i="7" s="1"/>
  <c r="P98" i="7"/>
  <c r="S97" i="7"/>
  <c r="P97" i="7"/>
  <c r="Q97" i="7" s="1"/>
  <c r="R97" i="7" s="1"/>
  <c r="S96" i="7"/>
  <c r="P96" i="7"/>
  <c r="Q96" i="7" s="1"/>
  <c r="R96" i="7" s="1"/>
  <c r="S95" i="7"/>
  <c r="P95" i="7"/>
  <c r="Q95" i="7" s="1"/>
  <c r="R95" i="7" s="1"/>
  <c r="S94" i="7"/>
  <c r="Q94" i="7"/>
  <c r="R94" i="7" s="1"/>
  <c r="P94" i="7"/>
  <c r="S93" i="7"/>
  <c r="P93" i="7"/>
  <c r="Q93" i="7" s="1"/>
  <c r="R93" i="7" s="1"/>
  <c r="S92" i="7"/>
  <c r="P92" i="7"/>
  <c r="Q92" i="7" s="1"/>
  <c r="R92" i="7" s="1"/>
  <c r="S91" i="7"/>
  <c r="P91" i="7"/>
  <c r="Q91" i="7" s="1"/>
  <c r="R91" i="7" s="1"/>
  <c r="S90" i="7"/>
  <c r="P90" i="7"/>
  <c r="Q90" i="7" s="1"/>
  <c r="R90" i="7" s="1"/>
  <c r="S89" i="7"/>
  <c r="P89" i="7"/>
  <c r="Q89" i="7" s="1"/>
  <c r="R89" i="7" s="1"/>
  <c r="S88" i="7"/>
  <c r="P88" i="7"/>
  <c r="Q88" i="7" s="1"/>
  <c r="R88" i="7" s="1"/>
  <c r="S87" i="7"/>
  <c r="P87" i="7"/>
  <c r="Q87" i="7" s="1"/>
  <c r="R87" i="7" s="1"/>
  <c r="S86" i="7"/>
  <c r="Q86" i="7"/>
  <c r="R86" i="7" s="1"/>
  <c r="P86" i="7"/>
  <c r="S85" i="7"/>
  <c r="Q85" i="7"/>
  <c r="R85" i="7" s="1"/>
  <c r="P85" i="7"/>
  <c r="S84" i="7"/>
  <c r="P84" i="7"/>
  <c r="Q84" i="7" s="1"/>
  <c r="R84" i="7" s="1"/>
  <c r="S83" i="7"/>
  <c r="P83" i="7"/>
  <c r="Q83" i="7" s="1"/>
  <c r="R83" i="7" s="1"/>
  <c r="S82" i="7"/>
  <c r="P82" i="7"/>
  <c r="Q82" i="7" s="1"/>
  <c r="R82" i="7" s="1"/>
  <c r="S81" i="7"/>
  <c r="Q81" i="7"/>
  <c r="R81" i="7" s="1"/>
  <c r="P81" i="7"/>
  <c r="S80" i="7"/>
  <c r="P80" i="7"/>
  <c r="Q80" i="7" s="1"/>
  <c r="R80" i="7" s="1"/>
  <c r="S79" i="7"/>
  <c r="Q79" i="7"/>
  <c r="R79" i="7" s="1"/>
  <c r="P79" i="7"/>
  <c r="S78" i="7"/>
  <c r="P78" i="7"/>
  <c r="Q78" i="7" s="1"/>
  <c r="R78" i="7" s="1"/>
  <c r="S77" i="7"/>
  <c r="Q77" i="7"/>
  <c r="R77" i="7" s="1"/>
  <c r="P77" i="7"/>
  <c r="S76" i="7"/>
  <c r="P76" i="7"/>
  <c r="Q76" i="7" s="1"/>
  <c r="R76" i="7" s="1"/>
  <c r="S75" i="7"/>
  <c r="Q75" i="7"/>
  <c r="R75" i="7" s="1"/>
  <c r="P75" i="7"/>
  <c r="S74" i="7"/>
  <c r="P74" i="7"/>
  <c r="Q74" i="7" s="1"/>
  <c r="R74" i="7" s="1"/>
  <c r="S73" i="7"/>
  <c r="Q73" i="7"/>
  <c r="R73" i="7" s="1"/>
  <c r="P73" i="7"/>
  <c r="S72" i="7"/>
  <c r="P72" i="7"/>
  <c r="Q72" i="7" s="1"/>
  <c r="R72" i="7" s="1"/>
  <c r="S71" i="7"/>
  <c r="Q71" i="7"/>
  <c r="R71" i="7" s="1"/>
  <c r="P71" i="7"/>
  <c r="S70" i="7"/>
  <c r="Q70" i="7"/>
  <c r="R70" i="7" s="1"/>
  <c r="P70" i="7"/>
  <c r="S69" i="7"/>
  <c r="P69" i="7"/>
  <c r="Q69" i="7" s="1"/>
  <c r="R69" i="7" s="1"/>
  <c r="S68" i="7"/>
  <c r="P68" i="7"/>
  <c r="Q68" i="7" s="1"/>
  <c r="R68" i="7" s="1"/>
  <c r="S67" i="7"/>
  <c r="Q67" i="7"/>
  <c r="R67" i="7" s="1"/>
  <c r="P67" i="7"/>
  <c r="S66" i="7"/>
  <c r="P66" i="7"/>
  <c r="Q66" i="7" s="1"/>
  <c r="R66" i="7" s="1"/>
  <c r="S65" i="7"/>
  <c r="P65" i="7"/>
  <c r="Q65" i="7" s="1"/>
  <c r="R65" i="7" s="1"/>
  <c r="S64" i="7"/>
  <c r="P64" i="7"/>
  <c r="Q64" i="7" s="1"/>
  <c r="R64" i="7" s="1"/>
  <c r="S63" i="7"/>
  <c r="Q63" i="7"/>
  <c r="R63" i="7" s="1"/>
  <c r="P63" i="7"/>
  <c r="S62" i="7"/>
  <c r="P62" i="7"/>
  <c r="Q62" i="7" s="1"/>
  <c r="R62" i="7" s="1"/>
  <c r="S61" i="7"/>
  <c r="Q61" i="7"/>
  <c r="R61" i="7" s="1"/>
  <c r="P61" i="7"/>
  <c r="S60" i="7"/>
  <c r="P60" i="7"/>
  <c r="Q60" i="7" s="1"/>
  <c r="R60" i="7" s="1"/>
  <c r="S59" i="7"/>
  <c r="P59" i="7"/>
  <c r="Q59" i="7" s="1"/>
  <c r="R59" i="7" s="1"/>
  <c r="S58" i="7"/>
  <c r="Q58" i="7"/>
  <c r="R58" i="7" s="1"/>
  <c r="P58" i="7"/>
  <c r="S57" i="7"/>
  <c r="P57" i="7"/>
  <c r="Q57" i="7" s="1"/>
  <c r="R57" i="7" s="1"/>
  <c r="S56" i="7"/>
  <c r="P56" i="7"/>
  <c r="Q56" i="7" s="1"/>
  <c r="R56" i="7" s="1"/>
  <c r="S55" i="7"/>
  <c r="P55" i="7"/>
  <c r="Q55" i="7" s="1"/>
  <c r="R55" i="7" s="1"/>
  <c r="S54" i="7"/>
  <c r="P54" i="7"/>
  <c r="Q54" i="7" s="1"/>
  <c r="R54" i="7" s="1"/>
  <c r="S53" i="7"/>
  <c r="P53" i="7"/>
  <c r="Q53" i="7" s="1"/>
  <c r="R53" i="7" s="1"/>
  <c r="S52" i="7"/>
  <c r="P52" i="7"/>
  <c r="Q52" i="7" s="1"/>
  <c r="R52" i="7" s="1"/>
  <c r="S51" i="7"/>
  <c r="P51" i="7"/>
  <c r="Q51" i="7" s="1"/>
  <c r="R51" i="7" s="1"/>
  <c r="S50" i="7"/>
  <c r="P50" i="7"/>
  <c r="Q50" i="7" s="1"/>
  <c r="R50" i="7" s="1"/>
  <c r="S49" i="7"/>
  <c r="Q49" i="7"/>
  <c r="R49" i="7" s="1"/>
  <c r="P49" i="7"/>
  <c r="S48" i="7"/>
  <c r="Q48" i="7"/>
  <c r="R48" i="7" s="1"/>
  <c r="P48" i="7"/>
  <c r="S47" i="7"/>
  <c r="Q47" i="7"/>
  <c r="R47" i="7" s="1"/>
  <c r="P47" i="7"/>
  <c r="S46" i="7"/>
  <c r="P46" i="7"/>
  <c r="Q46" i="7" s="1"/>
  <c r="R46" i="7" s="1"/>
  <c r="S45" i="7"/>
  <c r="Q45" i="7"/>
  <c r="R45" i="7" s="1"/>
  <c r="P45" i="7"/>
  <c r="S44" i="7"/>
  <c r="P44" i="7"/>
  <c r="Q44" i="7" s="1"/>
  <c r="R44" i="7" s="1"/>
  <c r="S43" i="7"/>
  <c r="Q43" i="7"/>
  <c r="R43" i="7" s="1"/>
  <c r="P43" i="7"/>
  <c r="S42" i="7"/>
  <c r="Q42" i="7"/>
  <c r="R42" i="7" s="1"/>
  <c r="P42" i="7"/>
  <c r="S41" i="7"/>
  <c r="P41" i="7"/>
  <c r="Q41" i="7" s="1"/>
  <c r="R41" i="7" s="1"/>
  <c r="S40" i="7"/>
  <c r="P40" i="7"/>
  <c r="Q40" i="7" s="1"/>
  <c r="R40" i="7" s="1"/>
  <c r="S39" i="7"/>
  <c r="Q39" i="7"/>
  <c r="R39" i="7" s="1"/>
  <c r="P39" i="7"/>
  <c r="S38" i="7"/>
  <c r="Q38" i="7"/>
  <c r="R38" i="7" s="1"/>
  <c r="P38" i="7"/>
  <c r="S37" i="7"/>
  <c r="Q37" i="7"/>
  <c r="R37" i="7" s="1"/>
  <c r="P37" i="7"/>
  <c r="S36" i="7"/>
  <c r="P36" i="7"/>
  <c r="Q36" i="7" s="1"/>
  <c r="R36" i="7" s="1"/>
  <c r="S35" i="7"/>
  <c r="P35" i="7"/>
  <c r="Q35" i="7" s="1"/>
  <c r="R35" i="7" s="1"/>
  <c r="S34" i="7"/>
  <c r="P34" i="7"/>
  <c r="Q34" i="7" s="1"/>
  <c r="R34" i="7" s="1"/>
  <c r="S33" i="7"/>
  <c r="Q33" i="7"/>
  <c r="R33" i="7" s="1"/>
  <c r="P33" i="7"/>
  <c r="S32" i="7"/>
  <c r="Q32" i="7"/>
  <c r="R32" i="7" s="1"/>
  <c r="P32" i="7"/>
  <c r="S31" i="7"/>
  <c r="P31" i="7"/>
  <c r="Q31" i="7" s="1"/>
  <c r="R31" i="7" s="1"/>
  <c r="S30" i="7"/>
  <c r="P30" i="7"/>
  <c r="Q30" i="7" s="1"/>
  <c r="R30" i="7" s="1"/>
  <c r="S29" i="7"/>
  <c r="Q29" i="7"/>
  <c r="R29" i="7" s="1"/>
  <c r="P29" i="7"/>
  <c r="S28" i="7"/>
  <c r="P28" i="7"/>
  <c r="Q28" i="7" s="1"/>
  <c r="R28" i="7" s="1"/>
  <c r="S27" i="7"/>
  <c r="Q27" i="7"/>
  <c r="R27" i="7" s="1"/>
  <c r="P27" i="7"/>
  <c r="S26" i="7"/>
  <c r="Q26" i="7"/>
  <c r="R26" i="7" s="1"/>
  <c r="P26" i="7"/>
  <c r="S25" i="7"/>
  <c r="P25" i="7"/>
  <c r="Q25" i="7" s="1"/>
  <c r="R25" i="7" s="1"/>
  <c r="S24" i="7"/>
  <c r="Q24" i="7"/>
  <c r="R24" i="7" s="1"/>
  <c r="P24" i="7"/>
  <c r="S23" i="7"/>
  <c r="Q23" i="7"/>
  <c r="R23" i="7" s="1"/>
  <c r="P23" i="7"/>
  <c r="S22" i="7"/>
  <c r="P22" i="7"/>
  <c r="Q22" i="7" s="1"/>
  <c r="R22" i="7" s="1"/>
  <c r="S21" i="7"/>
  <c r="Q21" i="7"/>
  <c r="R21" i="7" s="1"/>
  <c r="P21" i="7"/>
  <c r="S20" i="7"/>
  <c r="Q20" i="7"/>
  <c r="R20" i="7" s="1"/>
  <c r="P20" i="7"/>
  <c r="S19" i="7"/>
  <c r="Q19" i="7"/>
  <c r="R19" i="7" s="1"/>
  <c r="P19" i="7"/>
  <c r="S18" i="7"/>
  <c r="P18" i="7"/>
  <c r="Q18" i="7" s="1"/>
  <c r="R18" i="7" s="1"/>
  <c r="S17" i="7"/>
  <c r="P17" i="7"/>
  <c r="Q17" i="7" s="1"/>
  <c r="R17" i="7" s="1"/>
  <c r="S16" i="7"/>
  <c r="Q16" i="7"/>
  <c r="R16" i="7" s="1"/>
  <c r="P16" i="7"/>
  <c r="S15" i="7"/>
  <c r="P15" i="7"/>
  <c r="Q15" i="7" s="1"/>
  <c r="R15" i="7" s="1"/>
  <c r="S14" i="7"/>
  <c r="Q14" i="7"/>
  <c r="P14" i="7"/>
  <c r="S13" i="7"/>
  <c r="Q13" i="7"/>
  <c r="R13" i="7" s="1"/>
  <c r="P13" i="7"/>
  <c r="S12" i="7"/>
  <c r="P12" i="7"/>
  <c r="Q12" i="7" s="1"/>
  <c r="R12" i="7" s="1"/>
  <c r="S11" i="7"/>
  <c r="P11" i="7"/>
  <c r="Q11" i="7" s="1"/>
  <c r="R11" i="7" s="1"/>
  <c r="S10" i="7"/>
  <c r="P10" i="7"/>
  <c r="Q10" i="7" s="1"/>
  <c r="R10" i="7" s="1"/>
  <c r="S9" i="7"/>
  <c r="P9" i="7"/>
  <c r="Q9" i="7" s="1"/>
  <c r="R9" i="7" s="1"/>
  <c r="S8" i="7"/>
  <c r="Q8" i="7"/>
  <c r="R8" i="7" s="1"/>
  <c r="P8" i="7"/>
  <c r="S7" i="7"/>
  <c r="Q7" i="7"/>
  <c r="R7" i="7" s="1"/>
  <c r="P7" i="7"/>
  <c r="S6" i="7"/>
  <c r="P6" i="7"/>
  <c r="Q6" i="7" s="1"/>
  <c r="R6" i="7" s="1"/>
  <c r="S5" i="7"/>
  <c r="Q5" i="7"/>
  <c r="P5" i="7"/>
  <c r="P84" i="6"/>
  <c r="Q84" i="6" s="1"/>
  <c r="N84" i="6"/>
  <c r="O84" i="6" s="1"/>
  <c r="P7" i="6"/>
  <c r="Q7" i="6" s="1"/>
  <c r="O7" i="6"/>
  <c r="N7" i="6"/>
  <c r="P83" i="6"/>
  <c r="Q83" i="6" s="1"/>
  <c r="N83" i="6"/>
  <c r="O83" i="6" s="1"/>
  <c r="P82" i="6"/>
  <c r="Q82" i="6" s="1"/>
  <c r="N82" i="6"/>
  <c r="O82" i="6" s="1"/>
  <c r="P45" i="6"/>
  <c r="Q45" i="6" s="1"/>
  <c r="O45" i="6"/>
  <c r="N45" i="6"/>
  <c r="P81" i="6"/>
  <c r="Q81" i="6" s="1"/>
  <c r="N81" i="6"/>
  <c r="O81" i="6" s="1"/>
  <c r="N11" i="13" s="1"/>
  <c r="N6" i="14" s="1"/>
  <c r="P80" i="6"/>
  <c r="Q80" i="6" s="1"/>
  <c r="N80" i="6"/>
  <c r="O80" i="6" s="1"/>
  <c r="P53" i="6"/>
  <c r="Q53" i="6" s="1"/>
  <c r="N53" i="6"/>
  <c r="O53" i="6" s="1"/>
  <c r="P6" i="6"/>
  <c r="Q6" i="6" s="1"/>
  <c r="O6" i="6"/>
  <c r="N6" i="6"/>
  <c r="P44" i="6"/>
  <c r="Q44" i="6" s="1"/>
  <c r="O44" i="6"/>
  <c r="N44" i="6"/>
  <c r="P79" i="6"/>
  <c r="Q79" i="6" s="1"/>
  <c r="N79" i="6"/>
  <c r="O79" i="6" s="1"/>
  <c r="P78" i="6"/>
  <c r="Q78" i="6" s="1"/>
  <c r="N78" i="6"/>
  <c r="O78" i="6" s="1"/>
  <c r="P43" i="6"/>
  <c r="Q43" i="6" s="1"/>
  <c r="O43" i="6"/>
  <c r="N43" i="6"/>
  <c r="P42" i="6"/>
  <c r="Q42" i="6" s="1"/>
  <c r="O42" i="6"/>
  <c r="N42" i="6"/>
  <c r="P77" i="6"/>
  <c r="Q77" i="6" s="1"/>
  <c r="N77" i="6"/>
  <c r="O77" i="6" s="1"/>
  <c r="P76" i="6"/>
  <c r="Q76" i="6" s="1"/>
  <c r="N76" i="6"/>
  <c r="O76" i="6" s="1"/>
  <c r="P41" i="6"/>
  <c r="Q41" i="6" s="1"/>
  <c r="O41" i="6"/>
  <c r="N41" i="6"/>
  <c r="P52" i="6"/>
  <c r="Q52" i="6" s="1"/>
  <c r="N52" i="6"/>
  <c r="O52" i="6" s="1"/>
  <c r="P40" i="6"/>
  <c r="Q40" i="6" s="1"/>
  <c r="O40" i="6"/>
  <c r="N40" i="6"/>
  <c r="P39" i="6"/>
  <c r="Q39" i="6" s="1"/>
  <c r="O39" i="6"/>
  <c r="N39" i="6"/>
  <c r="P75" i="6"/>
  <c r="Q75" i="6" s="1"/>
  <c r="N75" i="6"/>
  <c r="O75" i="6" s="1"/>
  <c r="P74" i="6"/>
  <c r="Q74" i="6" s="1"/>
  <c r="N74" i="6"/>
  <c r="O74" i="6" s="1"/>
  <c r="P38" i="6"/>
  <c r="Q38" i="6" s="1"/>
  <c r="O38" i="6"/>
  <c r="N38" i="6"/>
  <c r="P37" i="6"/>
  <c r="Q37" i="6" s="1"/>
  <c r="O37" i="6"/>
  <c r="N37" i="6"/>
  <c r="P36" i="6"/>
  <c r="Q36" i="6" s="1"/>
  <c r="O36" i="6"/>
  <c r="N36" i="6"/>
  <c r="P73" i="6"/>
  <c r="Q73" i="6" s="1"/>
  <c r="N73" i="6"/>
  <c r="O73" i="6" s="1"/>
  <c r="P5" i="6"/>
  <c r="Q5" i="6" s="1"/>
  <c r="O5" i="6"/>
  <c r="P35" i="6"/>
  <c r="Q35" i="6" s="1"/>
  <c r="O35" i="6"/>
  <c r="N35" i="6"/>
  <c r="P34" i="6"/>
  <c r="Q34" i="6" s="1"/>
  <c r="O34" i="6"/>
  <c r="N34" i="6"/>
  <c r="P33" i="6"/>
  <c r="Q33" i="6" s="1"/>
  <c r="O33" i="6"/>
  <c r="N33" i="6"/>
  <c r="P32" i="6"/>
  <c r="Q32" i="6" s="1"/>
  <c r="O32" i="6"/>
  <c r="N32" i="6"/>
  <c r="P31" i="6"/>
  <c r="Q31" i="6" s="1"/>
  <c r="O31" i="6"/>
  <c r="N31" i="6"/>
  <c r="P72" i="6"/>
  <c r="Q72" i="6" s="1"/>
  <c r="N72" i="6"/>
  <c r="O72" i="6" s="1"/>
  <c r="P71" i="6"/>
  <c r="Q71" i="6" s="1"/>
  <c r="N71" i="6"/>
  <c r="O71" i="6" s="1"/>
  <c r="P51" i="6"/>
  <c r="Q51" i="6" s="1"/>
  <c r="N51" i="6"/>
  <c r="O51" i="6" s="1"/>
  <c r="P30" i="6"/>
  <c r="Q30" i="6" s="1"/>
  <c r="O30" i="6"/>
  <c r="N30" i="6"/>
  <c r="P70" i="6"/>
  <c r="Q70" i="6" s="1"/>
  <c r="N70" i="6"/>
  <c r="O70" i="6" s="1"/>
  <c r="P69" i="6"/>
  <c r="Q69" i="6" s="1"/>
  <c r="N69" i="6"/>
  <c r="O69" i="6" s="1"/>
  <c r="P68" i="6"/>
  <c r="Q68" i="6" s="1"/>
  <c r="N68" i="6"/>
  <c r="O68" i="6" s="1"/>
  <c r="P67" i="6"/>
  <c r="Q67" i="6" s="1"/>
  <c r="N67" i="6"/>
  <c r="O67" i="6" s="1"/>
  <c r="P66" i="6"/>
  <c r="Q66" i="6" s="1"/>
  <c r="N66" i="6"/>
  <c r="O66" i="6" s="1"/>
  <c r="P65" i="6"/>
  <c r="Q65" i="6" s="1"/>
  <c r="N65" i="6"/>
  <c r="O65" i="6" s="1"/>
  <c r="P64" i="6"/>
  <c r="Q64" i="6" s="1"/>
  <c r="N64" i="6"/>
  <c r="O64" i="6" s="1"/>
  <c r="P50" i="6"/>
  <c r="Q50" i="6" s="1"/>
  <c r="N50" i="6"/>
  <c r="O50" i="6" s="1"/>
  <c r="P29" i="6"/>
  <c r="Q29" i="6" s="1"/>
  <c r="O29" i="6"/>
  <c r="N29" i="6"/>
  <c r="P63" i="6"/>
  <c r="Q63" i="6" s="1"/>
  <c r="N63" i="6"/>
  <c r="O63" i="6" s="1"/>
  <c r="P49" i="6"/>
  <c r="Q49" i="6" s="1"/>
  <c r="N49" i="6"/>
  <c r="O49" i="6" s="1"/>
  <c r="P28" i="6"/>
  <c r="Q28" i="6" s="1"/>
  <c r="O28" i="6"/>
  <c r="N28" i="6"/>
  <c r="P62" i="6"/>
  <c r="Q62" i="6" s="1"/>
  <c r="N62" i="6"/>
  <c r="O62" i="6" s="1"/>
  <c r="P27" i="6"/>
  <c r="Q27" i="6" s="1"/>
  <c r="O27" i="6"/>
  <c r="N27" i="6"/>
  <c r="P26" i="6"/>
  <c r="Q26" i="6" s="1"/>
  <c r="O26" i="6"/>
  <c r="N26" i="6"/>
  <c r="P25" i="6"/>
  <c r="Q25" i="6" s="1"/>
  <c r="O25" i="6"/>
  <c r="N25" i="6"/>
  <c r="P24" i="6"/>
  <c r="Q24" i="6" s="1"/>
  <c r="O24" i="6"/>
  <c r="N24" i="6"/>
  <c r="P61" i="6"/>
  <c r="Q61" i="6" s="1"/>
  <c r="N61" i="6"/>
  <c r="O61" i="6" s="1"/>
  <c r="P23" i="6"/>
  <c r="Q23" i="6" s="1"/>
  <c r="O23" i="6"/>
  <c r="N23" i="6"/>
  <c r="P22" i="6"/>
  <c r="Q22" i="6" s="1"/>
  <c r="O22" i="6"/>
  <c r="N22" i="6"/>
  <c r="P21" i="6"/>
  <c r="Q21" i="6" s="1"/>
  <c r="O21" i="6"/>
  <c r="N21" i="6"/>
  <c r="P60" i="6"/>
  <c r="Q60" i="6" s="1"/>
  <c r="N60" i="6"/>
  <c r="O60" i="6" s="1"/>
  <c r="P20" i="6"/>
  <c r="Q20" i="6" s="1"/>
  <c r="O20" i="6"/>
  <c r="N20" i="6"/>
  <c r="P59" i="6"/>
  <c r="Q59" i="6" s="1"/>
  <c r="N59" i="6"/>
  <c r="O59" i="6" s="1"/>
  <c r="P19" i="6"/>
  <c r="Q19" i="6" s="1"/>
  <c r="O19" i="6"/>
  <c r="N19" i="6"/>
  <c r="P18" i="6"/>
  <c r="Q18" i="6" s="1"/>
  <c r="O18" i="6"/>
  <c r="N18" i="6"/>
  <c r="P17" i="6"/>
  <c r="Q17" i="6" s="1"/>
  <c r="O17" i="6"/>
  <c r="N17" i="6"/>
  <c r="P58" i="6"/>
  <c r="Q58" i="6" s="1"/>
  <c r="N58" i="6"/>
  <c r="O58" i="6" s="1"/>
  <c r="P57" i="6"/>
  <c r="Q57" i="6" s="1"/>
  <c r="N57" i="6"/>
  <c r="O57" i="6" s="1"/>
  <c r="P16" i="6"/>
  <c r="Q16" i="6" s="1"/>
  <c r="O16" i="6"/>
  <c r="N16" i="6"/>
  <c r="P15" i="6"/>
  <c r="Q15" i="6" s="1"/>
  <c r="O15" i="6"/>
  <c r="N15" i="6"/>
  <c r="P56" i="6"/>
  <c r="Q56" i="6" s="1"/>
  <c r="N56" i="6"/>
  <c r="O56" i="6" s="1"/>
  <c r="P55" i="6"/>
  <c r="Q55" i="6" s="1"/>
  <c r="N55" i="6"/>
  <c r="O55" i="6" s="1"/>
  <c r="P48" i="6"/>
  <c r="Q48" i="6" s="1"/>
  <c r="N48" i="6"/>
  <c r="O48" i="6" s="1"/>
  <c r="P14" i="6"/>
  <c r="Q14" i="6" s="1"/>
  <c r="O14" i="6"/>
  <c r="N14" i="6"/>
  <c r="P13" i="6"/>
  <c r="Q13" i="6" s="1"/>
  <c r="O13" i="6"/>
  <c r="N13" i="6"/>
  <c r="P12" i="6"/>
  <c r="Q12" i="6" s="1"/>
  <c r="O12" i="6"/>
  <c r="N12" i="6"/>
  <c r="P47" i="6"/>
  <c r="Q47" i="6" s="1"/>
  <c r="N47" i="6"/>
  <c r="O47" i="6" s="1"/>
  <c r="P46" i="6"/>
  <c r="Q46" i="6" s="1"/>
  <c r="N46" i="6"/>
  <c r="O46" i="6" s="1"/>
  <c r="P54" i="6"/>
  <c r="Q54" i="6" s="1"/>
  <c r="N54" i="6"/>
  <c r="O54" i="6" s="1"/>
  <c r="P11" i="6"/>
  <c r="Q11" i="6" s="1"/>
  <c r="O11" i="6"/>
  <c r="N11" i="6"/>
  <c r="P10" i="6"/>
  <c r="Q10" i="6" s="1"/>
  <c r="O10" i="6"/>
  <c r="N10" i="6"/>
  <c r="P9" i="6"/>
  <c r="Q9" i="6" s="1"/>
  <c r="O9" i="6"/>
  <c r="N9" i="6"/>
  <c r="P8" i="6"/>
  <c r="Q8" i="6" s="1"/>
  <c r="O8" i="6"/>
  <c r="N8" i="6"/>
  <c r="S254" i="4"/>
  <c r="R254" i="4"/>
  <c r="P254" i="4"/>
  <c r="Q254" i="4" s="1"/>
  <c r="S253" i="4"/>
  <c r="R253" i="4"/>
  <c r="P253" i="4"/>
  <c r="Q253" i="4" s="1"/>
  <c r="S252" i="4"/>
  <c r="R252" i="4"/>
  <c r="P252" i="4"/>
  <c r="Q252" i="4" s="1"/>
  <c r="S251" i="4"/>
  <c r="R251" i="4"/>
  <c r="P251" i="4"/>
  <c r="Q251" i="4" s="1"/>
  <c r="S250" i="4"/>
  <c r="R250" i="4"/>
  <c r="P250" i="4"/>
  <c r="Q250" i="4" s="1"/>
  <c r="S249" i="4"/>
  <c r="R249" i="4"/>
  <c r="P249" i="4"/>
  <c r="Q249" i="4" s="1"/>
  <c r="S248" i="4"/>
  <c r="R248" i="4"/>
  <c r="P248" i="4"/>
  <c r="Q248" i="4" s="1"/>
  <c r="S247" i="4"/>
  <c r="R247" i="4"/>
  <c r="P247" i="4"/>
  <c r="Q247" i="4" s="1"/>
  <c r="S246" i="4"/>
  <c r="R246" i="4"/>
  <c r="P246" i="4"/>
  <c r="Q246" i="4" s="1"/>
  <c r="S245" i="4"/>
  <c r="R245" i="4"/>
  <c r="P245" i="4"/>
  <c r="Q245" i="4" s="1"/>
  <c r="S244" i="4"/>
  <c r="R244" i="4"/>
  <c r="P244" i="4"/>
  <c r="Q244" i="4" s="1"/>
  <c r="S243" i="4"/>
  <c r="R243" i="4"/>
  <c r="P243" i="4"/>
  <c r="Q243" i="4" s="1"/>
  <c r="S242" i="4"/>
  <c r="R242" i="4"/>
  <c r="P242" i="4"/>
  <c r="Q242" i="4" s="1"/>
  <c r="S241" i="4"/>
  <c r="R241" i="4"/>
  <c r="P241" i="4"/>
  <c r="Q241" i="4" s="1"/>
  <c r="S240" i="4"/>
  <c r="R240" i="4"/>
  <c r="P240" i="4"/>
  <c r="Q240" i="4" s="1"/>
  <c r="S239" i="4"/>
  <c r="R239" i="4"/>
  <c r="P239" i="4"/>
  <c r="Q239" i="4" s="1"/>
  <c r="S238" i="4"/>
  <c r="R238" i="4"/>
  <c r="P238" i="4"/>
  <c r="Q238" i="4" s="1"/>
  <c r="S237" i="4"/>
  <c r="R237" i="4"/>
  <c r="P237" i="4"/>
  <c r="Q237" i="4" s="1"/>
  <c r="S236" i="4"/>
  <c r="R236" i="4"/>
  <c r="P236" i="4"/>
  <c r="Q236" i="4" s="1"/>
  <c r="S235" i="4"/>
  <c r="R235" i="4"/>
  <c r="P235" i="4"/>
  <c r="Q235" i="4" s="1"/>
  <c r="S234" i="4"/>
  <c r="R234" i="4"/>
  <c r="P234" i="4"/>
  <c r="Q234" i="4" s="1"/>
  <c r="S233" i="4"/>
  <c r="R233" i="4"/>
  <c r="P233" i="4"/>
  <c r="Q233" i="4" s="1"/>
  <c r="S232" i="4"/>
  <c r="R232" i="4"/>
  <c r="P232" i="4"/>
  <c r="Q232" i="4" s="1"/>
  <c r="S231" i="4"/>
  <c r="R231" i="4"/>
  <c r="P231" i="4"/>
  <c r="Q231" i="4" s="1"/>
  <c r="S230" i="4"/>
  <c r="R230" i="4"/>
  <c r="P230" i="4"/>
  <c r="Q230" i="4" s="1"/>
  <c r="S229" i="4"/>
  <c r="R229" i="4"/>
  <c r="P229" i="4"/>
  <c r="Q229" i="4" s="1"/>
  <c r="S228" i="4"/>
  <c r="R228" i="4"/>
  <c r="P228" i="4"/>
  <c r="Q228" i="4" s="1"/>
  <c r="S227" i="4"/>
  <c r="R227" i="4"/>
  <c r="P227" i="4"/>
  <c r="Q227" i="4" s="1"/>
  <c r="S226" i="4"/>
  <c r="R226" i="4"/>
  <c r="P226" i="4"/>
  <c r="Q226" i="4" s="1"/>
  <c r="S225" i="4"/>
  <c r="R225" i="4"/>
  <c r="P225" i="4"/>
  <c r="Q225" i="4" s="1"/>
  <c r="S224" i="4"/>
  <c r="R224" i="4"/>
  <c r="P224" i="4"/>
  <c r="Q224" i="4" s="1"/>
  <c r="S223" i="4"/>
  <c r="R223" i="4"/>
  <c r="P223" i="4"/>
  <c r="Q223" i="4" s="1"/>
  <c r="S222" i="4"/>
  <c r="R222" i="4"/>
  <c r="P222" i="4"/>
  <c r="Q222" i="4" s="1"/>
  <c r="S221" i="4"/>
  <c r="R221" i="4"/>
  <c r="P221" i="4"/>
  <c r="Q221" i="4" s="1"/>
  <c r="S220" i="4"/>
  <c r="R220" i="4"/>
  <c r="P220" i="4"/>
  <c r="Q220" i="4" s="1"/>
  <c r="S219" i="4"/>
  <c r="R219" i="4"/>
  <c r="P219" i="4"/>
  <c r="Q219" i="4" s="1"/>
  <c r="S218" i="4"/>
  <c r="R218" i="4"/>
  <c r="P218" i="4"/>
  <c r="Q218" i="4" s="1"/>
  <c r="S217" i="4"/>
  <c r="R217" i="4"/>
  <c r="P217" i="4"/>
  <c r="Q217" i="4" s="1"/>
  <c r="S216" i="4"/>
  <c r="R216" i="4"/>
  <c r="P216" i="4"/>
  <c r="Q216" i="4" s="1"/>
  <c r="S215" i="4"/>
  <c r="R215" i="4"/>
  <c r="P215" i="4"/>
  <c r="Q215" i="4" s="1"/>
  <c r="S214" i="4"/>
  <c r="R214" i="4"/>
  <c r="P214" i="4"/>
  <c r="Q214" i="4" s="1"/>
  <c r="S213" i="4"/>
  <c r="R213" i="4"/>
  <c r="P213" i="4"/>
  <c r="Q213" i="4" s="1"/>
  <c r="S212" i="4"/>
  <c r="R212" i="4"/>
  <c r="P212" i="4"/>
  <c r="Q212" i="4" s="1"/>
  <c r="S211" i="4"/>
  <c r="R211" i="4"/>
  <c r="P211" i="4"/>
  <c r="Q211" i="4" s="1"/>
  <c r="S210" i="4"/>
  <c r="R210" i="4"/>
  <c r="P210" i="4"/>
  <c r="Q210" i="4" s="1"/>
  <c r="S209" i="4"/>
  <c r="R209" i="4"/>
  <c r="P209" i="4"/>
  <c r="Q209" i="4" s="1"/>
  <c r="S208" i="4"/>
  <c r="R208" i="4"/>
  <c r="P208" i="4"/>
  <c r="Q208" i="4" s="1"/>
  <c r="S207" i="4"/>
  <c r="R207" i="4"/>
  <c r="P207" i="4"/>
  <c r="Q207" i="4" s="1"/>
  <c r="S206" i="4"/>
  <c r="R206" i="4"/>
  <c r="P206" i="4"/>
  <c r="Q206" i="4" s="1"/>
  <c r="S205" i="4"/>
  <c r="R205" i="4"/>
  <c r="P205" i="4"/>
  <c r="Q205" i="4" s="1"/>
  <c r="S204" i="4"/>
  <c r="R204" i="4"/>
  <c r="P204" i="4"/>
  <c r="Q204" i="4" s="1"/>
  <c r="S203" i="4"/>
  <c r="R203" i="4"/>
  <c r="P203" i="4"/>
  <c r="Q203" i="4" s="1"/>
  <c r="S202" i="4"/>
  <c r="R202" i="4"/>
  <c r="P202" i="4"/>
  <c r="Q202" i="4" s="1"/>
  <c r="S201" i="4"/>
  <c r="R201" i="4"/>
  <c r="P201" i="4"/>
  <c r="Q201" i="4" s="1"/>
  <c r="S200" i="4"/>
  <c r="R200" i="4"/>
  <c r="P200" i="4"/>
  <c r="Q200" i="4" s="1"/>
  <c r="S199" i="4"/>
  <c r="R199" i="4"/>
  <c r="P199" i="4"/>
  <c r="Q199" i="4" s="1"/>
  <c r="S198" i="4"/>
  <c r="R198" i="4"/>
  <c r="P198" i="4"/>
  <c r="Q198" i="4" s="1"/>
  <c r="S197" i="4"/>
  <c r="R197" i="4"/>
  <c r="P197" i="4"/>
  <c r="Q197" i="4" s="1"/>
  <c r="S196" i="4"/>
  <c r="R196" i="4"/>
  <c r="P196" i="4"/>
  <c r="Q196" i="4" s="1"/>
  <c r="S195" i="4"/>
  <c r="R195" i="4"/>
  <c r="P195" i="4"/>
  <c r="Q195" i="4" s="1"/>
  <c r="S194" i="4"/>
  <c r="R194" i="4"/>
  <c r="P194" i="4"/>
  <c r="Q194" i="4" s="1"/>
  <c r="S193" i="4"/>
  <c r="R193" i="4"/>
  <c r="P193" i="4"/>
  <c r="Q193" i="4" s="1"/>
  <c r="S192" i="4"/>
  <c r="R192" i="4"/>
  <c r="P192" i="4"/>
  <c r="Q192" i="4" s="1"/>
  <c r="S191" i="4"/>
  <c r="R191" i="4"/>
  <c r="P191" i="4"/>
  <c r="Q191" i="4" s="1"/>
  <c r="S190" i="4"/>
  <c r="R190" i="4"/>
  <c r="P190" i="4"/>
  <c r="Q190" i="4" s="1"/>
  <c r="S189" i="4"/>
  <c r="R189" i="4"/>
  <c r="P189" i="4"/>
  <c r="Q189" i="4" s="1"/>
  <c r="S188" i="4"/>
  <c r="R188" i="4"/>
  <c r="P188" i="4"/>
  <c r="Q188" i="4" s="1"/>
  <c r="S187" i="4"/>
  <c r="R187" i="4"/>
  <c r="P187" i="4"/>
  <c r="Q187" i="4" s="1"/>
  <c r="S186" i="4"/>
  <c r="R186" i="4"/>
  <c r="P186" i="4"/>
  <c r="Q186" i="4" s="1"/>
  <c r="S185" i="4"/>
  <c r="R185" i="4"/>
  <c r="P185" i="4"/>
  <c r="Q185" i="4" s="1"/>
  <c r="S184" i="4"/>
  <c r="R184" i="4"/>
  <c r="P184" i="4"/>
  <c r="Q184" i="4" s="1"/>
  <c r="S183" i="4"/>
  <c r="R183" i="4"/>
  <c r="P183" i="4"/>
  <c r="Q183" i="4" s="1"/>
  <c r="S182" i="4"/>
  <c r="R182" i="4"/>
  <c r="P182" i="4"/>
  <c r="Q182" i="4" s="1"/>
  <c r="S181" i="4"/>
  <c r="R181" i="4"/>
  <c r="P181" i="4"/>
  <c r="Q181" i="4" s="1"/>
  <c r="S180" i="4"/>
  <c r="R180" i="4"/>
  <c r="P180" i="4"/>
  <c r="Q180" i="4" s="1"/>
  <c r="S179" i="4"/>
  <c r="R179" i="4"/>
  <c r="P179" i="4"/>
  <c r="Q179" i="4" s="1"/>
  <c r="S178" i="4"/>
  <c r="R178" i="4"/>
  <c r="P178" i="4"/>
  <c r="Q178" i="4" s="1"/>
  <c r="S177" i="4"/>
  <c r="R177" i="4"/>
  <c r="P177" i="4"/>
  <c r="Q177" i="4" s="1"/>
  <c r="S176" i="4"/>
  <c r="R176" i="4"/>
  <c r="P176" i="4"/>
  <c r="Q176" i="4" s="1"/>
  <c r="S175" i="4"/>
  <c r="R175" i="4"/>
  <c r="P175" i="4"/>
  <c r="Q175" i="4" s="1"/>
  <c r="S174" i="4"/>
  <c r="R174" i="4"/>
  <c r="P174" i="4"/>
  <c r="Q174" i="4" s="1"/>
  <c r="S173" i="4"/>
  <c r="R173" i="4"/>
  <c r="P173" i="4"/>
  <c r="Q173" i="4" s="1"/>
  <c r="S172" i="4"/>
  <c r="R172" i="4"/>
  <c r="P172" i="4"/>
  <c r="Q172" i="4" s="1"/>
  <c r="S171" i="4"/>
  <c r="R171" i="4"/>
  <c r="P171" i="4"/>
  <c r="Q171" i="4" s="1"/>
  <c r="S170" i="4"/>
  <c r="R170" i="4"/>
  <c r="P170" i="4"/>
  <c r="Q170" i="4" s="1"/>
  <c r="S169" i="4"/>
  <c r="R169" i="4"/>
  <c r="P169" i="4"/>
  <c r="Q169" i="4" s="1"/>
  <c r="S168" i="4"/>
  <c r="R168" i="4"/>
  <c r="P168" i="4"/>
  <c r="Q168" i="4" s="1"/>
  <c r="S167" i="4"/>
  <c r="R167" i="4"/>
  <c r="P167" i="4"/>
  <c r="Q167" i="4" s="1"/>
  <c r="S166" i="4"/>
  <c r="R166" i="4"/>
  <c r="P166" i="4"/>
  <c r="Q166" i="4" s="1"/>
  <c r="S165" i="4"/>
  <c r="R165" i="4"/>
  <c r="P165" i="4"/>
  <c r="Q165" i="4" s="1"/>
  <c r="S164" i="4"/>
  <c r="R164" i="4"/>
  <c r="P164" i="4"/>
  <c r="Q164" i="4" s="1"/>
  <c r="S163" i="4"/>
  <c r="R163" i="4"/>
  <c r="P163" i="4"/>
  <c r="Q163" i="4" s="1"/>
  <c r="S162" i="4"/>
  <c r="R162" i="4"/>
  <c r="P162" i="4"/>
  <c r="Q162" i="4" s="1"/>
  <c r="S161" i="4"/>
  <c r="R161" i="4"/>
  <c r="P161" i="4"/>
  <c r="Q161" i="4" s="1"/>
  <c r="S160" i="4"/>
  <c r="R160" i="4"/>
  <c r="P160" i="4"/>
  <c r="Q160" i="4" s="1"/>
  <c r="S159" i="4"/>
  <c r="R159" i="4"/>
  <c r="P159" i="4"/>
  <c r="Q159" i="4" s="1"/>
  <c r="S158" i="4"/>
  <c r="R158" i="4"/>
  <c r="P158" i="4"/>
  <c r="Q158" i="4" s="1"/>
  <c r="S157" i="4"/>
  <c r="R157" i="4"/>
  <c r="P157" i="4"/>
  <c r="Q157" i="4" s="1"/>
  <c r="S156" i="4"/>
  <c r="R156" i="4"/>
  <c r="P156" i="4"/>
  <c r="Q156" i="4" s="1"/>
  <c r="S155" i="4"/>
  <c r="R155" i="4"/>
  <c r="P155" i="4"/>
  <c r="Q155" i="4" s="1"/>
  <c r="S154" i="4"/>
  <c r="R154" i="4"/>
  <c r="P154" i="4"/>
  <c r="Q154" i="4" s="1"/>
  <c r="S153" i="4"/>
  <c r="R153" i="4"/>
  <c r="P153" i="4"/>
  <c r="Q153" i="4" s="1"/>
  <c r="S152" i="4"/>
  <c r="R152" i="4"/>
  <c r="P152" i="4"/>
  <c r="Q152" i="4" s="1"/>
  <c r="S151" i="4"/>
  <c r="R151" i="4"/>
  <c r="P151" i="4"/>
  <c r="Q151" i="4" s="1"/>
  <c r="S150" i="4"/>
  <c r="R150" i="4"/>
  <c r="P150" i="4"/>
  <c r="Q150" i="4" s="1"/>
  <c r="S149" i="4"/>
  <c r="R149" i="4"/>
  <c r="P149" i="4"/>
  <c r="Q149" i="4" s="1"/>
  <c r="S148" i="4"/>
  <c r="R148" i="4"/>
  <c r="P148" i="4"/>
  <c r="Q148" i="4" s="1"/>
  <c r="S147" i="4"/>
  <c r="R147" i="4"/>
  <c r="P147" i="4"/>
  <c r="Q147" i="4" s="1"/>
  <c r="S146" i="4"/>
  <c r="R146" i="4"/>
  <c r="P146" i="4"/>
  <c r="Q146" i="4" s="1"/>
  <c r="S145" i="4"/>
  <c r="R145" i="4"/>
  <c r="P145" i="4"/>
  <c r="Q145" i="4" s="1"/>
  <c r="S144" i="4"/>
  <c r="R144" i="4"/>
  <c r="P144" i="4"/>
  <c r="Q144" i="4" s="1"/>
  <c r="S143" i="4"/>
  <c r="R143" i="4"/>
  <c r="P143" i="4"/>
  <c r="Q143" i="4" s="1"/>
  <c r="S142" i="4"/>
  <c r="R142" i="4"/>
  <c r="P142" i="4"/>
  <c r="Q142" i="4" s="1"/>
  <c r="S141" i="4"/>
  <c r="R141" i="4"/>
  <c r="P141" i="4"/>
  <c r="Q141" i="4" s="1"/>
  <c r="S140" i="4"/>
  <c r="R140" i="4"/>
  <c r="P140" i="4"/>
  <c r="Q140" i="4" s="1"/>
  <c r="S139" i="4"/>
  <c r="R139" i="4"/>
  <c r="P139" i="4"/>
  <c r="Q139" i="4" s="1"/>
  <c r="S138" i="4"/>
  <c r="R138" i="4"/>
  <c r="P138" i="4"/>
  <c r="Q138" i="4" s="1"/>
  <c r="S137" i="4"/>
  <c r="R137" i="4"/>
  <c r="P137" i="4"/>
  <c r="Q137" i="4" s="1"/>
  <c r="S136" i="4"/>
  <c r="R136" i="4"/>
  <c r="P136" i="4"/>
  <c r="Q136" i="4" s="1"/>
  <c r="S135" i="4"/>
  <c r="R135" i="4"/>
  <c r="P135" i="4"/>
  <c r="Q135" i="4" s="1"/>
  <c r="S134" i="4"/>
  <c r="R134" i="4"/>
  <c r="P134" i="4"/>
  <c r="Q134" i="4" s="1"/>
  <c r="S133" i="4"/>
  <c r="R133" i="4"/>
  <c r="P133" i="4"/>
  <c r="Q133" i="4" s="1"/>
  <c r="S132" i="4"/>
  <c r="R132" i="4"/>
  <c r="P132" i="4"/>
  <c r="Q132" i="4" s="1"/>
  <c r="S131" i="4"/>
  <c r="R131" i="4"/>
  <c r="P131" i="4"/>
  <c r="Q131" i="4" s="1"/>
  <c r="S130" i="4"/>
  <c r="R130" i="4"/>
  <c r="P130" i="4"/>
  <c r="Q130" i="4" s="1"/>
  <c r="S129" i="4"/>
  <c r="R129" i="4"/>
  <c r="P129" i="4"/>
  <c r="Q129" i="4" s="1"/>
  <c r="S128" i="4"/>
  <c r="R128" i="4"/>
  <c r="P128" i="4"/>
  <c r="Q128" i="4" s="1"/>
  <c r="S127" i="4"/>
  <c r="R127" i="4"/>
  <c r="P127" i="4"/>
  <c r="Q127" i="4" s="1"/>
  <c r="S126" i="4"/>
  <c r="R126" i="4"/>
  <c r="P126" i="4"/>
  <c r="Q126" i="4" s="1"/>
  <c r="S125" i="4"/>
  <c r="R125" i="4"/>
  <c r="P125" i="4"/>
  <c r="Q125" i="4" s="1"/>
  <c r="S124" i="4"/>
  <c r="R124" i="4"/>
  <c r="P124" i="4"/>
  <c r="Q124" i="4" s="1"/>
  <c r="S123" i="4"/>
  <c r="R123" i="4"/>
  <c r="P123" i="4"/>
  <c r="Q123" i="4" s="1"/>
  <c r="S122" i="4"/>
  <c r="R122" i="4"/>
  <c r="P122" i="4"/>
  <c r="Q122" i="4" s="1"/>
  <c r="S121" i="4"/>
  <c r="R121" i="4"/>
  <c r="P121" i="4"/>
  <c r="Q121" i="4" s="1"/>
  <c r="S120" i="4"/>
  <c r="R120" i="4"/>
  <c r="P120" i="4"/>
  <c r="Q120" i="4" s="1"/>
  <c r="S119" i="4"/>
  <c r="R119" i="4"/>
  <c r="P119" i="4"/>
  <c r="Q119" i="4" s="1"/>
  <c r="S118" i="4"/>
  <c r="R118" i="4"/>
  <c r="P118" i="4"/>
  <c r="Q118" i="4" s="1"/>
  <c r="S117" i="4"/>
  <c r="R117" i="4"/>
  <c r="P117" i="4"/>
  <c r="Q117" i="4" s="1"/>
  <c r="S116" i="4"/>
  <c r="R116" i="4"/>
  <c r="P116" i="4"/>
  <c r="Q116" i="4" s="1"/>
  <c r="S115" i="4"/>
  <c r="R115" i="4"/>
  <c r="P115" i="4"/>
  <c r="Q115" i="4" s="1"/>
  <c r="S114" i="4"/>
  <c r="R114" i="4"/>
  <c r="P114" i="4"/>
  <c r="Q114" i="4" s="1"/>
  <c r="S113" i="4"/>
  <c r="R113" i="4"/>
  <c r="P113" i="4"/>
  <c r="Q113" i="4" s="1"/>
  <c r="S112" i="4"/>
  <c r="R112" i="4"/>
  <c r="P112" i="4"/>
  <c r="Q112" i="4" s="1"/>
  <c r="S111" i="4"/>
  <c r="R111" i="4"/>
  <c r="P111" i="4"/>
  <c r="Q111" i="4" s="1"/>
  <c r="S110" i="4"/>
  <c r="R110" i="4"/>
  <c r="P110" i="4"/>
  <c r="Q110" i="4" s="1"/>
  <c r="S109" i="4"/>
  <c r="R109" i="4"/>
  <c r="P109" i="4"/>
  <c r="Q109" i="4" s="1"/>
  <c r="S108" i="4"/>
  <c r="R108" i="4"/>
  <c r="P108" i="4"/>
  <c r="Q108" i="4" s="1"/>
  <c r="S107" i="4"/>
  <c r="R107" i="4"/>
  <c r="P107" i="4"/>
  <c r="Q107" i="4" s="1"/>
  <c r="S106" i="4"/>
  <c r="R106" i="4"/>
  <c r="P106" i="4"/>
  <c r="Q106" i="4" s="1"/>
  <c r="S105" i="4"/>
  <c r="R105" i="4"/>
  <c r="P105" i="4"/>
  <c r="Q105" i="4" s="1"/>
  <c r="S104" i="4"/>
  <c r="R104" i="4"/>
  <c r="P104" i="4"/>
  <c r="Q104" i="4" s="1"/>
  <c r="S103" i="4"/>
  <c r="R103" i="4"/>
  <c r="P103" i="4"/>
  <c r="Q103" i="4" s="1"/>
  <c r="S102" i="4"/>
  <c r="R102" i="4"/>
  <c r="P102" i="4"/>
  <c r="Q102" i="4" s="1"/>
  <c r="S101" i="4"/>
  <c r="R101" i="4"/>
  <c r="P101" i="4"/>
  <c r="Q101" i="4" s="1"/>
  <c r="S100" i="4"/>
  <c r="R100" i="4"/>
  <c r="P100" i="4"/>
  <c r="Q100" i="4" s="1"/>
  <c r="S99" i="4"/>
  <c r="R99" i="4"/>
  <c r="P99" i="4"/>
  <c r="Q99" i="4" s="1"/>
  <c r="S98" i="4"/>
  <c r="R98" i="4"/>
  <c r="P98" i="4"/>
  <c r="Q98" i="4" s="1"/>
  <c r="S97" i="4"/>
  <c r="R97" i="4"/>
  <c r="P97" i="4"/>
  <c r="Q97" i="4" s="1"/>
  <c r="S96" i="4"/>
  <c r="R96" i="4"/>
  <c r="P96" i="4"/>
  <c r="Q96" i="4" s="1"/>
  <c r="S95" i="4"/>
  <c r="R95" i="4"/>
  <c r="P95" i="4"/>
  <c r="Q95" i="4" s="1"/>
  <c r="S94" i="4"/>
  <c r="R94" i="4"/>
  <c r="P94" i="4"/>
  <c r="Q94" i="4" s="1"/>
  <c r="S93" i="4"/>
  <c r="R93" i="4"/>
  <c r="P93" i="4"/>
  <c r="Q93" i="4" s="1"/>
  <c r="S92" i="4"/>
  <c r="R92" i="4"/>
  <c r="P92" i="4"/>
  <c r="Q92" i="4" s="1"/>
  <c r="S91" i="4"/>
  <c r="R91" i="4"/>
  <c r="P91" i="4"/>
  <c r="Q91" i="4" s="1"/>
  <c r="S90" i="4"/>
  <c r="R90" i="4"/>
  <c r="P90" i="4"/>
  <c r="Q90" i="4" s="1"/>
  <c r="S89" i="4"/>
  <c r="R89" i="4"/>
  <c r="P89" i="4"/>
  <c r="Q89" i="4" s="1"/>
  <c r="S88" i="4"/>
  <c r="R88" i="4"/>
  <c r="P88" i="4"/>
  <c r="Q88" i="4" s="1"/>
  <c r="S87" i="4"/>
  <c r="R87" i="4"/>
  <c r="P87" i="4"/>
  <c r="Q87" i="4" s="1"/>
  <c r="S86" i="4"/>
  <c r="R86" i="4"/>
  <c r="P86" i="4"/>
  <c r="Q86" i="4" s="1"/>
  <c r="S85" i="4"/>
  <c r="R85" i="4"/>
  <c r="P85" i="4"/>
  <c r="Q85" i="4" s="1"/>
  <c r="S84" i="4"/>
  <c r="R84" i="4"/>
  <c r="P84" i="4"/>
  <c r="Q84" i="4" s="1"/>
  <c r="S83" i="4"/>
  <c r="R83" i="4"/>
  <c r="P83" i="4"/>
  <c r="Q83" i="4" s="1"/>
  <c r="S82" i="4"/>
  <c r="R82" i="4"/>
  <c r="P82" i="4"/>
  <c r="Q82" i="4" s="1"/>
  <c r="S81" i="4"/>
  <c r="R81" i="4"/>
  <c r="P81" i="4"/>
  <c r="Q81" i="4" s="1"/>
  <c r="S80" i="4"/>
  <c r="R80" i="4"/>
  <c r="P80" i="4"/>
  <c r="Q80" i="4" s="1"/>
  <c r="S79" i="4"/>
  <c r="R79" i="4"/>
  <c r="P79" i="4"/>
  <c r="Q79" i="4" s="1"/>
  <c r="S78" i="4"/>
  <c r="R78" i="4"/>
  <c r="P78" i="4"/>
  <c r="Q78" i="4" s="1"/>
  <c r="S77" i="4"/>
  <c r="R77" i="4"/>
  <c r="P77" i="4"/>
  <c r="Q77" i="4" s="1"/>
  <c r="S76" i="4"/>
  <c r="R76" i="4"/>
  <c r="P76" i="4"/>
  <c r="Q76" i="4" s="1"/>
  <c r="S75" i="4"/>
  <c r="R75" i="4"/>
  <c r="P75" i="4"/>
  <c r="Q75" i="4" s="1"/>
  <c r="S74" i="4"/>
  <c r="R74" i="4"/>
  <c r="P74" i="4"/>
  <c r="Q74" i="4" s="1"/>
  <c r="S73" i="4"/>
  <c r="R73" i="4"/>
  <c r="P73" i="4"/>
  <c r="Q73" i="4" s="1"/>
  <c r="S72" i="4"/>
  <c r="R72" i="4"/>
  <c r="P72" i="4"/>
  <c r="Q72" i="4" s="1"/>
  <c r="S71" i="4"/>
  <c r="R71" i="4"/>
  <c r="P71" i="4"/>
  <c r="Q71" i="4" s="1"/>
  <c r="S70" i="4"/>
  <c r="R70" i="4"/>
  <c r="P70" i="4"/>
  <c r="Q70" i="4" s="1"/>
  <c r="S69" i="4"/>
  <c r="R69" i="4"/>
  <c r="P69" i="4"/>
  <c r="Q69" i="4" s="1"/>
  <c r="S68" i="4"/>
  <c r="R68" i="4"/>
  <c r="P68" i="4"/>
  <c r="Q68" i="4" s="1"/>
  <c r="S67" i="4"/>
  <c r="R67" i="4"/>
  <c r="P67" i="4"/>
  <c r="Q67" i="4" s="1"/>
  <c r="S66" i="4"/>
  <c r="R66" i="4"/>
  <c r="P66" i="4"/>
  <c r="Q66" i="4" s="1"/>
  <c r="S65" i="4"/>
  <c r="R65" i="4"/>
  <c r="P65" i="4"/>
  <c r="Q65" i="4" s="1"/>
  <c r="S64" i="4"/>
  <c r="R64" i="4"/>
  <c r="P64" i="4"/>
  <c r="Q64" i="4" s="1"/>
  <c r="S63" i="4"/>
  <c r="R63" i="4"/>
  <c r="P63" i="4"/>
  <c r="Q63" i="4" s="1"/>
  <c r="S62" i="4"/>
  <c r="R62" i="4"/>
  <c r="P62" i="4"/>
  <c r="Q62" i="4" s="1"/>
  <c r="S61" i="4"/>
  <c r="R61" i="4"/>
  <c r="P61" i="4"/>
  <c r="Q61" i="4" s="1"/>
  <c r="S60" i="4"/>
  <c r="R60" i="4"/>
  <c r="P60" i="4"/>
  <c r="Q60" i="4" s="1"/>
  <c r="S59" i="4"/>
  <c r="R59" i="4"/>
  <c r="P59" i="4"/>
  <c r="Q59" i="4" s="1"/>
  <c r="S58" i="4"/>
  <c r="R58" i="4"/>
  <c r="P58" i="4"/>
  <c r="Q58" i="4" s="1"/>
  <c r="S57" i="4"/>
  <c r="R57" i="4"/>
  <c r="P57" i="4"/>
  <c r="Q57" i="4" s="1"/>
  <c r="S56" i="4"/>
  <c r="R56" i="4"/>
  <c r="P56" i="4"/>
  <c r="Q56" i="4" s="1"/>
  <c r="S55" i="4"/>
  <c r="R55" i="4"/>
  <c r="P55" i="4"/>
  <c r="Q55" i="4" s="1"/>
  <c r="S54" i="4"/>
  <c r="R54" i="4"/>
  <c r="P54" i="4"/>
  <c r="Q54" i="4" s="1"/>
  <c r="S53" i="4"/>
  <c r="R53" i="4"/>
  <c r="P53" i="4"/>
  <c r="Q53" i="4" s="1"/>
  <c r="S52" i="4"/>
  <c r="R52" i="4"/>
  <c r="P52" i="4"/>
  <c r="Q52" i="4" s="1"/>
  <c r="S51" i="4"/>
  <c r="R51" i="4"/>
  <c r="P51" i="4"/>
  <c r="Q51" i="4" s="1"/>
  <c r="S50" i="4"/>
  <c r="R50" i="4"/>
  <c r="P50" i="4"/>
  <c r="Q50" i="4" s="1"/>
  <c r="S49" i="4"/>
  <c r="R49" i="4"/>
  <c r="P49" i="4"/>
  <c r="Q49" i="4" s="1"/>
  <c r="S48" i="4"/>
  <c r="R48" i="4"/>
  <c r="P48" i="4"/>
  <c r="Q48" i="4" s="1"/>
  <c r="S47" i="4"/>
  <c r="R47" i="4"/>
  <c r="P47" i="4"/>
  <c r="Q47" i="4" s="1"/>
  <c r="S46" i="4"/>
  <c r="R46" i="4"/>
  <c r="P46" i="4"/>
  <c r="Q46" i="4" s="1"/>
  <c r="S45" i="4"/>
  <c r="R45" i="4"/>
  <c r="P45" i="4"/>
  <c r="Q45" i="4" s="1"/>
  <c r="S44" i="4"/>
  <c r="R44" i="4"/>
  <c r="P44" i="4"/>
  <c r="Q44" i="4" s="1"/>
  <c r="S43" i="4"/>
  <c r="R43" i="4"/>
  <c r="P43" i="4"/>
  <c r="Q43" i="4" s="1"/>
  <c r="S42" i="4"/>
  <c r="R42" i="4"/>
  <c r="P42" i="4"/>
  <c r="Q42" i="4" s="1"/>
  <c r="S41" i="4"/>
  <c r="R41" i="4"/>
  <c r="P41" i="4"/>
  <c r="Q41" i="4" s="1"/>
  <c r="S40" i="4"/>
  <c r="R40" i="4"/>
  <c r="P40" i="4"/>
  <c r="Q40" i="4" s="1"/>
  <c r="S39" i="4"/>
  <c r="R39" i="4"/>
  <c r="P39" i="4"/>
  <c r="Q39" i="4" s="1"/>
  <c r="S38" i="4"/>
  <c r="R38" i="4"/>
  <c r="P38" i="4"/>
  <c r="Q38" i="4" s="1"/>
  <c r="S37" i="4"/>
  <c r="R37" i="4"/>
  <c r="P37" i="4"/>
  <c r="Q37" i="4" s="1"/>
  <c r="S36" i="4"/>
  <c r="R36" i="4"/>
  <c r="P36" i="4"/>
  <c r="Q36" i="4" s="1"/>
  <c r="S35" i="4"/>
  <c r="R35" i="4"/>
  <c r="P35" i="4"/>
  <c r="Q35" i="4" s="1"/>
  <c r="S34" i="4"/>
  <c r="R34" i="4"/>
  <c r="P34" i="4"/>
  <c r="Q34" i="4" s="1"/>
  <c r="S33" i="4"/>
  <c r="R33" i="4"/>
  <c r="P33" i="4"/>
  <c r="Q33" i="4" s="1"/>
  <c r="S32" i="4"/>
  <c r="R32" i="4"/>
  <c r="P32" i="4"/>
  <c r="Q32" i="4" s="1"/>
  <c r="S31" i="4"/>
  <c r="R31" i="4"/>
  <c r="P31" i="4"/>
  <c r="Q31" i="4" s="1"/>
  <c r="S30" i="4"/>
  <c r="R30" i="4"/>
  <c r="P30" i="4"/>
  <c r="Q30" i="4" s="1"/>
  <c r="S29" i="4"/>
  <c r="R29" i="4"/>
  <c r="P29" i="4"/>
  <c r="Q29" i="4" s="1"/>
  <c r="S28" i="4"/>
  <c r="R28" i="4"/>
  <c r="P28" i="4"/>
  <c r="Q28" i="4" s="1"/>
  <c r="S27" i="4"/>
  <c r="R27" i="4"/>
  <c r="P27" i="4"/>
  <c r="Q27" i="4" s="1"/>
  <c r="S26" i="4"/>
  <c r="R26" i="4"/>
  <c r="P26" i="4"/>
  <c r="Q26" i="4" s="1"/>
  <c r="S25" i="4"/>
  <c r="R25" i="4"/>
  <c r="P25" i="4"/>
  <c r="Q25" i="4" s="1"/>
  <c r="S24" i="4"/>
  <c r="R24" i="4"/>
  <c r="P24" i="4"/>
  <c r="Q24" i="4" s="1"/>
  <c r="S23" i="4"/>
  <c r="R23" i="4"/>
  <c r="P23" i="4"/>
  <c r="Q23" i="4" s="1"/>
  <c r="S22" i="4"/>
  <c r="R22" i="4"/>
  <c r="P22" i="4"/>
  <c r="Q22" i="4" s="1"/>
  <c r="S21" i="4"/>
  <c r="R21" i="4"/>
  <c r="P21" i="4"/>
  <c r="Q21" i="4" s="1"/>
  <c r="S20" i="4"/>
  <c r="R20" i="4"/>
  <c r="P20" i="4"/>
  <c r="Q20" i="4" s="1"/>
  <c r="S19" i="4"/>
  <c r="R19" i="4"/>
  <c r="P19" i="4"/>
  <c r="Q19" i="4" s="1"/>
  <c r="S18" i="4"/>
  <c r="R18" i="4"/>
  <c r="P18" i="4"/>
  <c r="Q18" i="4" s="1"/>
  <c r="S17" i="4"/>
  <c r="R17" i="4"/>
  <c r="P17" i="4"/>
  <c r="Q17" i="4" s="1"/>
  <c r="S16" i="4"/>
  <c r="R16" i="4"/>
  <c r="P16" i="4"/>
  <c r="Q16" i="4" s="1"/>
  <c r="S15" i="4"/>
  <c r="R15" i="4"/>
  <c r="P15" i="4"/>
  <c r="Q15" i="4" s="1"/>
  <c r="S14" i="4"/>
  <c r="R14" i="4"/>
  <c r="P14" i="4"/>
  <c r="Q14" i="4" s="1"/>
  <c r="S13" i="4"/>
  <c r="R13" i="4"/>
  <c r="P13" i="4"/>
  <c r="Q13" i="4" s="1"/>
  <c r="S12" i="4"/>
  <c r="R12" i="4"/>
  <c r="P12" i="4"/>
  <c r="Q12" i="4" s="1"/>
  <c r="S11" i="4"/>
  <c r="R11" i="4"/>
  <c r="P11" i="4"/>
  <c r="Q11" i="4" s="1"/>
  <c r="S10" i="4"/>
  <c r="R10" i="4"/>
  <c r="P10" i="4"/>
  <c r="Q10" i="4" s="1"/>
  <c r="S9" i="4"/>
  <c r="R9" i="4"/>
  <c r="P9" i="4"/>
  <c r="Q9" i="4" s="1"/>
  <c r="S8" i="4"/>
  <c r="R8" i="4"/>
  <c r="P8" i="4"/>
  <c r="Q8" i="4" s="1"/>
  <c r="S7" i="4"/>
  <c r="R7" i="4"/>
  <c r="P7" i="4"/>
  <c r="Q7" i="4" s="1"/>
  <c r="S6" i="4"/>
  <c r="R6" i="4"/>
  <c r="P6" i="4"/>
  <c r="Q6" i="4" s="1"/>
  <c r="S5" i="4"/>
  <c r="R5" i="4"/>
  <c r="P5" i="4"/>
  <c r="Q5" i="4" s="1"/>
  <c r="S44" i="6" l="1"/>
  <c r="T44" i="6" s="1"/>
  <c r="S27" i="6"/>
  <c r="T27" i="6" s="1"/>
  <c r="S16" i="6"/>
  <c r="T16" i="6" s="1"/>
  <c r="S40" i="6"/>
  <c r="T40" i="6" s="1"/>
  <c r="S26" i="6"/>
  <c r="T26" i="6" s="1"/>
  <c r="S20" i="6"/>
  <c r="T20" i="6" s="1"/>
  <c r="S15" i="6"/>
  <c r="T15" i="6" s="1"/>
  <c r="S39" i="6"/>
  <c r="T39" i="6" s="1"/>
  <c r="S35" i="6"/>
  <c r="T35" i="6" s="1"/>
  <c r="S30" i="6"/>
  <c r="T30" i="6" s="1"/>
  <c r="S25" i="6"/>
  <c r="T25" i="6" s="1"/>
  <c r="S45" i="6"/>
  <c r="T45" i="6" s="1"/>
  <c r="S43" i="6"/>
  <c r="T43" i="6" s="1"/>
  <c r="S34" i="6"/>
  <c r="T34" i="6" s="1"/>
  <c r="S29" i="6"/>
  <c r="T29" i="6" s="1"/>
  <c r="S24" i="6"/>
  <c r="T24" i="6" s="1"/>
  <c r="S19" i="6"/>
  <c r="T19" i="6" s="1"/>
  <c r="S11" i="6"/>
  <c r="T11" i="6" s="1"/>
  <c r="S42" i="6"/>
  <c r="T42" i="6" s="1"/>
  <c r="S33" i="6"/>
  <c r="T33" i="6" s="1"/>
  <c r="S18" i="6"/>
  <c r="T18" i="6" s="1"/>
  <c r="S10" i="6"/>
  <c r="T10" i="6" s="1"/>
  <c r="S38" i="6"/>
  <c r="T38" i="6" s="1"/>
  <c r="S32" i="6"/>
  <c r="T32" i="6" s="1"/>
  <c r="S23" i="6"/>
  <c r="T23" i="6" s="1"/>
  <c r="S17" i="6"/>
  <c r="T17" i="6" s="1"/>
  <c r="S14" i="6"/>
  <c r="T14" i="6" s="1"/>
  <c r="S9" i="6"/>
  <c r="T9" i="6" s="1"/>
  <c r="S37" i="6"/>
  <c r="T37" i="6" s="1"/>
  <c r="S31" i="6"/>
  <c r="T31" i="6" s="1"/>
  <c r="S28" i="6"/>
  <c r="T28" i="6" s="1"/>
  <c r="S22" i="6"/>
  <c r="T22" i="6" s="1"/>
  <c r="S13" i="6"/>
  <c r="T13" i="6" s="1"/>
  <c r="S8" i="6"/>
  <c r="S41" i="6"/>
  <c r="T41" i="6" s="1"/>
  <c r="S36" i="6"/>
  <c r="T36" i="6" s="1"/>
  <c r="S21" i="6"/>
  <c r="T21" i="6" s="1"/>
  <c r="S12" i="6"/>
  <c r="T12" i="6" s="1"/>
  <c r="N20" i="13"/>
  <c r="N15" i="14" s="1"/>
  <c r="H26" i="14"/>
  <c r="B46" i="13"/>
  <c r="B45" i="13"/>
  <c r="B44" i="13"/>
  <c r="C38" i="13"/>
  <c r="E14" i="15" s="1"/>
  <c r="C39" i="13"/>
  <c r="E15" i="15" s="1"/>
  <c r="C37" i="13"/>
  <c r="C36" i="13"/>
  <c r="E12" i="15" s="1"/>
  <c r="C35" i="13"/>
  <c r="C34" i="13"/>
  <c r="E10" i="15" s="1"/>
  <c r="H22" i="14"/>
  <c r="N12" i="13"/>
  <c r="N7" i="14" s="1"/>
  <c r="O11" i="13"/>
  <c r="K14" i="13"/>
  <c r="H27" i="14"/>
  <c r="H28" i="14"/>
  <c r="H18" i="13"/>
  <c r="I18" i="13" s="1"/>
  <c r="C27" i="14"/>
  <c r="H15" i="13"/>
  <c r="I15" i="13" s="1"/>
  <c r="K12" i="13"/>
  <c r="F10" i="16" s="1"/>
  <c r="L30" i="14"/>
  <c r="H24" i="14"/>
  <c r="M27" i="14"/>
  <c r="M30" i="14"/>
  <c r="M23" i="14"/>
  <c r="C25" i="14"/>
  <c r="K22" i="14"/>
  <c r="O16" i="13"/>
  <c r="O11" i="14" s="1"/>
  <c r="K31" i="14"/>
  <c r="O19" i="13"/>
  <c r="O14" i="14" s="1"/>
  <c r="C23" i="14"/>
  <c r="H25" i="14"/>
  <c r="H45" i="14"/>
  <c r="L16" i="13"/>
  <c r="L11" i="14" s="1"/>
  <c r="L20" i="13"/>
  <c r="L15" i="14" s="1"/>
  <c r="H23" i="14"/>
  <c r="C29" i="14"/>
  <c r="D8" i="19"/>
  <c r="N15" i="13"/>
  <c r="N10" i="14" s="1"/>
  <c r="L14" i="13"/>
  <c r="L9" i="14" s="1"/>
  <c r="L29" i="14"/>
  <c r="L26" i="14"/>
  <c r="L25" i="14"/>
  <c r="L31" i="14"/>
  <c r="J8" i="14"/>
  <c r="K13" i="13"/>
  <c r="F11" i="16" s="1"/>
  <c r="F12" i="14"/>
  <c r="C22" i="14"/>
  <c r="C24" i="14"/>
  <c r="C26" i="14"/>
  <c r="C28" i="14"/>
  <c r="J44" i="14"/>
  <c r="N16" i="13"/>
  <c r="N11" i="14" s="1"/>
  <c r="O12" i="13"/>
  <c r="O7" i="14" s="1"/>
  <c r="L12" i="13"/>
  <c r="L7" i="14" s="1"/>
  <c r="K17" i="13"/>
  <c r="E40" i="14" s="1"/>
  <c r="K18" i="13"/>
  <c r="F16" i="16" s="1"/>
  <c r="H47" i="14"/>
  <c r="C19" i="17"/>
  <c r="L17" i="13"/>
  <c r="L12" i="14" s="1"/>
  <c r="G13" i="14"/>
  <c r="C13" i="17"/>
  <c r="C16" i="17"/>
  <c r="H37" i="14"/>
  <c r="H14" i="13"/>
  <c r="H9" i="14" s="1"/>
  <c r="J37" i="14"/>
  <c r="K20" i="13"/>
  <c r="E43" i="14" s="1"/>
  <c r="J41" i="14"/>
  <c r="C12" i="17"/>
  <c r="C15" i="17"/>
  <c r="N17" i="13"/>
  <c r="N12" i="14" s="1"/>
  <c r="N13" i="13"/>
  <c r="N8" i="14" s="1"/>
  <c r="D7" i="19"/>
  <c r="N18" i="13"/>
  <c r="N13" i="14" s="1"/>
  <c r="N14" i="13"/>
  <c r="N9" i="14" s="1"/>
  <c r="J12" i="15"/>
  <c r="D9" i="16"/>
  <c r="G6" i="14"/>
  <c r="H11" i="13"/>
  <c r="R5" i="7"/>
  <c r="L28" i="14"/>
  <c r="L27" i="14"/>
  <c r="M28" i="14"/>
  <c r="B27" i="13"/>
  <c r="M5" i="16" s="1"/>
  <c r="N18" i="16"/>
  <c r="N10" i="16"/>
  <c r="N15" i="16"/>
  <c r="N12" i="16"/>
  <c r="N17" i="16"/>
  <c r="N9" i="16"/>
  <c r="N14" i="16"/>
  <c r="N11" i="16"/>
  <c r="N16" i="16"/>
  <c r="N13" i="16"/>
  <c r="J11" i="15"/>
  <c r="J10" i="15"/>
  <c r="J13" i="15"/>
  <c r="L22" i="14"/>
  <c r="K5" i="15"/>
  <c r="I19" i="15"/>
  <c r="D15" i="17"/>
  <c r="J42" i="14"/>
  <c r="R14" i="7"/>
  <c r="B17" i="13"/>
  <c r="L23" i="14"/>
  <c r="C9" i="16"/>
  <c r="F6" i="14"/>
  <c r="L11" i="13"/>
  <c r="L6" i="14" s="1"/>
  <c r="H44" i="14"/>
  <c r="B17" i="17"/>
  <c r="L24" i="14"/>
  <c r="O6" i="14"/>
  <c r="G9" i="16"/>
  <c r="C20" i="17"/>
  <c r="I47" i="14"/>
  <c r="D18" i="19"/>
  <c r="J6" i="14"/>
  <c r="K11" i="13"/>
  <c r="G7" i="14"/>
  <c r="D10" i="16"/>
  <c r="H12" i="13"/>
  <c r="O18" i="13"/>
  <c r="K29" i="14"/>
  <c r="K26" i="14"/>
  <c r="O15" i="13"/>
  <c r="K25" i="14"/>
  <c r="O14" i="13"/>
  <c r="K24" i="14"/>
  <c r="O13" i="13"/>
  <c r="F12" i="16"/>
  <c r="E37" i="14"/>
  <c r="K9" i="14"/>
  <c r="O20" i="13"/>
  <c r="B13" i="13"/>
  <c r="G10" i="14"/>
  <c r="D13" i="16"/>
  <c r="G11" i="14"/>
  <c r="D14" i="16"/>
  <c r="H16" i="13"/>
  <c r="C14" i="15"/>
  <c r="C11" i="16"/>
  <c r="H13" i="13"/>
  <c r="F8" i="14"/>
  <c r="B14" i="14"/>
  <c r="B20" i="13"/>
  <c r="H36" i="14"/>
  <c r="B9" i="17"/>
  <c r="J10" i="14"/>
  <c r="K15" i="13"/>
  <c r="K16" i="13"/>
  <c r="J11" i="14"/>
  <c r="H20" i="13"/>
  <c r="G15" i="14"/>
  <c r="D18" i="16"/>
  <c r="B22" i="13"/>
  <c r="D17" i="16"/>
  <c r="H19" i="13"/>
  <c r="G14" i="14"/>
  <c r="J36" i="14"/>
  <c r="D9" i="17"/>
  <c r="M29" i="14"/>
  <c r="M26" i="14"/>
  <c r="M22" i="14"/>
  <c r="M25" i="14"/>
  <c r="M31" i="14"/>
  <c r="M24" i="14"/>
  <c r="F9" i="14"/>
  <c r="C12" i="16"/>
  <c r="C16" i="19"/>
  <c r="D16" i="19" s="1"/>
  <c r="K28" i="14"/>
  <c r="B26" i="13"/>
  <c r="H19" i="15" s="1"/>
  <c r="O17" i="13"/>
  <c r="K27" i="14"/>
  <c r="K30" i="14"/>
  <c r="K23" i="14"/>
  <c r="A5" i="16"/>
  <c r="A5" i="17"/>
  <c r="B24" i="13"/>
  <c r="B6" i="14"/>
  <c r="B23" i="13"/>
  <c r="B18" i="14" s="1"/>
  <c r="L13" i="13"/>
  <c r="L8" i="14" s="1"/>
  <c r="A5" i="15"/>
  <c r="B10" i="14"/>
  <c r="K19" i="13"/>
  <c r="E11" i="15"/>
  <c r="G9" i="14"/>
  <c r="H38" i="14"/>
  <c r="J39" i="14"/>
  <c r="H42" i="14"/>
  <c r="J43" i="14"/>
  <c r="J45" i="14"/>
  <c r="C13" i="16"/>
  <c r="D11" i="17"/>
  <c r="L15" i="13"/>
  <c r="L10" i="14" s="1"/>
  <c r="H17" i="13"/>
  <c r="L19" i="13"/>
  <c r="L14" i="14" s="1"/>
  <c r="F7" i="14"/>
  <c r="G8" i="14"/>
  <c r="F15" i="14"/>
  <c r="I38" i="14"/>
  <c r="J46" i="14"/>
  <c r="C16" i="16"/>
  <c r="C9" i="17"/>
  <c r="B12" i="17"/>
  <c r="B13" i="17"/>
  <c r="B14" i="17"/>
  <c r="B16" i="17"/>
  <c r="B19" i="17"/>
  <c r="F14" i="14"/>
  <c r="C14" i="17"/>
  <c r="C17" i="17"/>
  <c r="C18" i="17"/>
  <c r="L18" i="13"/>
  <c r="L13" i="14" s="1"/>
  <c r="F13" i="14"/>
  <c r="I37" i="14"/>
  <c r="C14" i="16"/>
  <c r="D13" i="17"/>
  <c r="G12" i="14"/>
  <c r="J15" i="14"/>
  <c r="E13" i="15"/>
  <c r="B16" i="14"/>
  <c r="J47" i="14"/>
  <c r="B16" i="13" l="1"/>
  <c r="I5" i="16" s="1"/>
  <c r="T8" i="6"/>
  <c r="H10" i="14"/>
  <c r="G14" i="16"/>
  <c r="K7" i="14"/>
  <c r="E35" i="14"/>
  <c r="G10" i="16"/>
  <c r="E19" i="15"/>
  <c r="G5" i="15"/>
  <c r="D19" i="15"/>
  <c r="E5" i="15"/>
  <c r="E36" i="14"/>
  <c r="K8" i="14"/>
  <c r="C5" i="15"/>
  <c r="C19" i="15"/>
  <c r="H13" i="14"/>
  <c r="E41" i="14"/>
  <c r="K12" i="14"/>
  <c r="F15" i="16"/>
  <c r="F18" i="16"/>
  <c r="I14" i="13"/>
  <c r="Q14" i="13" s="1"/>
  <c r="R14" i="13" s="1" a="1"/>
  <c r="R14" i="13" s="1"/>
  <c r="K15" i="14"/>
  <c r="K13" i="14"/>
  <c r="G17" i="16"/>
  <c r="F17" i="16"/>
  <c r="K14" i="14"/>
  <c r="E42" i="14"/>
  <c r="H15" i="14"/>
  <c r="I20" i="13"/>
  <c r="F9" i="16"/>
  <c r="K6" i="14"/>
  <c r="E34" i="14"/>
  <c r="D41" i="14"/>
  <c r="I13" i="14"/>
  <c r="E16" i="16"/>
  <c r="Q18" i="13"/>
  <c r="R18" i="13" s="1" a="1"/>
  <c r="R18" i="13" s="1"/>
  <c r="H11" i="14"/>
  <c r="I16" i="13"/>
  <c r="O10" i="14"/>
  <c r="G13" i="16"/>
  <c r="F14" i="16"/>
  <c r="E39" i="14"/>
  <c r="K11" i="14"/>
  <c r="Q15" i="13"/>
  <c r="R15" i="13" s="1" a="1"/>
  <c r="R15" i="13" s="1"/>
  <c r="D38" i="14"/>
  <c r="E13" i="16"/>
  <c r="I10" i="14"/>
  <c r="H6" i="14"/>
  <c r="I11" i="13"/>
  <c r="E38" i="14"/>
  <c r="F13" i="16"/>
  <c r="K10" i="14"/>
  <c r="G11" i="16"/>
  <c r="O8" i="14"/>
  <c r="I19" i="13"/>
  <c r="H14" i="14"/>
  <c r="B15" i="14"/>
  <c r="I5" i="17"/>
  <c r="K5" i="16"/>
  <c r="G18" i="16"/>
  <c r="O15" i="14"/>
  <c r="G12" i="16"/>
  <c r="O9" i="14"/>
  <c r="M5" i="15"/>
  <c r="B12" i="14"/>
  <c r="H12" i="14"/>
  <c r="I17" i="13"/>
  <c r="H8" i="14"/>
  <c r="I13" i="13"/>
  <c r="G16" i="16"/>
  <c r="O13" i="14"/>
  <c r="O12" i="14"/>
  <c r="G15" i="16"/>
  <c r="N11" i="17"/>
  <c r="G5" i="16"/>
  <c r="B17" i="14"/>
  <c r="M11" i="17"/>
  <c r="K11" i="17"/>
  <c r="E5" i="17"/>
  <c r="H7" i="14"/>
  <c r="I12" i="13"/>
  <c r="B8" i="14"/>
  <c r="B14" i="13"/>
  <c r="J19" i="15"/>
  <c r="B11" i="14" l="1"/>
  <c r="I9" i="14"/>
  <c r="E12" i="16"/>
  <c r="D37" i="14"/>
  <c r="D35" i="14"/>
  <c r="E10" i="16"/>
  <c r="Q12" i="13"/>
  <c r="R12" i="13" s="1" a="1"/>
  <c r="R12" i="13" s="1"/>
  <c r="I7" i="14"/>
  <c r="I12" i="14"/>
  <c r="D40" i="14"/>
  <c r="E15" i="16"/>
  <c r="Q17" i="13"/>
  <c r="R17" i="13" s="1" a="1"/>
  <c r="R17" i="13" s="1"/>
  <c r="G13" i="17"/>
  <c r="H13" i="17" s="1"/>
  <c r="H13" i="16"/>
  <c r="I13" i="16" s="1"/>
  <c r="B38" i="14"/>
  <c r="C38" i="14" s="1"/>
  <c r="O40" i="14"/>
  <c r="Q40" i="14" s="1"/>
  <c r="I13" i="17" s="1"/>
  <c r="Q10" i="14"/>
  <c r="E14" i="16"/>
  <c r="D39" i="14"/>
  <c r="I11" i="14"/>
  <c r="Q16" i="13"/>
  <c r="R16" i="13" s="1" a="1"/>
  <c r="R16" i="13" s="1"/>
  <c r="G12" i="17"/>
  <c r="H12" i="17" s="1"/>
  <c r="B37" i="14"/>
  <c r="C37" i="14" s="1"/>
  <c r="O39" i="14"/>
  <c r="Q39" i="14" s="1"/>
  <c r="I12" i="17" s="1"/>
  <c r="H12" i="16"/>
  <c r="I12" i="16" s="1"/>
  <c r="Q9" i="14"/>
  <c r="D43" i="14"/>
  <c r="E18" i="16"/>
  <c r="I15" i="14"/>
  <c r="Q20" i="13"/>
  <c r="R20" i="13" s="1" a="1"/>
  <c r="R20" i="13" s="1"/>
  <c r="H16" i="16"/>
  <c r="I16" i="16" s="1"/>
  <c r="Q13" i="14"/>
  <c r="G16" i="17"/>
  <c r="H16" i="17" s="1"/>
  <c r="B41" i="14"/>
  <c r="C41" i="14" s="1"/>
  <c r="O43" i="14"/>
  <c r="Q43" i="14" s="1"/>
  <c r="I16" i="17" s="1"/>
  <c r="D34" i="14"/>
  <c r="E9" i="16"/>
  <c r="I6" i="14"/>
  <c r="Q11" i="13"/>
  <c r="R11" i="13" s="1" a="1"/>
  <c r="R11" i="13" s="1"/>
  <c r="E17" i="16"/>
  <c r="Q19" i="13"/>
  <c r="R19" i="13" s="1" a="1"/>
  <c r="R19" i="13" s="1"/>
  <c r="D42" i="14"/>
  <c r="I14" i="14"/>
  <c r="D5" i="16"/>
  <c r="B9" i="14"/>
  <c r="N10" i="17"/>
  <c r="M10" i="17"/>
  <c r="K10" i="17"/>
  <c r="C5" i="17"/>
  <c r="E11" i="16"/>
  <c r="I8" i="14"/>
  <c r="D36" i="14"/>
  <c r="Q13" i="13"/>
  <c r="R13" i="13" s="1" a="1"/>
  <c r="R13" i="13" s="1"/>
  <c r="G18" i="17" l="1"/>
  <c r="H18" i="17" s="1"/>
  <c r="H18" i="16"/>
  <c r="I18" i="16" s="1"/>
  <c r="O45" i="14"/>
  <c r="Q45" i="14" s="1"/>
  <c r="I18" i="17" s="1"/>
  <c r="B43" i="14"/>
  <c r="C43" i="14" s="1"/>
  <c r="Q15" i="14"/>
  <c r="H11" i="16"/>
  <c r="I11" i="16" s="1"/>
  <c r="B36" i="14"/>
  <c r="C36" i="14" s="1"/>
  <c r="O38" i="14"/>
  <c r="Q38" i="14" s="1"/>
  <c r="I11" i="17" s="1"/>
  <c r="Q8" i="14"/>
  <c r="G11" i="17"/>
  <c r="H11" i="17" s="1"/>
  <c r="G10" i="17"/>
  <c r="H10" i="17" s="1"/>
  <c r="O37" i="14"/>
  <c r="Q37" i="14" s="1"/>
  <c r="I10" i="17" s="1"/>
  <c r="H10" i="16"/>
  <c r="I10" i="16" s="1"/>
  <c r="B35" i="14"/>
  <c r="C35" i="14" s="1"/>
  <c r="Q7" i="14"/>
  <c r="R13" i="14"/>
  <c r="P43" i="14"/>
  <c r="O41" i="14"/>
  <c r="Q41" i="14" s="1"/>
  <c r="I14" i="17" s="1"/>
  <c r="G14" i="17"/>
  <c r="H14" i="17" s="1"/>
  <c r="B39" i="14"/>
  <c r="C39" i="14" s="1"/>
  <c r="H14" i="16"/>
  <c r="I14" i="16" s="1"/>
  <c r="Q11" i="14"/>
  <c r="B30" i="13"/>
  <c r="K5" i="17" s="1"/>
  <c r="M5" i="17" s="1"/>
  <c r="B34" i="14"/>
  <c r="C34" i="14" s="1"/>
  <c r="Q6" i="14"/>
  <c r="G9" i="17"/>
  <c r="H9" i="16"/>
  <c r="I9" i="16" s="1"/>
  <c r="O36" i="14"/>
  <c r="Q36" i="14" s="1"/>
  <c r="I9" i="17" s="1"/>
  <c r="P39" i="14"/>
  <c r="R9" i="14"/>
  <c r="B40" i="14"/>
  <c r="C40" i="14" s="1"/>
  <c r="Q12" i="14"/>
  <c r="G15" i="17"/>
  <c r="H15" i="17" s="1"/>
  <c r="O42" i="14"/>
  <c r="Q42" i="14" s="1"/>
  <c r="I15" i="17" s="1"/>
  <c r="H15" i="16"/>
  <c r="I15" i="16" s="1"/>
  <c r="O44" i="14"/>
  <c r="Q44" i="14" s="1"/>
  <c r="I17" i="17" s="1"/>
  <c r="G17" i="17"/>
  <c r="H17" i="17" s="1"/>
  <c r="Q14" i="14"/>
  <c r="B42" i="14"/>
  <c r="C42" i="14" s="1"/>
  <c r="H17" i="16"/>
  <c r="I17" i="16" s="1"/>
  <c r="P40" i="14"/>
  <c r="R10" i="14"/>
  <c r="R14" i="14" l="1"/>
  <c r="P44" i="14"/>
  <c r="P42" i="14"/>
  <c r="R12" i="14"/>
  <c r="R6" i="14"/>
  <c r="P36" i="14"/>
  <c r="R11" i="14"/>
  <c r="P41" i="14"/>
  <c r="P38" i="14"/>
  <c r="R8" i="14"/>
  <c r="R7" i="14"/>
  <c r="P37" i="14"/>
  <c r="R15" i="14"/>
  <c r="P45" i="14"/>
  <c r="K9" i="17"/>
  <c r="H9" i="17"/>
  <c r="N9" i="17"/>
  <c r="M9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<sst xmlns="http://schemas.openxmlformats.org/spreadsheetml/2006/main" count="14064" uniqueCount="3098">
  <si>
    <t>HR Workforce Analytics Tracker V2</t>
  </si>
  <si>
    <t>Formula-driven, audit-ready portfolio workbook using synthetic data only.</t>
  </si>
  <si>
    <t>Project</t>
  </si>
  <si>
    <t>SOP Step</t>
  </si>
  <si>
    <t>Process Guidance</t>
  </si>
  <si>
    <t>Owner</t>
  </si>
  <si>
    <t>Company Scenario</t>
  </si>
  <si>
    <t>Northstar Financing Corporation</t>
  </si>
  <si>
    <t>1. Update source tables</t>
  </si>
  <si>
    <t>Add or import new employee, requisition, recruitment, onboarding, attrition, cost, headcount, and productivity records.</t>
  </si>
  <si>
    <t>HR Staff</t>
  </si>
  <si>
    <t>Purpose</t>
  </si>
  <si>
    <t>Centralized HR operations and workforce analytics system for a fictional mid-sized financing company.</t>
  </si>
  <si>
    <t>2. Validate data</t>
  </si>
  <si>
    <t>Open 18_QA_Checks and resolve any Fail/Review items before reporting.</t>
  </si>
  <si>
    <t>HR Staff / HR Manager</t>
  </si>
  <si>
    <t>Architecture</t>
  </si>
  <si>
    <t>Synthetic Source Tables → Calculation Layer → Analysis Summary → Dashboards → Power BI / SQL documentation.</t>
  </si>
  <si>
    <t>3. Review calculation layer</t>
  </si>
  <si>
    <t>Confirm reporting start/end dates and review formula-driven helper outputs.</t>
  </si>
  <si>
    <t>HR Manager</t>
  </si>
  <si>
    <t>Important Rule</t>
  </si>
  <si>
    <t>Source/sample records and documentation are intentionally static. KPI cards, summaries, QA checks, risk scores, and chart sources are formula-driven.</t>
  </si>
  <si>
    <t>4. Review dashboards</t>
  </si>
  <si>
    <t>Use dashboard views for HR operations, managerial review, and executive reporting.</t>
  </si>
  <si>
    <t>HR Manager / Executives</t>
  </si>
  <si>
    <t>Data Privacy</t>
  </si>
  <si>
    <t>Synthetic data only; no real employee or company data used.</t>
  </si>
  <si>
    <t>5. Refresh BI model</t>
  </si>
  <si>
    <t>If using Power BI, refresh imported Excel tables and validate DAX measures.</t>
  </si>
  <si>
    <t>BI Analyst</t>
  </si>
  <si>
    <t>Primary Users</t>
  </si>
  <si>
    <t>HR staff, HR managers, department heads, finance/management, executives.</t>
  </si>
  <si>
    <t>How to Use</t>
  </si>
  <si>
    <t>Update source tables, review QA checks, refresh formulas/charts, and use dashboards for decisions.</t>
  </si>
  <si>
    <t>RACI Activity</t>
  </si>
  <si>
    <t>Department Head</t>
  </si>
  <si>
    <t>Finance</t>
  </si>
  <si>
    <t>Executive</t>
  </si>
  <si>
    <t>Sheet</t>
  </si>
  <si>
    <t>Type</t>
  </si>
  <si>
    <t>Update Frequency</t>
  </si>
  <si>
    <t>Maintain employee data</t>
  </si>
  <si>
    <t>R</t>
  </si>
  <si>
    <t>A</t>
  </si>
  <si>
    <t>C</t>
  </si>
  <si>
    <t>I</t>
  </si>
  <si>
    <t>00_ReadMe</t>
  </si>
  <si>
    <t>Documentation/Output</t>
  </si>
  <si>
    <t>See sheet title and data dictionary for details.</t>
  </si>
  <si>
    <t>As needed</t>
  </si>
  <si>
    <t>Approve manpower request</t>
  </si>
  <si>
    <t>01_Data_Dictionary</t>
  </si>
  <si>
    <t>Track candidates</t>
  </si>
  <si>
    <t>02_Lookup_Lists</t>
  </si>
  <si>
    <t>Validate hiring costs</t>
  </si>
  <si>
    <t>A/R</t>
  </si>
  <si>
    <t>03_Employee_Master</t>
  </si>
  <si>
    <t>Source</t>
  </si>
  <si>
    <t>Review dashboards</t>
  </si>
  <si>
    <t>04_Department_Position_Master</t>
  </si>
  <si>
    <t>Act on attrition risk</t>
  </si>
  <si>
    <t>05_Requisitions_MRF</t>
  </si>
  <si>
    <t>06_Recruitment_Pipeline</t>
  </si>
  <si>
    <t>07_Hiring_Costs</t>
  </si>
  <si>
    <t>08_Onboarding_Tracker</t>
  </si>
  <si>
    <t>09_Attrition_Tracker</t>
  </si>
  <si>
    <t>10_Productivity_Inputs</t>
  </si>
  <si>
    <t>11_Headcount_Snapshot</t>
  </si>
  <si>
    <t>12_Calculation_Layer</t>
  </si>
  <si>
    <t>13_Analysis_Summary</t>
  </si>
  <si>
    <t>14_Dashboard_HR_Ops</t>
  </si>
  <si>
    <t>Dashboard</t>
  </si>
  <si>
    <t>Auto-updates from formulas</t>
  </si>
  <si>
    <t>15_Dashboard_Managerial</t>
  </si>
  <si>
    <t>16_Dashboard_Executive</t>
  </si>
  <si>
    <t>17_Change_Log</t>
  </si>
  <si>
    <t>18_QA_Checks</t>
  </si>
  <si>
    <t>19_SQL_Schema</t>
  </si>
  <si>
    <t>20_PowerBI_Model_Guide</t>
  </si>
  <si>
    <t>21_Portfolio_Case_Study</t>
  </si>
  <si>
    <t>Data Dictionary</t>
  </si>
  <si>
    <t>Field definitions, data types, required flags, examples, allowed values, and source notes.</t>
  </si>
  <si>
    <t>Sheet/Table</t>
  </si>
  <si>
    <t>Table Name</t>
  </si>
  <si>
    <t>Field Name</t>
  </si>
  <si>
    <t>Description</t>
  </si>
  <si>
    <t>Data Type</t>
  </si>
  <si>
    <t>Required?</t>
  </si>
  <si>
    <t>Example Value</t>
  </si>
  <si>
    <t>Allowed Values / Notes</t>
  </si>
  <si>
    <t>tblEmployeeMaster</t>
  </si>
  <si>
    <t>EMPLOYEE_ID</t>
  </si>
  <si>
    <t>Stable unique identifier for employee.</t>
  </si>
  <si>
    <t>Text</t>
  </si>
  <si>
    <t>Yes</t>
  </si>
  <si>
    <t>EMP-0001</t>
  </si>
  <si>
    <t>Free text / calculated / source record</t>
  </si>
  <si>
    <t>EMPLOYEE_NAME</t>
  </si>
  <si>
    <t>Employee Name field used by the HR workforce analytics tracker.</t>
  </si>
  <si>
    <t>No</t>
  </si>
  <si>
    <t>Ethan Santos</t>
  </si>
  <si>
    <t>DEPARTMENT</t>
  </si>
  <si>
    <t>Workforce classification field used for grouping and reporting.</t>
  </si>
  <si>
    <t>Compliance</t>
  </si>
  <si>
    <t>Departments lookup</t>
  </si>
  <si>
    <t>TEAM_UNIT</t>
  </si>
  <si>
    <t>Team Unit field used by the HR workforce analytics tracker.</t>
  </si>
  <si>
    <t>Team C</t>
  </si>
  <si>
    <t>POSITION_ID</t>
  </si>
  <si>
    <t>Stable unique identifier for position.</t>
  </si>
  <si>
    <t>POS-026</t>
  </si>
  <si>
    <t>POSITION_TITLE</t>
  </si>
  <si>
    <t>Compliance Officer</t>
  </si>
  <si>
    <t>JOB_FAMILY</t>
  </si>
  <si>
    <t>Job Families lookup</t>
  </si>
  <si>
    <t>JOB_LEVEL</t>
  </si>
  <si>
    <t>Job Level field used by the HR workforce analytics tracker.</t>
  </si>
  <si>
    <t>Specialist</t>
  </si>
  <si>
    <t>EMPLOYMENT_TYPE</t>
  </si>
  <si>
    <t>Employment Type field used by the HR workforce analytics tracker.</t>
  </si>
  <si>
    <t>Regular</t>
  </si>
  <si>
    <t>Employment Types lookup</t>
  </si>
  <si>
    <t>HIRE_DATE</t>
  </si>
  <si>
    <t>Date field used for aging, trend, and SLA calculations.</t>
  </si>
  <si>
    <t>Date</t>
  </si>
  <si>
    <t>2024-08-18</t>
  </si>
  <si>
    <t>REGULARIZATION_DATE</t>
  </si>
  <si>
    <t>2025-02-14</t>
  </si>
  <si>
    <t>EMPLOYEE_STATUS</t>
  </si>
  <si>
    <t>Controlled status field used for process tracking and exceptions.</t>
  </si>
  <si>
    <t>Active</t>
  </si>
  <si>
    <t>Employee Statuses lookup</t>
  </si>
  <si>
    <t>MANAGER_ID</t>
  </si>
  <si>
    <t>Stable unique identifier for manager.</t>
  </si>
  <si>
    <t>LOCATION</t>
  </si>
  <si>
    <t>Location field used by the HR workforce analytics tracker.</t>
  </si>
  <si>
    <t>Baguio Branch</t>
  </si>
  <si>
    <t>SALARY_BAND</t>
  </si>
  <si>
    <t>Salary Band field used by the HR workforce analytics tracker.</t>
  </si>
  <si>
    <t>Band B</t>
  </si>
  <si>
    <t>TENURE_MONTHS</t>
  </si>
  <si>
    <t>Tenure Months field used by the HR workforce analytics tracker.</t>
  </si>
  <si>
    <t>TENURE_BUCKET</t>
  </si>
  <si>
    <t>Tenure Bucket field used by the HR workforce analytics tracker.</t>
  </si>
  <si>
    <t>IS_ACTIVE</t>
  </si>
  <si>
    <t>Is Active field used by the HR workforce analytics tracker.</t>
  </si>
  <si>
    <t>REPLACEMENT_REQUIRED</t>
  </si>
  <si>
    <t>Replacement Required field used by the HR workforce analytics tracker.</t>
  </si>
  <si>
    <t>Yes/No</t>
  </si>
  <si>
    <t>tblDepartmentPosition</t>
  </si>
  <si>
    <t>POS-001</t>
  </si>
  <si>
    <t>Branch Operations</t>
  </si>
  <si>
    <t>Branch Associate</t>
  </si>
  <si>
    <t>Operations</t>
  </si>
  <si>
    <t>APPROVED_HEADCOUNT</t>
  </si>
  <si>
    <t>Numeric count used in workforce capacity calculations.</t>
  </si>
  <si>
    <t>Number</t>
  </si>
  <si>
    <t>CRITICAL_ROLE_FLAG</t>
  </si>
  <si>
    <t>Critical Role Flag field used by the HR workforce analytics tracker.</t>
  </si>
  <si>
    <t>SLA_TARGET_DAYS_TO_FILL</t>
  </si>
  <si>
    <t>Sla Target Days To Fill field used by the HR workforce analytics tracker.</t>
  </si>
  <si>
    <t>HIRING_PRIORITY</t>
  </si>
  <si>
    <t>Hiring Priority field used by the HR workforce analytics tracker.</t>
  </si>
  <si>
    <t>Critical</t>
  </si>
  <si>
    <t>BUSINESS_OWNER</t>
  </si>
  <si>
    <t>Business Owner field used by the HR workforce analytics tracker.</t>
  </si>
  <si>
    <t>Branch Operations Head</t>
  </si>
  <si>
    <t>tblRequisitions</t>
  </si>
  <si>
    <t>REQ_ID</t>
  </si>
  <si>
    <t>Stable unique identifier for req.</t>
  </si>
  <si>
    <t>REQ-0001</t>
  </si>
  <si>
    <t>REQUEST_DATE</t>
  </si>
  <si>
    <t>2026-03-30</t>
  </si>
  <si>
    <t>APPROVAL_DATE</t>
  </si>
  <si>
    <t>2026-04-06</t>
  </si>
  <si>
    <t>Loan Processing</t>
  </si>
  <si>
    <t>POS-008</t>
  </si>
  <si>
    <t>Processing Specialist</t>
  </si>
  <si>
    <t>REQUEST_TYPE</t>
  </si>
  <si>
    <t>Request Type field used by the HR workforce analytics tracker.</t>
  </si>
  <si>
    <t>Replacement</t>
  </si>
  <si>
    <t>PRIORITY</t>
  </si>
  <si>
    <t>Priority field used by the HR workforce analytics tracker.</t>
  </si>
  <si>
    <t>Hiring Priorities lookup</t>
  </si>
  <si>
    <t>TARGET_START_DATE</t>
  </si>
  <si>
    <t>2026-05-12</t>
  </si>
  <si>
    <t>REQ_STATUS</t>
  </si>
  <si>
    <t>Filled</t>
  </si>
  <si>
    <t>Requisition Statuses lookup</t>
  </si>
  <si>
    <t>ASSIGNED_RECRUITER</t>
  </si>
  <si>
    <t>Assigned Recruiter field used by the HR workforce analytics tracker.</t>
  </si>
  <si>
    <t>RCR-003 Leah Cruz</t>
  </si>
  <si>
    <t>SLA_TARGET_DAYS</t>
  </si>
  <si>
    <t>Sla Target Days field used by the HR workforce analytics tracker.</t>
  </si>
  <si>
    <t>DAYS_OPEN</t>
  </si>
  <si>
    <t>Days Open field used by the HR workforce analytics tracker.</t>
  </si>
  <si>
    <t>SLA_STATUS</t>
  </si>
  <si>
    <t>SLA Statuses lookup</t>
  </si>
  <si>
    <t>FILLED_COUNT</t>
  </si>
  <si>
    <t>VACANCY_REMAINING</t>
  </si>
  <si>
    <t>Vacancy Remaining field used by the HR workforce analytics tracker.</t>
  </si>
  <si>
    <t>tblRecruitmentPipeline</t>
  </si>
  <si>
    <t>APPLICATION_ID</t>
  </si>
  <si>
    <t>Stable unique identifier for application.</t>
  </si>
  <si>
    <t>APP-00001</t>
  </si>
  <si>
    <t>CANDIDATE_ID</t>
  </si>
  <si>
    <t>Stable unique identifier for candidate.</t>
  </si>
  <si>
    <t>CAND-00001</t>
  </si>
  <si>
    <t>CANDIDATE_NAME</t>
  </si>
  <si>
    <t>Camille Navarro</t>
  </si>
  <si>
    <t>SOURCE</t>
  </si>
  <si>
    <t>Source field used by the HR workforce analytics tracker.</t>
  </si>
  <si>
    <t>Agency</t>
  </si>
  <si>
    <t>Candidate Sources lookup</t>
  </si>
  <si>
    <t>APPLICATION_DATE</t>
  </si>
  <si>
    <t>2026-04-13</t>
  </si>
  <si>
    <t>CURRENT_STAGE</t>
  </si>
  <si>
    <t>Current Stage field used by the HR workforce analytics tracker.</t>
  </si>
  <si>
    <t>Hired</t>
  </si>
  <si>
    <t>Recruitment Stages lookup</t>
  </si>
  <si>
    <t>STAGE_DATE</t>
  </si>
  <si>
    <t>2026-05-19</t>
  </si>
  <si>
    <t>RECRUITER</t>
  </si>
  <si>
    <t>Recruiter field used by the HR workforce analytics tracker.</t>
  </si>
  <si>
    <t>INTERVIEWER</t>
  </si>
  <si>
    <t>Interviewer field used by the HR workforce analytics tracker.</t>
  </si>
  <si>
    <t>Panel Interview</t>
  </si>
  <si>
    <t>OFFER_DATE</t>
  </si>
  <si>
    <t>2026-05-16</t>
  </si>
  <si>
    <t>OFFER_STATUS</t>
  </si>
  <si>
    <t>Accepted</t>
  </si>
  <si>
    <t>Offer Statuses lookup</t>
  </si>
  <si>
    <t>2026-05-23</t>
  </si>
  <si>
    <t>REJECTION_REASON</t>
  </si>
  <si>
    <t>Rejection Reason field used by the HR workforce analytics tracker.</t>
  </si>
  <si>
    <t>WITHDRAWAL_REASON</t>
  </si>
  <si>
    <t>Withdrawal Reason field used by the HR workforce analytics tracker.</t>
  </si>
  <si>
    <t>DAYS_IN_PIPELINE</t>
  </si>
  <si>
    <t>Days In Pipeline field used by the HR workforce analytics tracker.</t>
  </si>
  <si>
    <t>PIPELINE_STATUS</t>
  </si>
  <si>
    <t>STAGE_AGING_FLAG</t>
  </si>
  <si>
    <t>Stage Aging Flag field used by the HR workforce analytics tracker.</t>
  </si>
  <si>
    <t>TIME_TO_HIRE_DAYS</t>
  </si>
  <si>
    <t>Time To Hire Days field used by the HR workforce analytics tracker.</t>
  </si>
  <si>
    <t>tblHiringCosts</t>
  </si>
  <si>
    <t>COST_ID</t>
  </si>
  <si>
    <t>Stable unique identifier for cost.</t>
  </si>
  <si>
    <t>COST-0001</t>
  </si>
  <si>
    <t>REQ-0079</t>
  </si>
  <si>
    <t>COST_DATE</t>
  </si>
  <si>
    <t>2025-08-23</t>
  </si>
  <si>
    <t>COST_TYPE</t>
  </si>
  <si>
    <t>Cost Type field used by the HR workforce analytics tracker.</t>
  </si>
  <si>
    <t>Agency Fee</t>
  </si>
  <si>
    <t>VENDOR</t>
  </si>
  <si>
    <t>Vendor field used by the HR workforce analytics tracker.</t>
  </si>
  <si>
    <t>Clinic Partner</t>
  </si>
  <si>
    <t>AMOUNT</t>
  </si>
  <si>
    <t>Amount field used by the HR workforce analytics tracker.</t>
  </si>
  <si>
    <t>Finance Analyst</t>
  </si>
  <si>
    <t>Employee Referral</t>
  </si>
  <si>
    <t>NOTES</t>
  </si>
  <si>
    <t>Notes field used by the HR workforce analytics tracker.</t>
  </si>
  <si>
    <t>Synthetic recruitment cost</t>
  </si>
  <si>
    <t>tblOnboarding</t>
  </si>
  <si>
    <t>ONBOARDING_ID</t>
  </si>
  <si>
    <t>Stable unique identifier for onboarding.</t>
  </si>
  <si>
    <t>ONB-0001</t>
  </si>
  <si>
    <t>EMP-0193</t>
  </si>
  <si>
    <t>2024-03-08</t>
  </si>
  <si>
    <t>Human Resources</t>
  </si>
  <si>
    <t>CONTRACT_SIGNED</t>
  </si>
  <si>
    <t>Contract Signed field used by the HR workforce analytics tracker.</t>
  </si>
  <si>
    <t>PRE_EMPLOYMENT_DOCS</t>
  </si>
  <si>
    <t>Pre Employment Docs field used by the HR workforce analytics tracker.</t>
  </si>
  <si>
    <t>IT_ACCOUNT_CREATED</t>
  </si>
  <si>
    <t>EQUIPMENT_ISSUED</t>
  </si>
  <si>
    <t>Equipment Issued field used by the HR workforce analytics tracker.</t>
  </si>
  <si>
    <t>ORIENTATION_COMPLETED</t>
  </si>
  <si>
    <t>Orientation Completed field used by the HR workforce analytics tracker.</t>
  </si>
  <si>
    <t>MANAGER_CHECK_IN_30D</t>
  </si>
  <si>
    <t>Manager Check In 30D field used by the HR workforce analytics tracker.</t>
  </si>
  <si>
    <t>MANAGER_CHECK_IN_60D</t>
  </si>
  <si>
    <t>Manager Check In 60D field used by the HR workforce analytics tracker.</t>
  </si>
  <si>
    <t>MANAGER_CHECK_IN_90D</t>
  </si>
  <si>
    <t>Manager Check In 90D field used by the HR workforce analytics tracker.</t>
  </si>
  <si>
    <t>ONBOARDING_STATUS</t>
  </si>
  <si>
    <t>Complete</t>
  </si>
  <si>
    <t>Not Started/In Progress/Complete/Delayed</t>
  </si>
  <si>
    <t>ONBOARDING_COMPLETION_RATE</t>
  </si>
  <si>
    <t>Calculated percentage used for KPI and dashboard reporting.</t>
  </si>
  <si>
    <t>COMPLETION_DATE</t>
  </si>
  <si>
    <t>2024-04-18</t>
  </si>
  <si>
    <t>DAYS_TO_COMPLETE</t>
  </si>
  <si>
    <t>Days To Complete field used by the HR workforce analytics tracker.</t>
  </si>
  <si>
    <t>RETAINED_90D</t>
  </si>
  <si>
    <t>Retained 90D field used by the HR workforce analytics tracker.</t>
  </si>
  <si>
    <t>tblAttrition</t>
  </si>
  <si>
    <t>ATTRITION_ID</t>
  </si>
  <si>
    <t>Stable unique identifier for attrition.</t>
  </si>
  <si>
    <t>ATR-0001</t>
  </si>
  <si>
    <t>EMP-0006</t>
  </si>
  <si>
    <t>Jose Torres</t>
  </si>
  <si>
    <t>2019-07-10</t>
  </si>
  <si>
    <t>SEPARATION_DATE</t>
  </si>
  <si>
    <t>2025-02-23</t>
  </si>
  <si>
    <t>TENURE_AT_EXIT_MONTHS</t>
  </si>
  <si>
    <t>Tenure At Exit Months field used by the HR workforce analytics tracker.</t>
  </si>
  <si>
    <t>SEPARATION_TYPE</t>
  </si>
  <si>
    <t>Separation Type field used by the HR workforce analytics tracker.</t>
  </si>
  <si>
    <t>Voluntary</t>
  </si>
  <si>
    <t>Attrition Types lookup</t>
  </si>
  <si>
    <t>ATTRITION_REASON_CATEGORY</t>
  </si>
  <si>
    <t>Attrition Reason Category field used by the HR workforce analytics tracker.</t>
  </si>
  <si>
    <t>Personal</t>
  </si>
  <si>
    <t>Attrition Reasons lookup</t>
  </si>
  <si>
    <t>ATTRITION_REASON_DETAIL</t>
  </si>
  <si>
    <t>Attrition Reason Detail field used by the HR workforce analytics tracker.</t>
  </si>
  <si>
    <t>End of contract</t>
  </si>
  <si>
    <t>REGRETTABLE_ATTRITION</t>
  </si>
  <si>
    <t>Regrettable Attrition field used by the HR workforce analytics tracker.</t>
  </si>
  <si>
    <t>EXIT_INTERVIEW_STATUS</t>
  </si>
  <si>
    <t>Pending</t>
  </si>
  <si>
    <t>FINAL_PAY_STATUS</t>
  </si>
  <si>
    <t>ATTRITION_MONTH</t>
  </si>
  <si>
    <t>Attrition Month field used by the HR workforce analytics tracker.</t>
  </si>
  <si>
    <t>tblProductivity</t>
  </si>
  <si>
    <t>PRODUCTIVITY_ID</t>
  </si>
  <si>
    <t>Stable unique identifier for productivity.</t>
  </si>
  <si>
    <t>PRD-0001</t>
  </si>
  <si>
    <t>MONTH</t>
  </si>
  <si>
    <t>Month field used by the HR workforce analytics tracker.</t>
  </si>
  <si>
    <t>2025-05-01</t>
  </si>
  <si>
    <t>ACTIVE_HEADCOUNT</t>
  </si>
  <si>
    <t>WORKLOAD_VOLUME</t>
  </si>
  <si>
    <t>Workload Volume field used by the HR workforce analytics tracker.</t>
  </si>
  <si>
    <t>OUTPUT_VOLUME</t>
  </si>
  <si>
    <t>Output Volume field used by the HR workforce analytics tracker.</t>
  </si>
  <si>
    <t>OVERTIME_HOURS</t>
  </si>
  <si>
    <t>Overtime Hours field used by the HR workforce analytics tracker.</t>
  </si>
  <si>
    <t>ABSENCES</t>
  </si>
  <si>
    <t>Absences field used by the HR workforce analytics tracker.</t>
  </si>
  <si>
    <t>PRODUCTIVITY_PER_EMPLOYEE</t>
  </si>
  <si>
    <t>Productivity Per Employee field used by the HR workforce analytics tracker.</t>
  </si>
  <si>
    <t>WORKLOAD_PER_EMPLOYEE</t>
  </si>
  <si>
    <t>Workload Per Employee field used by the HR workforce analytics tracker.</t>
  </si>
  <si>
    <t>WORKLOAD_PRESSURE</t>
  </si>
  <si>
    <t>Workload Pressure field used by the HR workforce analytics tracker.</t>
  </si>
  <si>
    <t>Normal/Moderate/High</t>
  </si>
  <si>
    <t>tblHeadcountSnapshot</t>
  </si>
  <si>
    <t>SNAPSHOT_ID</t>
  </si>
  <si>
    <t>Stable unique identifier for snapshot.</t>
  </si>
  <si>
    <t>HCS-0001</t>
  </si>
  <si>
    <t>VACANCY_COUNT</t>
  </si>
  <si>
    <t>VACANCY_RATE</t>
  </si>
  <si>
    <t>Lookup Lists</t>
  </si>
  <si>
    <t>Controlled values for dropdowns and validation rules.</t>
  </si>
  <si>
    <t>Departments</t>
  </si>
  <si>
    <t>Job Families</t>
  </si>
  <si>
    <t>Employment Types</t>
  </si>
  <si>
    <t>Employee Statuses</t>
  </si>
  <si>
    <t>Recruitment Stages</t>
  </si>
  <si>
    <t>Requisition Statuses</t>
  </si>
  <si>
    <t>Hiring Priorities</t>
  </si>
  <si>
    <t>Candidate Sources</t>
  </si>
  <si>
    <t>Offer Statuses</t>
  </si>
  <si>
    <t>Attrition Types</t>
  </si>
  <si>
    <t>Attrition Reasons</t>
  </si>
  <si>
    <t>Risk Categories</t>
  </si>
  <si>
    <t>SLA Statuses</t>
  </si>
  <si>
    <t>Collections</t>
  </si>
  <si>
    <t>Applied</t>
  </si>
  <si>
    <t>Open</t>
  </si>
  <si>
    <t>Low</t>
  </si>
  <si>
    <t>JobStreet</t>
  </si>
  <si>
    <t>Compensation</t>
  </si>
  <si>
    <t>Low Risk</t>
  </si>
  <si>
    <t>On Track</t>
  </si>
  <si>
    <t>Credit Evaluation</t>
  </si>
  <si>
    <t>Probationary</t>
  </si>
  <si>
    <t>Resigned</t>
  </si>
  <si>
    <t>Screened</t>
  </si>
  <si>
    <t>Medium</t>
  </si>
  <si>
    <t>LinkedIn</t>
  </si>
  <si>
    <t>Declined</t>
  </si>
  <si>
    <t>Involuntary</t>
  </si>
  <si>
    <t>Career Growth</t>
  </si>
  <si>
    <t>Moderate Risk</t>
  </si>
  <si>
    <t>At Risk</t>
  </si>
  <si>
    <t>Credit &amp; Risk</t>
  </si>
  <si>
    <t>Contractual</t>
  </si>
  <si>
    <t>Terminated</t>
  </si>
  <si>
    <t>Interview</t>
  </si>
  <si>
    <t>On Hold</t>
  </si>
  <si>
    <t>High</t>
  </si>
  <si>
    <t>Management</t>
  </si>
  <si>
    <t>High Risk</t>
  </si>
  <si>
    <t>Delayed</t>
  </si>
  <si>
    <t>Project-based</t>
  </si>
  <si>
    <t>On Leave</t>
  </si>
  <si>
    <t>Final Interview</t>
  </si>
  <si>
    <t>Cancelled</t>
  </si>
  <si>
    <t>Facebook</t>
  </si>
  <si>
    <t>Not Offered</t>
  </si>
  <si>
    <t>Workload</t>
  </si>
  <si>
    <t>Critical Risk</t>
  </si>
  <si>
    <t>Sales &amp; Marketing</t>
  </si>
  <si>
    <t>HR</t>
  </si>
  <si>
    <t>Offer</t>
  </si>
  <si>
    <t>Performance</t>
  </si>
  <si>
    <t>IT</t>
  </si>
  <si>
    <t>Company Website</t>
  </si>
  <si>
    <t>Rejected</t>
  </si>
  <si>
    <t>Walk-in</t>
  </si>
  <si>
    <t>Relocation</t>
  </si>
  <si>
    <t>Information Technology</t>
  </si>
  <si>
    <t>Sales</t>
  </si>
  <si>
    <t>Withdrawn</t>
  </si>
  <si>
    <t>Redundancy</t>
  </si>
  <si>
    <t>Service</t>
  </si>
  <si>
    <t>Customer Service</t>
  </si>
  <si>
    <t>Employee Master</t>
  </si>
  <si>
    <t>Core synthetic workforce database. Calculated columns update dynamically.</t>
  </si>
  <si>
    <t>EMP-0002</t>
  </si>
  <si>
    <t>Patrick Aquino</t>
  </si>
  <si>
    <t>Team A</t>
  </si>
  <si>
    <t>POS-003</t>
  </si>
  <si>
    <t>Branch Manager</t>
  </si>
  <si>
    <t>Manager</t>
  </si>
  <si>
    <t>Cebu Branch</t>
  </si>
  <si>
    <t>Band E</t>
  </si>
  <si>
    <t>EMP-0003</t>
  </si>
  <si>
    <t>Paolo Santos</t>
  </si>
  <si>
    <t>Rank and File</t>
  </si>
  <si>
    <t>EMP-0004</t>
  </si>
  <si>
    <t>Andrea Cruz</t>
  </si>
  <si>
    <t>Team B</t>
  </si>
  <si>
    <t>POS-012</t>
  </si>
  <si>
    <t>Collections Supervisor</t>
  </si>
  <si>
    <t>Supervisor</t>
  </si>
  <si>
    <t>Iloilo Branch</t>
  </si>
  <si>
    <t>EMP-0005</t>
  </si>
  <si>
    <t>Gabriel Gonzales</t>
  </si>
  <si>
    <t>POS-015</t>
  </si>
  <si>
    <t>Sales Manager</t>
  </si>
  <si>
    <t>Band C</t>
  </si>
  <si>
    <t>Head Office</t>
  </si>
  <si>
    <t>EMP-0007</t>
  </si>
  <si>
    <t>Andrea Torres</t>
  </si>
  <si>
    <t>Team D</t>
  </si>
  <si>
    <t>POS-002</t>
  </si>
  <si>
    <t>Branch Supervisor</t>
  </si>
  <si>
    <t>Band D</t>
  </si>
  <si>
    <t>EMP-0008</t>
  </si>
  <si>
    <t>Martin Gonzales</t>
  </si>
  <si>
    <t>POS-004</t>
  </si>
  <si>
    <t>Credit Analyst</t>
  </si>
  <si>
    <t>Davao Branch</t>
  </si>
  <si>
    <t>Band A</t>
  </si>
  <si>
    <t>EMP-0009</t>
  </si>
  <si>
    <t>Ethan Villanueva</t>
  </si>
  <si>
    <t>POS-010</t>
  </si>
  <si>
    <t>Collections Associate</t>
  </si>
  <si>
    <t>Manila Branch</t>
  </si>
  <si>
    <t>EMP-0010</t>
  </si>
  <si>
    <t>Paolo Gonzales</t>
  </si>
  <si>
    <t>EMP-0011</t>
  </si>
  <si>
    <t>Ivy Lopez</t>
  </si>
  <si>
    <t>POS-014</t>
  </si>
  <si>
    <t>Marketing Associate</t>
  </si>
  <si>
    <t>EMP-0012</t>
  </si>
  <si>
    <t>Paolo Reyes</t>
  </si>
  <si>
    <t>POS-027</t>
  </si>
  <si>
    <t>Compliance Manager</t>
  </si>
  <si>
    <t>Makati Branch</t>
  </si>
  <si>
    <t>EMP-0013</t>
  </si>
  <si>
    <t>Rhea Reyes</t>
  </si>
  <si>
    <t>POS-028</t>
  </si>
  <si>
    <t>Customer Support Associate</t>
  </si>
  <si>
    <t>EMP-0014</t>
  </si>
  <si>
    <t>Andrea Santos</t>
  </si>
  <si>
    <t>POS-023</t>
  </si>
  <si>
    <t>Systems Analyst</t>
  </si>
  <si>
    <t>EMP-0015</t>
  </si>
  <si>
    <t>Paolo Villanueva</t>
  </si>
  <si>
    <t>POS-017</t>
  </si>
  <si>
    <t>EMP-0016</t>
  </si>
  <si>
    <t>Patrick Lim</t>
  </si>
  <si>
    <t>EMP-0017</t>
  </si>
  <si>
    <t>Carlo Santos</t>
  </si>
  <si>
    <t>POS-020</t>
  </si>
  <si>
    <t>HR Specialist</t>
  </si>
  <si>
    <t>EMP-0018</t>
  </si>
  <si>
    <t>Rafael Lim</t>
  </si>
  <si>
    <t>POS-025</t>
  </si>
  <si>
    <t>Compliance Analyst</t>
  </si>
  <si>
    <t>EMP-0019</t>
  </si>
  <si>
    <t>Gabriel Lim</t>
  </si>
  <si>
    <t>EMP-0020</t>
  </si>
  <si>
    <t>Ivy Garcia</t>
  </si>
  <si>
    <t>POS-013</t>
  </si>
  <si>
    <t>Account Officer</t>
  </si>
  <si>
    <t>EMP-0021</t>
  </si>
  <si>
    <t>Angela Aquino</t>
  </si>
  <si>
    <t>POS-011</t>
  </si>
  <si>
    <t>Collections Officer</t>
  </si>
  <si>
    <t>EMP-0022</t>
  </si>
  <si>
    <t>Rhea Aquino</t>
  </si>
  <si>
    <t>EMP-0023</t>
  </si>
  <si>
    <t>Ivy Gonzales</t>
  </si>
  <si>
    <t>EMP-0024</t>
  </si>
  <si>
    <t>Bea Mendoza</t>
  </si>
  <si>
    <t>EMP-0025</t>
  </si>
  <si>
    <t>Lara Gonzales</t>
  </si>
  <si>
    <t>Quezon City Branch</t>
  </si>
  <si>
    <t>EMP-0026</t>
  </si>
  <si>
    <t>Janine Bautista</t>
  </si>
  <si>
    <t>EMP-0027</t>
  </si>
  <si>
    <t>Julius Cruz</t>
  </si>
  <si>
    <t>EMP-0028</t>
  </si>
  <si>
    <t>POS-019</t>
  </si>
  <si>
    <t>HR Assistant</t>
  </si>
  <si>
    <t>EMP-0029</t>
  </si>
  <si>
    <t>Paolo Lopez</t>
  </si>
  <si>
    <t>EMP-0030</t>
  </si>
  <si>
    <t>Diana Bautista</t>
  </si>
  <si>
    <t>EMP-0031</t>
  </si>
  <si>
    <t>EMP-0032</t>
  </si>
  <si>
    <t>Bea Gonzales</t>
  </si>
  <si>
    <t>EMP-0033</t>
  </si>
  <si>
    <t>Maria Santos</t>
  </si>
  <si>
    <t>EMP-0034</t>
  </si>
  <si>
    <t>Lara Villanueva</t>
  </si>
  <si>
    <t>EMP-0035</t>
  </si>
  <si>
    <t>Janine Cruz</t>
  </si>
  <si>
    <t>POS-016</t>
  </si>
  <si>
    <t>Accounting Associate</t>
  </si>
  <si>
    <t>EMP-0036</t>
  </si>
  <si>
    <t>Jose Ramos</t>
  </si>
  <si>
    <t>POS-024</t>
  </si>
  <si>
    <t>IT Manager</t>
  </si>
  <si>
    <t>EMP-0037</t>
  </si>
  <si>
    <t>Mika Mendoza</t>
  </si>
  <si>
    <t>POS-006</t>
  </si>
  <si>
    <t>Credit Supervisor</t>
  </si>
  <si>
    <t>EMP-0038</t>
  </si>
  <si>
    <t>EMP-0039</t>
  </si>
  <si>
    <t>Sofia Lim</t>
  </si>
  <si>
    <t>POS-018</t>
  </si>
  <si>
    <t>Finance Manager</t>
  </si>
  <si>
    <t>EMP-0040</t>
  </si>
  <si>
    <t>Angela Torres</t>
  </si>
  <si>
    <t>POS-029</t>
  </si>
  <si>
    <t>Customer Care Officer</t>
  </si>
  <si>
    <t>EMP-0041</t>
  </si>
  <si>
    <t>Rafael Aquino</t>
  </si>
  <si>
    <t>POS-022</t>
  </si>
  <si>
    <t>IT Support Specialist</t>
  </si>
  <si>
    <t>EMP-0042</t>
  </si>
  <si>
    <t>EMP-0043</t>
  </si>
  <si>
    <t>EMP-0044</t>
  </si>
  <si>
    <t>Patrick Ramos</t>
  </si>
  <si>
    <t>EMP-0045</t>
  </si>
  <si>
    <t>Rafael Dela Cruz</t>
  </si>
  <si>
    <t>EMP-0046</t>
  </si>
  <si>
    <t>Luis Lopez</t>
  </si>
  <si>
    <t>EMP-0047</t>
  </si>
  <si>
    <t>Andrea Reyes</t>
  </si>
  <si>
    <t>EMP-0048</t>
  </si>
  <si>
    <t>Sofia Villanueva</t>
  </si>
  <si>
    <t>EMP-0049</t>
  </si>
  <si>
    <t>Andrea Dela Cruz</t>
  </si>
  <si>
    <t>EMP-0050</t>
  </si>
  <si>
    <t>Ivy Mendoza</t>
  </si>
  <si>
    <t>EMP-0051</t>
  </si>
  <si>
    <t>Carlo Dela Cruz</t>
  </si>
  <si>
    <t>POS-007</t>
  </si>
  <si>
    <t>Loan Processor</t>
  </si>
  <si>
    <t>EMP-0052</t>
  </si>
  <si>
    <t>Gabriel Reyes</t>
  </si>
  <si>
    <t>EMP-0053</t>
  </si>
  <si>
    <t>Camille Villanueva</t>
  </si>
  <si>
    <t>EMP-0054</t>
  </si>
  <si>
    <t>Angela Gonzales</t>
  </si>
  <si>
    <t>EMP-0055</t>
  </si>
  <si>
    <t>Camille Santos</t>
  </si>
  <si>
    <t>POS-005</t>
  </si>
  <si>
    <t>Senior Credit Analyst</t>
  </si>
  <si>
    <t>EMP-0056</t>
  </si>
  <si>
    <t>Ethan Lim</t>
  </si>
  <si>
    <t>EMP-0057</t>
  </si>
  <si>
    <t>EMP-0058</t>
  </si>
  <si>
    <t>Julius Torres</t>
  </si>
  <si>
    <t>EMP-0059</t>
  </si>
  <si>
    <t>EMP-0060</t>
  </si>
  <si>
    <t>Nico Castillo</t>
  </si>
  <si>
    <t>EMP-0061</t>
  </si>
  <si>
    <t>Maria Bautista</t>
  </si>
  <si>
    <t>EMP-0062</t>
  </si>
  <si>
    <t>Angela Castillo</t>
  </si>
  <si>
    <t>EMP-0063</t>
  </si>
  <si>
    <t>Nico Mendoza</t>
  </si>
  <si>
    <t>EMP-0064</t>
  </si>
  <si>
    <t>Luis Navarro</t>
  </si>
  <si>
    <t>EMP-0065</t>
  </si>
  <si>
    <t>Nico Lopez</t>
  </si>
  <si>
    <t>POS-030</t>
  </si>
  <si>
    <t>Service Supervisor</t>
  </si>
  <si>
    <t>EMP-0066</t>
  </si>
  <si>
    <t>Andrea Villanueva</t>
  </si>
  <si>
    <t>EMP-0067</t>
  </si>
  <si>
    <t>EMP-0068</t>
  </si>
  <si>
    <t>Patrick Reyes</t>
  </si>
  <si>
    <t>EMP-0069</t>
  </si>
  <si>
    <t>Martin Lim</t>
  </si>
  <si>
    <t>EMP-0070</t>
  </si>
  <si>
    <t>Miguel Dela Cruz</t>
  </si>
  <si>
    <t>EMP-0071</t>
  </si>
  <si>
    <t>Patrick Bautista</t>
  </si>
  <si>
    <t>EMP-0072</t>
  </si>
  <si>
    <t>Ethan Garcia</t>
  </si>
  <si>
    <t>EMP-0073</t>
  </si>
  <si>
    <t>Gabriel Bautista</t>
  </si>
  <si>
    <t>EMP-0074</t>
  </si>
  <si>
    <t>Julius Garcia</t>
  </si>
  <si>
    <t>EMP-0075</t>
  </si>
  <si>
    <t>Jose Lopez</t>
  </si>
  <si>
    <t>POS-021</t>
  </si>
  <si>
    <t>EMP-0076</t>
  </si>
  <si>
    <t>Jose Navarro</t>
  </si>
  <si>
    <t>EMP-0077</t>
  </si>
  <si>
    <t>Carlo Bautista</t>
  </si>
  <si>
    <t>EMP-0078</t>
  </si>
  <si>
    <t>Diana Lim</t>
  </si>
  <si>
    <t>EMP-0079</t>
  </si>
  <si>
    <t>Diana Reyes</t>
  </si>
  <si>
    <t>EMP-0080</t>
  </si>
  <si>
    <t>Patrick Mendoza</t>
  </si>
  <si>
    <t>EMP-0081</t>
  </si>
  <si>
    <t>Angela Lim</t>
  </si>
  <si>
    <t>EMP-0082</t>
  </si>
  <si>
    <t>EMP-0083</t>
  </si>
  <si>
    <t>Diana Navarro</t>
  </si>
  <si>
    <t>EMP-0084</t>
  </si>
  <si>
    <t>Ethan Reyes</t>
  </si>
  <si>
    <t>EMP-0085</t>
  </si>
  <si>
    <t>Rafael Garcia</t>
  </si>
  <si>
    <t>EMP-0086</t>
  </si>
  <si>
    <t>Miguel Santos</t>
  </si>
  <si>
    <t>EMP-0087</t>
  </si>
  <si>
    <t>Martin Castillo</t>
  </si>
  <si>
    <t>POS-009</t>
  </si>
  <si>
    <t>Processing Supervisor</t>
  </si>
  <si>
    <t>EMP-0088</t>
  </si>
  <si>
    <t>Paolo Navarro</t>
  </si>
  <si>
    <t>EMP-0089</t>
  </si>
  <si>
    <t>Miguel Lopez</t>
  </si>
  <si>
    <t>EMP-0090</t>
  </si>
  <si>
    <t>Luis Reyes</t>
  </si>
  <si>
    <t>EMP-0091</t>
  </si>
  <si>
    <t>Jose Santos</t>
  </si>
  <si>
    <t>EMP-0092</t>
  </si>
  <si>
    <t>Mika Villanueva</t>
  </si>
  <si>
    <t>EMP-0093</t>
  </si>
  <si>
    <t>Angela Dela Cruz</t>
  </si>
  <si>
    <t>EMP-0094</t>
  </si>
  <si>
    <t>Camille Cruz</t>
  </si>
  <si>
    <t>EMP-0095</t>
  </si>
  <si>
    <t>EMP-0096</t>
  </si>
  <si>
    <t>Rhea Villanueva</t>
  </si>
  <si>
    <t>EMP-0097</t>
  </si>
  <si>
    <t>Sofia Mendoza</t>
  </si>
  <si>
    <t>EMP-0098</t>
  </si>
  <si>
    <t>EMP-0099</t>
  </si>
  <si>
    <t>Carlo Villanueva</t>
  </si>
  <si>
    <t>EMP-0100</t>
  </si>
  <si>
    <t>Luis Castillo</t>
  </si>
  <si>
    <t>EMP-0101</t>
  </si>
  <si>
    <t>EMP-0102</t>
  </si>
  <si>
    <t>Martin Cruz</t>
  </si>
  <si>
    <t>EMP-0103</t>
  </si>
  <si>
    <t>Maria Cruz</t>
  </si>
  <si>
    <t>EMP-0104</t>
  </si>
  <si>
    <t>Paolo Dela Cruz</t>
  </si>
  <si>
    <t>EMP-0105</t>
  </si>
  <si>
    <t>EMP-0106</t>
  </si>
  <si>
    <t>EMP-0107</t>
  </si>
  <si>
    <t>Miguel Cruz</t>
  </si>
  <si>
    <t>EMP-0108</t>
  </si>
  <si>
    <t>Nico Santos</t>
  </si>
  <si>
    <t>EMP-0109</t>
  </si>
  <si>
    <t>Mika Cruz</t>
  </si>
  <si>
    <t>EMP-0110</t>
  </si>
  <si>
    <t>Nico Gonzales</t>
  </si>
  <si>
    <t>EMP-0111</t>
  </si>
  <si>
    <t>Gabriel Navarro</t>
  </si>
  <si>
    <t>EMP-0112</t>
  </si>
  <si>
    <t>Bea Navarro</t>
  </si>
  <si>
    <t>EMP-0113</t>
  </si>
  <si>
    <t>Rafael Bautista</t>
  </si>
  <si>
    <t>EMP-0114</t>
  </si>
  <si>
    <t>Carlo Ramos</t>
  </si>
  <si>
    <t>EMP-0115</t>
  </si>
  <si>
    <t>EMP-0116</t>
  </si>
  <si>
    <t>Julius Navarro</t>
  </si>
  <si>
    <t>EMP-0117</t>
  </si>
  <si>
    <t>Andrea Bautista</t>
  </si>
  <si>
    <t>EMP-0118</t>
  </si>
  <si>
    <t>Miguel Aquino</t>
  </si>
  <si>
    <t>EMP-0119</t>
  </si>
  <si>
    <t>Gabriel Villanueva</t>
  </si>
  <si>
    <t>EMP-0120</t>
  </si>
  <si>
    <t>Rafael Villanueva</t>
  </si>
  <si>
    <t>EMP-0121</t>
  </si>
  <si>
    <t>Camille Castillo</t>
  </si>
  <si>
    <t>EMP-0122</t>
  </si>
  <si>
    <t>Sofia Dela Cruz</t>
  </si>
  <si>
    <t>EMP-0123</t>
  </si>
  <si>
    <t>Camille Torres</t>
  </si>
  <si>
    <t>EMP-0124</t>
  </si>
  <si>
    <t>Andrea Mendoza</t>
  </si>
  <si>
    <t>EMP-0125</t>
  </si>
  <si>
    <t>Sofia Navarro</t>
  </si>
  <si>
    <t>EMP-0126</t>
  </si>
  <si>
    <t>Paolo Bautista</t>
  </si>
  <si>
    <t>EMP-0127</t>
  </si>
  <si>
    <t>EMP-0128</t>
  </si>
  <si>
    <t>EMP-0129</t>
  </si>
  <si>
    <t>EMP-0130</t>
  </si>
  <si>
    <t>Angela Navarro</t>
  </si>
  <si>
    <t>EMP-0131</t>
  </si>
  <si>
    <t>Maria Garcia</t>
  </si>
  <si>
    <t>EMP-0132</t>
  </si>
  <si>
    <t>Julius Villanueva</t>
  </si>
  <si>
    <t>EMP-0133</t>
  </si>
  <si>
    <t>EMP-0134</t>
  </si>
  <si>
    <t>Bea Reyes</t>
  </si>
  <si>
    <t>EMP-0135</t>
  </si>
  <si>
    <t>EMP-0136</t>
  </si>
  <si>
    <t>EMP-0137</t>
  </si>
  <si>
    <t>Ethan Lopez</t>
  </si>
  <si>
    <t>EMP-0138</t>
  </si>
  <si>
    <t>Julius Aquino</t>
  </si>
  <si>
    <t>EMP-0139</t>
  </si>
  <si>
    <t>Nico Reyes</t>
  </si>
  <si>
    <t>EMP-0140</t>
  </si>
  <si>
    <t>Gabriel Lopez</t>
  </si>
  <si>
    <t>EMP-0141</t>
  </si>
  <si>
    <t>Sofia Bautista</t>
  </si>
  <si>
    <t>EMP-0142</t>
  </si>
  <si>
    <t>Lara Lopez</t>
  </si>
  <si>
    <t>EMP-0143</t>
  </si>
  <si>
    <t>Carlo Mendoza</t>
  </si>
  <si>
    <t>EMP-0144</t>
  </si>
  <si>
    <t>Gabriel Torres</t>
  </si>
  <si>
    <t>EMP-0145</t>
  </si>
  <si>
    <t>EMP-0146</t>
  </si>
  <si>
    <t>Janine Torres</t>
  </si>
  <si>
    <t>EMP-0147</t>
  </si>
  <si>
    <t>EMP-0148</t>
  </si>
  <si>
    <t>Jose Bautista</t>
  </si>
  <si>
    <t>EMP-0149</t>
  </si>
  <si>
    <t>Angela Cruz</t>
  </si>
  <si>
    <t>EMP-0150</t>
  </si>
  <si>
    <t>Sofia Aquino</t>
  </si>
  <si>
    <t>EMP-0151</t>
  </si>
  <si>
    <t>Martin Mendoza</t>
  </si>
  <si>
    <t>EMP-0152</t>
  </si>
  <si>
    <t>EMP-0153</t>
  </si>
  <si>
    <t>Camille Ramos</t>
  </si>
  <si>
    <t>EMP-0154</t>
  </si>
  <si>
    <t>Sofia Reyes</t>
  </si>
  <si>
    <t>EMP-0155</t>
  </si>
  <si>
    <t>EMP-0156</t>
  </si>
  <si>
    <t>Paolo Lim</t>
  </si>
  <si>
    <t>EMP-0157</t>
  </si>
  <si>
    <t>Janine Navarro</t>
  </si>
  <si>
    <t>EMP-0158</t>
  </si>
  <si>
    <t>Ethan Castillo</t>
  </si>
  <si>
    <t>EMP-0159</t>
  </si>
  <si>
    <t>Andrea Garcia</t>
  </si>
  <si>
    <t>EMP-0160</t>
  </si>
  <si>
    <t>Nico Bautista</t>
  </si>
  <si>
    <t>EMP-0161</t>
  </si>
  <si>
    <t>Julius Reyes</t>
  </si>
  <si>
    <t>EMP-0162</t>
  </si>
  <si>
    <t>EMP-0163</t>
  </si>
  <si>
    <t>Diana Ramos</t>
  </si>
  <si>
    <t>EMP-0164</t>
  </si>
  <si>
    <t>Rhea Ramos</t>
  </si>
  <si>
    <t>EMP-0165</t>
  </si>
  <si>
    <t>Lara Castillo</t>
  </si>
  <si>
    <t>EMP-0166</t>
  </si>
  <si>
    <t>EMP-0167</t>
  </si>
  <si>
    <t>Nico Lim</t>
  </si>
  <si>
    <t>EMP-0168</t>
  </si>
  <si>
    <t>EMP-0169</t>
  </si>
  <si>
    <t>EMP-0170</t>
  </si>
  <si>
    <t>EMP-0171</t>
  </si>
  <si>
    <t>Ethan Gonzales</t>
  </si>
  <si>
    <t>EMP-0172</t>
  </si>
  <si>
    <t>Maria Torres</t>
  </si>
  <si>
    <t>EMP-0173</t>
  </si>
  <si>
    <t>Nico Torres</t>
  </si>
  <si>
    <t>EMP-0174</t>
  </si>
  <si>
    <t>Mika Dela Cruz</t>
  </si>
  <si>
    <t>EMP-0175</t>
  </si>
  <si>
    <t>EMP-0176</t>
  </si>
  <si>
    <t>Ivy Castillo</t>
  </si>
  <si>
    <t>EMP-0177</t>
  </si>
  <si>
    <t>Miguel Torres</t>
  </si>
  <si>
    <t>EMP-0178</t>
  </si>
  <si>
    <t>EMP-0179</t>
  </si>
  <si>
    <t>Maria Castillo</t>
  </si>
  <si>
    <t>EMP-0180</t>
  </si>
  <si>
    <t>Jose Lim</t>
  </si>
  <si>
    <t>EMP-0181</t>
  </si>
  <si>
    <t>EMP-0182</t>
  </si>
  <si>
    <t>Luis Aquino</t>
  </si>
  <si>
    <t>EMP-0183</t>
  </si>
  <si>
    <t>Janine Lopez</t>
  </si>
  <si>
    <t>EMP-0184</t>
  </si>
  <si>
    <t>EMP-0185</t>
  </si>
  <si>
    <t>EMP-0186</t>
  </si>
  <si>
    <t>Rhea Dela Cruz</t>
  </si>
  <si>
    <t>EMP-0187</t>
  </si>
  <si>
    <t>Janine Mendoza</t>
  </si>
  <si>
    <t>EMP-0188</t>
  </si>
  <si>
    <t>EMP-0189</t>
  </si>
  <si>
    <t>Rhea Castillo</t>
  </si>
  <si>
    <t>EMP-0190</t>
  </si>
  <si>
    <t>EMP-0191</t>
  </si>
  <si>
    <t>EMP-0192</t>
  </si>
  <si>
    <t>Jose Dela Cruz</t>
  </si>
  <si>
    <t>EMP-0194</t>
  </si>
  <si>
    <t>Diana Cruz</t>
  </si>
  <si>
    <t>EMP-0195</t>
  </si>
  <si>
    <t>Gabriel Castillo</t>
  </si>
  <si>
    <t>EMP-0196</t>
  </si>
  <si>
    <t>EMP-0197</t>
  </si>
  <si>
    <t>Julius Dela Cruz</t>
  </si>
  <si>
    <t>EMP-0198</t>
  </si>
  <si>
    <t>Bea Lopez</t>
  </si>
  <si>
    <t>EMP-0199</t>
  </si>
  <si>
    <t>EMP-0200</t>
  </si>
  <si>
    <t>Rafael Reyes</t>
  </si>
  <si>
    <t>EMP-0201</t>
  </si>
  <si>
    <t>Rafael Cruz</t>
  </si>
  <si>
    <t>EMP-0202</t>
  </si>
  <si>
    <t>Maria Ramos</t>
  </si>
  <si>
    <t>EMP-0203</t>
  </si>
  <si>
    <t>Diana Garcia</t>
  </si>
  <si>
    <t>EMP-0204</t>
  </si>
  <si>
    <t>EMP-0205</t>
  </si>
  <si>
    <t>Camille Aquino</t>
  </si>
  <si>
    <t>EMP-0206</t>
  </si>
  <si>
    <t>Bea Ramos</t>
  </si>
  <si>
    <t>EMP-0207</t>
  </si>
  <si>
    <t>Carlo Reyes</t>
  </si>
  <si>
    <t>EMP-0208</t>
  </si>
  <si>
    <t>Lara Lim</t>
  </si>
  <si>
    <t>EMP-0209</t>
  </si>
  <si>
    <t>EMP-0210</t>
  </si>
  <si>
    <t>EMP-0211</t>
  </si>
  <si>
    <t>EMP-0212</t>
  </si>
  <si>
    <t>EMP-0213</t>
  </si>
  <si>
    <t>EMP-0214</t>
  </si>
  <si>
    <t>Gabriel Ramos</t>
  </si>
  <si>
    <t>EMP-0215</t>
  </si>
  <si>
    <t>EMP-0216</t>
  </si>
  <si>
    <t>Lara Reyes</t>
  </si>
  <si>
    <t>EMP-0217</t>
  </si>
  <si>
    <t>Luis Cruz</t>
  </si>
  <si>
    <t>EMP-0218</t>
  </si>
  <si>
    <t>Miguel Garcia</t>
  </si>
  <si>
    <t>EMP-0219</t>
  </si>
  <si>
    <t>EMP-0220</t>
  </si>
  <si>
    <t>Rhea Cruz</t>
  </si>
  <si>
    <t>EMP-0221</t>
  </si>
  <si>
    <t>Rhea Garcia</t>
  </si>
  <si>
    <t>EMP-0222</t>
  </si>
  <si>
    <t>EMP-0223</t>
  </si>
  <si>
    <t>Camille Reyes</t>
  </si>
  <si>
    <t>EMP-0224</t>
  </si>
  <si>
    <t>Rhea Mendoza</t>
  </si>
  <si>
    <t>EMP-0225</t>
  </si>
  <si>
    <t>Nico Navarro</t>
  </si>
  <si>
    <t>EMP-0226</t>
  </si>
  <si>
    <t>EMP-0227</t>
  </si>
  <si>
    <t>EMP-0228</t>
  </si>
  <si>
    <t>Bea Bautista</t>
  </si>
  <si>
    <t>EMP-0229</t>
  </si>
  <si>
    <t>EMP-0230</t>
  </si>
  <si>
    <t>EMP-0231</t>
  </si>
  <si>
    <t>EMP-0232</t>
  </si>
  <si>
    <t>EMP-0233</t>
  </si>
  <si>
    <t>EMP-0234</t>
  </si>
  <si>
    <t>Diana Aquino</t>
  </si>
  <si>
    <t>EMP-0235</t>
  </si>
  <si>
    <t>Diana Castillo</t>
  </si>
  <si>
    <t>EMP-0236</t>
  </si>
  <si>
    <t>Camille Bautista</t>
  </si>
  <si>
    <t>EMP-0237</t>
  </si>
  <si>
    <t>Rhea Torres</t>
  </si>
  <si>
    <t>EMP-0238</t>
  </si>
  <si>
    <t>Paolo Torres</t>
  </si>
  <si>
    <t>EMP-0239</t>
  </si>
  <si>
    <t>Luis Dela Cruz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</si>
  <si>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</si>
  <si>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</si>
  <si>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</si>
  <si>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</si>
  <si>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</si>
  <si>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</si>
  <si>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</si>
  <si>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</si>
  <si>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Paolo Castillo</t>
  </si>
  <si>
    <t>EMP-0248</t>
  </si>
  <si>
    <t>EMP-0249</t>
  </si>
  <si>
    <t>Rhea Lopez</t>
  </si>
  <si>
    <t>EMP-0250</t>
  </si>
  <si>
    <t>Paolo Mendoza</t>
  </si>
  <si>
    <t>Department &amp; Position Master</t>
  </si>
  <si>
    <t>Approved headcount and role-level workforce planning reference.</t>
  </si>
  <si>
    <t>Credit Evaluation Head</t>
  </si>
  <si>
    <t>Loan Processing Head</t>
  </si>
  <si>
    <t>Collections Head</t>
  </si>
  <si>
    <t>Sales &amp; Marketing Head</t>
  </si>
  <si>
    <t>Finance Head</t>
  </si>
  <si>
    <t>Human Resources Head</t>
  </si>
  <si>
    <t>Information Technology Head</t>
  </si>
  <si>
    <t>Compliance Head</t>
  </si>
  <si>
    <t>Customer Service Head</t>
  </si>
  <si>
    <t>Requisitions / MRF</t>
  </si>
  <si>
    <t>Manpower request tracking with dynamic aging, SLA status, and filled count.</t>
  </si>
  <si>
    <t>REQ-0002</t>
  </si>
  <si>
    <t>New Headcount</t>
  </si>
  <si>
    <t>RCR-004 Carlo Lim</t>
  </si>
  <si>
    <t>REQ-0003</t>
  </si>
  <si>
    <t>RCR-002 Marco Santos</t>
  </si>
  <si>
    <t>REQ-0004</t>
  </si>
  <si>
    <t>RCR-001 Ana Reyes</t>
  </si>
  <si>
    <t>REQ-0005</t>
  </si>
  <si>
    <t>REQ-0006</t>
  </si>
  <si>
    <t>REQ-0007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</si>
  <si>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</si>
  <si>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</si>
  <si>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</si>
  <si>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</si>
  <si>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</si>
  <si>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</si>
  <si>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</si>
  <si>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</si>
  <si>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</si>
  <si>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</si>
  <si>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</si>
  <si>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</si>
  <si>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</si>
  <si>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</si>
  <si>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</si>
  <si>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</si>
  <si>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</si>
  <si>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</si>
  <si>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</si>
  <si>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</si>
  <si>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</si>
  <si>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</si>
  <si>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</si>
  <si>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</si>
  <si>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</si>
  <si>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</si>
  <si>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</si>
  <si>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</si>
  <si>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</si>
  <si>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</si>
  <si>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</si>
  <si>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</si>
  <si>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</si>
  <si>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REQ-0041</t>
  </si>
  <si>
    <t>REQ-0042</t>
  </si>
  <si>
    <t>REQ-0043</t>
  </si>
  <si>
    <t>REQ-0044</t>
  </si>
  <si>
    <t>REQ-0045</t>
  </si>
  <si>
    <t>REQ-0046</t>
  </si>
  <si>
    <t>REQ-0047</t>
  </si>
  <si>
    <t>REQ-0048</t>
  </si>
  <si>
    <t>REQ-0049</t>
  </si>
  <si>
    <t>REQ-0050</t>
  </si>
  <si>
    <t>REQ-0051</t>
  </si>
  <si>
    <t>REQ-0052</t>
  </si>
  <si>
    <t>REQ-0053</t>
  </si>
  <si>
    <t>REQ-0054</t>
  </si>
  <si>
    <t>REQ-0055</t>
  </si>
  <si>
    <t>REQ-0056</t>
  </si>
  <si>
    <t>REQ-0057</t>
  </si>
  <si>
    <t>REQ-0058</t>
  </si>
  <si>
    <t>REQ-0059</t>
  </si>
  <si>
    <t>REQ-0060</t>
  </si>
  <si>
    <t>REQ-0061</t>
  </si>
  <si>
    <t>REQ-0062</t>
  </si>
  <si>
    <t>REQ-0063</t>
  </si>
  <si>
    <t>REQ-0064</t>
  </si>
  <si>
    <t>REQ-0065</t>
  </si>
  <si>
    <t>REQ-0066</t>
  </si>
  <si>
    <t>REQ-0067</t>
  </si>
  <si>
    <t>REQ-0068</t>
  </si>
  <si>
    <t>REQ-0069</t>
  </si>
  <si>
    <t>REQ-0070</t>
  </si>
  <si>
    <t>REQ-0071</t>
  </si>
  <si>
    <t>REQ-0072</t>
  </si>
  <si>
    <t>REQ-0073</t>
  </si>
  <si>
    <t>REQ-0074</t>
  </si>
  <si>
    <t>REQ-0075</t>
  </si>
  <si>
    <t>REQ-0076</t>
  </si>
  <si>
    <t>REQ-0077</t>
  </si>
  <si>
    <t>REQ-0078</t>
  </si>
  <si>
    <t>REQ-0080</t>
  </si>
  <si>
    <t>Recruitment Pipeline</t>
  </si>
  <si>
    <t>Candidate-level tracking from application to hire, rejection, or withdrawal.</t>
  </si>
  <si>
    <t>REQ_DEPARTMENT</t>
  </si>
  <si>
    <t>REQ_EXISTS_FLAG</t>
  </si>
  <si>
    <t>APP-00002</t>
  </si>
  <si>
    <t>CAND-00002</t>
  </si>
  <si>
    <t>Janine Ramos</t>
  </si>
  <si>
    <t>APP-00003</t>
  </si>
  <si>
    <t>CAND-00003</t>
  </si>
  <si>
    <t>Not qualified</t>
  </si>
  <si>
    <t>APP-00004</t>
  </si>
  <si>
    <t>CAND-00004</t>
  </si>
  <si>
    <t>Hiring Manager</t>
  </si>
  <si>
    <t>APP-00005</t>
  </si>
  <si>
    <t>CAND-00005</t>
  </si>
  <si>
    <t>Angela Reyes</t>
  </si>
  <si>
    <t>APP-00006</t>
  </si>
  <si>
    <t>CAND-00006</t>
  </si>
  <si>
    <t>Ethan Cruz</t>
  </si>
  <si>
    <t>APP-00007</t>
  </si>
  <si>
    <t>CAND-00007</t>
  </si>
  <si>
    <t>Janine Castillo</t>
  </si>
  <si>
    <t>APP-00008</t>
  </si>
  <si>
    <t>CAND-00008</t>
  </si>
  <si>
    <t>APP-00009</t>
  </si>
  <si>
    <t>CAND-00009</t>
  </si>
  <si>
    <t>Andrea Navarro</t>
  </si>
  <si>
    <t>APP-00010</t>
  </si>
  <si>
    <t>CAND-00010</t>
  </si>
  <si>
    <t>Bea Santos</t>
  </si>
  <si>
    <t>APP-00011</t>
  </si>
  <si>
    <t>CAND-00011</t>
  </si>
  <si>
    <t>APP-00012</t>
  </si>
  <si>
    <t>CAND-00012</t>
  </si>
  <si>
    <t>APP-00013</t>
  </si>
  <si>
    <t>CAND-00013</t>
  </si>
  <si>
    <t>Luis Ramos</t>
  </si>
  <si>
    <t>APP-00014</t>
  </si>
  <si>
    <t>CAND-00014</t>
  </si>
  <si>
    <t>Camille Lim</t>
  </si>
  <si>
    <t>APP-00015</t>
  </si>
  <si>
    <t>CAND-00015</t>
  </si>
  <si>
    <t>APP-00016</t>
  </si>
  <si>
    <t>CAND-00016</t>
  </si>
  <si>
    <t>APP-00017</t>
  </si>
  <si>
    <t>CAND-00017</t>
  </si>
  <si>
    <t>Gabriel Cruz</t>
  </si>
  <si>
    <t>APP-00018</t>
  </si>
  <si>
    <t>CAND-00018</t>
  </si>
  <si>
    <t>APP-00019</t>
  </si>
  <si>
    <t>CAND-00019</t>
  </si>
  <si>
    <t>APP-00020</t>
  </si>
  <si>
    <t>CAND-00020</t>
  </si>
  <si>
    <t>APP-00021</t>
  </si>
  <si>
    <t>CAND-00021</t>
  </si>
  <si>
    <t>APP-00022</t>
  </si>
  <si>
    <t>CAND-00022</t>
  </si>
  <si>
    <t>Compensation mismatch</t>
  </si>
  <si>
    <t>APP-00023</t>
  </si>
  <si>
    <t>CAND-00023</t>
  </si>
  <si>
    <t>Better fit for future role</t>
  </si>
  <si>
    <t>APP-00024</t>
  </si>
  <si>
    <t>CAND-00024</t>
  </si>
  <si>
    <t>Julius Lim</t>
  </si>
  <si>
    <t>APP-00025</t>
  </si>
  <si>
    <t>CAND-00025</t>
  </si>
  <si>
    <t>Maria Villanueva</t>
  </si>
  <si>
    <t>Failed assessment</t>
  </si>
  <si>
    <t>APP-00026</t>
  </si>
  <si>
    <t>CAND-00026</t>
  </si>
  <si>
    <t>Nico Dela Cruz</t>
  </si>
  <si>
    <t>APP-00027</t>
  </si>
  <si>
    <t>CAND-00027</t>
  </si>
  <si>
    <t>Rhea Lim</t>
  </si>
  <si>
    <t>APP-00028</t>
  </si>
  <si>
    <t>CAND-00028</t>
  </si>
  <si>
    <t>APP-00029</t>
  </si>
  <si>
    <t>CAND-00029</t>
  </si>
  <si>
    <t>APP-00030</t>
  </si>
  <si>
    <t>CAND-00030</t>
  </si>
  <si>
    <t>Janine Aquino</t>
  </si>
  <si>
    <t>APP-00031</t>
  </si>
  <si>
    <t>CAND-00031</t>
  </si>
  <si>
    <t>APP-00032</t>
  </si>
  <si>
    <t>CAND-00032</t>
  </si>
  <si>
    <t>APP-00033</t>
  </si>
  <si>
    <t>CAND-00033</t>
  </si>
  <si>
    <t>APP-00034</t>
  </si>
  <si>
    <t>CAND-00034</t>
  </si>
  <si>
    <t>APP-00035</t>
  </si>
  <si>
    <t>CAND-00035</t>
  </si>
  <si>
    <t>APP-00036</t>
  </si>
  <si>
    <t>CAND-00036</t>
  </si>
  <si>
    <t>Janine Gonzales</t>
  </si>
  <si>
    <t>APP-00037</t>
  </si>
  <si>
    <t>CAND-00037</t>
  </si>
  <si>
    <t>APP-00038</t>
  </si>
  <si>
    <t>CAND-00038</t>
  </si>
  <si>
    <t>APP-00039</t>
  </si>
  <si>
    <t>CAND-00039</t>
  </si>
  <si>
    <t>APP-00040</t>
  </si>
  <si>
    <t>CAND-00040</t>
  </si>
  <si>
    <t>APP-00041</t>
  </si>
  <si>
    <t>CAND-00041</t>
  </si>
  <si>
    <t>APP-00042</t>
  </si>
  <si>
    <t>CAND-00042</t>
  </si>
  <si>
    <t>APP-00043</t>
  </si>
  <si>
    <t>CAND-00043</t>
  </si>
  <si>
    <t>APP-00044</t>
  </si>
  <si>
    <t>CAND-00044</t>
  </si>
  <si>
    <t>Andrea Lopez</t>
  </si>
  <si>
    <t>APP-00045</t>
  </si>
  <si>
    <t>CAND-00045</t>
  </si>
  <si>
    <t>Camille Gonzales</t>
  </si>
  <si>
    <t>APP-00046</t>
  </si>
  <si>
    <t>CAND-00046</t>
  </si>
  <si>
    <t>APP-00047</t>
  </si>
  <si>
    <t>CAND-00047</t>
  </si>
  <si>
    <t>APP-00048</t>
  </si>
  <si>
    <t>CAND-00048</t>
  </si>
  <si>
    <t>Lara Santos</t>
  </si>
  <si>
    <t>APP-00049</t>
  </si>
  <si>
    <t>CAND-00049</t>
  </si>
  <si>
    <t>APP-00050</t>
  </si>
  <si>
    <t>CAND-00050</t>
  </si>
  <si>
    <t>APP-00051</t>
  </si>
  <si>
    <t>CAND-00051</t>
  </si>
  <si>
    <t>APP-00052</t>
  </si>
  <si>
    <t>CAND-00052</t>
  </si>
  <si>
    <t>APP-00053</t>
  </si>
  <si>
    <t>CAND-00053</t>
  </si>
  <si>
    <t>Rhea Navarro</t>
  </si>
  <si>
    <t>APP-00054</t>
  </si>
  <si>
    <t>CAND-00054</t>
  </si>
  <si>
    <t>Nico Villanueva</t>
  </si>
  <si>
    <t>APP-00055</t>
  </si>
  <si>
    <t>CAND-00055</t>
  </si>
  <si>
    <t>APP-00056</t>
  </si>
  <si>
    <t>CAND-00056</t>
  </si>
  <si>
    <t>APP-00057</t>
  </si>
  <si>
    <t>CAND-00057</t>
  </si>
  <si>
    <t>Andrea Aquino</t>
  </si>
  <si>
    <t>APP-00058</t>
  </si>
  <si>
    <t>CAND-00058</t>
  </si>
  <si>
    <t>Gabriel Mendoza</t>
  </si>
  <si>
    <t>APP-00059</t>
  </si>
  <si>
    <t>CAND-00059</t>
  </si>
  <si>
    <t>Sofia Santos</t>
  </si>
  <si>
    <t>APP-00060</t>
  </si>
  <si>
    <t>CAND-00060</t>
  </si>
  <si>
    <t>APP-00061</t>
  </si>
  <si>
    <t>CAND-00061</t>
  </si>
  <si>
    <t>APP-00062</t>
  </si>
  <si>
    <t>CAND-00062</t>
  </si>
  <si>
    <t>APP-00063</t>
  </si>
  <si>
    <t>CAND-00063</t>
  </si>
  <si>
    <t>Patrick Navarro</t>
  </si>
  <si>
    <t>APP-00064</t>
  </si>
  <si>
    <t>CAND-00064</t>
  </si>
  <si>
    <t>Rhea Santos</t>
  </si>
  <si>
    <t>APP-00065</t>
  </si>
  <si>
    <t>CAND-00065</t>
  </si>
  <si>
    <t>APP-00066</t>
  </si>
  <si>
    <t>CAND-00066</t>
  </si>
  <si>
    <t>Diana Villanueva</t>
  </si>
  <si>
    <t>Schedule conflict</t>
  </si>
  <si>
    <t>APP-00067</t>
  </si>
  <si>
    <t>CAND-00067</t>
  </si>
  <si>
    <t>APP-00068</t>
  </si>
  <si>
    <t>CAND-00068</t>
  </si>
  <si>
    <t>Bea Torres</t>
  </si>
  <si>
    <t>APP-00069</t>
  </si>
  <si>
    <t>CAND-00069</t>
  </si>
  <si>
    <t>APP-00070</t>
  </si>
  <si>
    <t>CAND-00070</t>
  </si>
  <si>
    <t>Martin Bautista</t>
  </si>
  <si>
    <t>APP-00071</t>
  </si>
  <si>
    <t>CAND-00071</t>
  </si>
  <si>
    <t>Paolo Ramos</t>
  </si>
  <si>
    <t>APP-00072</t>
  </si>
  <si>
    <t>CAND-00072</t>
  </si>
  <si>
    <t>APP-00073</t>
  </si>
  <si>
    <t>CAND-00073</t>
  </si>
  <si>
    <t>Jose Garcia</t>
  </si>
  <si>
    <t>APP-00074</t>
  </si>
  <si>
    <t>CAND-00074</t>
  </si>
  <si>
    <t>APP-00075</t>
  </si>
  <si>
    <t>CAND-00075</t>
  </si>
  <si>
    <t>APP-00076</t>
  </si>
  <si>
    <t>CAND-00076</t>
  </si>
  <si>
    <t>APP-00077</t>
  </si>
  <si>
    <t>CAND-00077</t>
  </si>
  <si>
    <t>Jose Villanueva</t>
  </si>
  <si>
    <t>APP-00078</t>
  </si>
  <si>
    <t>CAND-00078</t>
  </si>
  <si>
    <t>Bea Garcia</t>
  </si>
  <si>
    <t>APP-00079</t>
  </si>
  <si>
    <t>CAND-00079</t>
  </si>
  <si>
    <t>Nico Aquino</t>
  </si>
  <si>
    <t>APP-00080</t>
  </si>
  <si>
    <t>CAND-00080</t>
  </si>
  <si>
    <t>Miguel Ramos</t>
  </si>
  <si>
    <t>APP-00081</t>
  </si>
  <si>
    <t>CAND-00081</t>
  </si>
  <si>
    <t>APP-00082</t>
  </si>
  <si>
    <t>CAND-00082</t>
  </si>
  <si>
    <t>APP-00083</t>
  </si>
  <si>
    <t>CAND-00083</t>
  </si>
  <si>
    <t>Maria Lopez</t>
  </si>
  <si>
    <t>APP-00084</t>
  </si>
  <si>
    <t>CAND-00084</t>
  </si>
  <si>
    <t>APP-00085</t>
  </si>
  <si>
    <t>CAND-00085</t>
  </si>
  <si>
    <t>Carlo Castillo</t>
  </si>
  <si>
    <t>APP-00086</t>
  </si>
  <si>
    <t>CAND-00086</t>
  </si>
  <si>
    <t>APP-00087</t>
  </si>
  <si>
    <t>CAND-00087</t>
  </si>
  <si>
    <t>Ethan Aquino</t>
  </si>
  <si>
    <t>APP-00088</t>
  </si>
  <si>
    <t>CAND-00088</t>
  </si>
  <si>
    <t>APP-00089</t>
  </si>
  <si>
    <t>CAND-00089</t>
  </si>
  <si>
    <t>APP-00090</t>
  </si>
  <si>
    <t>CAND-00090</t>
  </si>
  <si>
    <t>APP-00091</t>
  </si>
  <si>
    <t>CAND-00091</t>
  </si>
  <si>
    <t>APP-00092</t>
  </si>
  <si>
    <t>CAND-00092</t>
  </si>
  <si>
    <t>Angela Bautista</t>
  </si>
  <si>
    <t>APP-00093</t>
  </si>
  <si>
    <t>CAND-00093</t>
  </si>
  <si>
    <t>APP-00094</t>
  </si>
  <si>
    <t>CAND-00094</t>
  </si>
  <si>
    <t>Martin Aquino</t>
  </si>
  <si>
    <t>APP-00095</t>
  </si>
  <si>
    <t>CAND-00095</t>
  </si>
  <si>
    <t>APP-00096</t>
  </si>
  <si>
    <t>CAND-00096</t>
  </si>
  <si>
    <t>APP-00097</t>
  </si>
  <si>
    <t>CAND-00097</t>
  </si>
  <si>
    <t>APP-00098</t>
  </si>
  <si>
    <t>CAND-00098</t>
  </si>
  <si>
    <t>Mika Reyes</t>
  </si>
  <si>
    <t>APP-00099</t>
  </si>
  <si>
    <t>CAND-00099</t>
  </si>
  <si>
    <t>APP-00100</t>
  </si>
  <si>
    <t>CAND-00100</t>
  </si>
  <si>
    <t>Sofia Gonzales</t>
  </si>
  <si>
    <t>APP-00101</t>
  </si>
  <si>
    <t>CAND-00101</t>
  </si>
  <si>
    <t>APP-00102</t>
  </si>
  <si>
    <t>CAND-00102</t>
  </si>
  <si>
    <t>APP-00103</t>
  </si>
  <si>
    <t>CAND-00103</t>
  </si>
  <si>
    <t>Julius Santos</t>
  </si>
  <si>
    <t>APP-00104</t>
  </si>
  <si>
    <t>CAND-00104</t>
  </si>
  <si>
    <t>Luis Torres</t>
  </si>
  <si>
    <t>APP-00105</t>
  </si>
  <si>
    <t>CAND-00105</t>
  </si>
  <si>
    <t>APP-00106</t>
  </si>
  <si>
    <t>CAND-00106</t>
  </si>
  <si>
    <t>APP-00107</t>
  </si>
  <si>
    <t>CAND-00107</t>
  </si>
  <si>
    <t>APP-00108</t>
  </si>
  <si>
    <t>CAND-00108</t>
  </si>
  <si>
    <t>APP-00109</t>
  </si>
  <si>
    <t>CAND-00109</t>
  </si>
  <si>
    <t>Mika Lim</t>
  </si>
  <si>
    <t>APP-00110</t>
  </si>
  <si>
    <t>CAND-00110</t>
  </si>
  <si>
    <t>Ivy Villanueva</t>
  </si>
  <si>
    <t>APP-00111</t>
  </si>
  <si>
    <t>CAND-00111</t>
  </si>
  <si>
    <t>Julius Ramos</t>
  </si>
  <si>
    <t>APP-00112</t>
  </si>
  <si>
    <t>CAND-00112</t>
  </si>
  <si>
    <t>APP-00113</t>
  </si>
  <si>
    <t>CAND-00113</t>
  </si>
  <si>
    <t>APP-00114</t>
  </si>
  <si>
    <t>CAND-00114</t>
  </si>
  <si>
    <t>Bea Villanueva</t>
  </si>
  <si>
    <t>APP-00115</t>
  </si>
  <si>
    <t>CAND-00115</t>
  </si>
  <si>
    <t>APP-00116</t>
  </si>
  <si>
    <t>CAND-00116</t>
  </si>
  <si>
    <t>Patrick Garcia</t>
  </si>
  <si>
    <t>APP-00117</t>
  </si>
  <si>
    <t>CAND-00117</t>
  </si>
  <si>
    <t>Martin Ramos</t>
  </si>
  <si>
    <t>APP-00118</t>
  </si>
  <si>
    <t>CAND-00118</t>
  </si>
  <si>
    <t>APP-00119</t>
  </si>
  <si>
    <t>CAND-00119</t>
  </si>
  <si>
    <t>APP-00120</t>
  </si>
  <si>
    <t>CAND-00120</t>
  </si>
  <si>
    <t>APP-00121</t>
  </si>
  <si>
    <t>CAND-00121</t>
  </si>
  <si>
    <t>APP-00122</t>
  </si>
  <si>
    <t>CAND-00122</t>
  </si>
  <si>
    <t>Sofia Ramos</t>
  </si>
  <si>
    <t>APP-00123</t>
  </si>
  <si>
    <t>CAND-00123</t>
  </si>
  <si>
    <t>APP-00124</t>
  </si>
  <si>
    <t>CAND-00124</t>
  </si>
  <si>
    <t>APP-00125</t>
  </si>
  <si>
    <t>CAND-00125</t>
  </si>
  <si>
    <t>Patrick Villanueva</t>
  </si>
  <si>
    <t>APP-00126</t>
  </si>
  <si>
    <t>CAND-00126</t>
  </si>
  <si>
    <t>APP-00127</t>
  </si>
  <si>
    <t>CAND-00127</t>
  </si>
  <si>
    <t>Patrick Dela Cruz</t>
  </si>
  <si>
    <t>APP-00128</t>
  </si>
  <si>
    <t>CAND-00128</t>
  </si>
  <si>
    <t>Patrick Cruz</t>
  </si>
  <si>
    <t>APP-00129</t>
  </si>
  <si>
    <t>CAND-00129</t>
  </si>
  <si>
    <t>APP-00130</t>
  </si>
  <si>
    <t>CAND-00130</t>
  </si>
  <si>
    <t>APP-00131</t>
  </si>
  <si>
    <t>CAND-00131</t>
  </si>
  <si>
    <t>APP-00132</t>
  </si>
  <si>
    <t>CAND-00132</t>
  </si>
  <si>
    <t>APP-00133</t>
  </si>
  <si>
    <t>CAND-00133</t>
  </si>
  <si>
    <t>Rafael Torres</t>
  </si>
  <si>
    <t>APP-00134</t>
  </si>
  <si>
    <t>CAND-00134</t>
  </si>
  <si>
    <t>APP-00135</t>
  </si>
  <si>
    <t>CAND-00135</t>
  </si>
  <si>
    <t>APP-00136</t>
  </si>
  <si>
    <t>CAND-00136</t>
  </si>
  <si>
    <t>APP-00137</t>
  </si>
  <si>
    <t>CAND-00137</t>
  </si>
  <si>
    <t>APP-00138</t>
  </si>
  <si>
    <t>CAND-00138</t>
  </si>
  <si>
    <t>Patrick Gonzales</t>
  </si>
  <si>
    <t>APP-00139</t>
  </si>
  <si>
    <t>CAND-00139</t>
  </si>
  <si>
    <t>APP-00140</t>
  </si>
  <si>
    <t>CAND-00140</t>
  </si>
  <si>
    <t>APP-00141</t>
  </si>
  <si>
    <t>CAND-00141</t>
  </si>
  <si>
    <t>APP-00142</t>
  </si>
  <si>
    <t>CAND-00142</t>
  </si>
  <si>
    <t>APP-00143</t>
  </si>
  <si>
    <t>CAND-00143</t>
  </si>
  <si>
    <t>APP-00144</t>
  </si>
  <si>
    <t>CAND-00144</t>
  </si>
  <si>
    <t>APP-00145</t>
  </si>
  <si>
    <t>CAND-00145</t>
  </si>
  <si>
    <t>APP-00146</t>
  </si>
  <si>
    <t>CAND-00146</t>
  </si>
  <si>
    <t>APP-00147</t>
  </si>
  <si>
    <t>CAND-00147</t>
  </si>
  <si>
    <t>Andrea Castillo</t>
  </si>
  <si>
    <t>APP-00148</t>
  </si>
  <si>
    <t>CAND-00148</t>
  </si>
  <si>
    <t>APP-00149</t>
  </si>
  <si>
    <t>CAND-00149</t>
  </si>
  <si>
    <t>Bea Cruz</t>
  </si>
  <si>
    <t>APP-00150</t>
  </si>
  <si>
    <t>CAND-00150</t>
  </si>
  <si>
    <t>APP-00151</t>
  </si>
  <si>
    <t>CAND-00151</t>
  </si>
  <si>
    <t>APP-00152</t>
  </si>
  <si>
    <t>CAND-00152</t>
  </si>
  <si>
    <t>APP-00153</t>
  </si>
  <si>
    <t>CAND-00153</t>
  </si>
  <si>
    <t>APP-00154</t>
  </si>
  <si>
    <t>CAND-00154</t>
  </si>
  <si>
    <t>APP-00155</t>
  </si>
  <si>
    <t>CAND-00155</t>
  </si>
  <si>
    <t>APP-00156</t>
  </si>
  <si>
    <t>CAND-00156</t>
  </si>
  <si>
    <t>Julius Castillo</t>
  </si>
  <si>
    <t>APP-00157</t>
  </si>
  <si>
    <t>CAND-00157</t>
  </si>
  <si>
    <t>APP-00158</t>
  </si>
  <si>
    <t>CAND-00158</t>
  </si>
  <si>
    <t>Jose Gonzales</t>
  </si>
  <si>
    <t>APP-00159</t>
  </si>
  <si>
    <t>CAND-00159</t>
  </si>
  <si>
    <t>Gabriel Santos</t>
  </si>
  <si>
    <t>APP-00160</t>
  </si>
  <si>
    <t>CAND-00160</t>
  </si>
  <si>
    <t>No response</t>
  </si>
  <si>
    <t>APP-00161</t>
  </si>
  <si>
    <t>CAND-00161</t>
  </si>
  <si>
    <t>APP-00162</t>
  </si>
  <si>
    <t>CAND-00162</t>
  </si>
  <si>
    <t>Maria Mendoza</t>
  </si>
  <si>
    <t>APP-00163</t>
  </si>
  <si>
    <t>CAND-00163</t>
  </si>
  <si>
    <t>Mika Bautista</t>
  </si>
  <si>
    <t>APP-00164</t>
  </si>
  <si>
    <t>CAND-00164</t>
  </si>
  <si>
    <t>APP-00165</t>
  </si>
  <si>
    <t>CAND-00165</t>
  </si>
  <si>
    <t>APP-00166</t>
  </si>
  <si>
    <t>CAND-00166</t>
  </si>
  <si>
    <t>APP-00167</t>
  </si>
  <si>
    <t>CAND-00167</t>
  </si>
  <si>
    <t>Martin Navarro</t>
  </si>
  <si>
    <t>APP-00168</t>
  </si>
  <si>
    <t>CAND-00168</t>
  </si>
  <si>
    <t>APP-00169</t>
  </si>
  <si>
    <t>CAND-00169</t>
  </si>
  <si>
    <t>APP-00170</t>
  </si>
  <si>
    <t>CAND-00170</t>
  </si>
  <si>
    <t>APP-00171</t>
  </si>
  <si>
    <t>CAND-00171</t>
  </si>
  <si>
    <t>Rafael Navarro</t>
  </si>
  <si>
    <t>APP-00172</t>
  </si>
  <si>
    <t>CAND-00172</t>
  </si>
  <si>
    <t>Mika Aquino</t>
  </si>
  <si>
    <t>APP-00173</t>
  </si>
  <si>
    <t>CAND-00173</t>
  </si>
  <si>
    <t>APP-00174</t>
  </si>
  <si>
    <t>CAND-00174</t>
  </si>
  <si>
    <t>Maria Gonzales</t>
  </si>
  <si>
    <t>APP-00175</t>
  </si>
  <si>
    <t>CAND-00175</t>
  </si>
  <si>
    <t>APP-00176</t>
  </si>
  <si>
    <t>CAND-00176</t>
  </si>
  <si>
    <t>Miguel Lim</t>
  </si>
  <si>
    <t>APP-00177</t>
  </si>
  <si>
    <t>CAND-00177</t>
  </si>
  <si>
    <t>APP-00178</t>
  </si>
  <si>
    <t>CAND-00178</t>
  </si>
  <si>
    <t>Miguel Mendoza</t>
  </si>
  <si>
    <t>APP-00179</t>
  </si>
  <si>
    <t>CAND-00179</t>
  </si>
  <si>
    <t>APP-00180</t>
  </si>
  <si>
    <t>CAND-00180</t>
  </si>
  <si>
    <t>APP-00181</t>
  </si>
  <si>
    <t>CAND-00181</t>
  </si>
  <si>
    <t>APP-00182</t>
  </si>
  <si>
    <t>CAND-00182</t>
  </si>
  <si>
    <t>Lara Torres</t>
  </si>
  <si>
    <t>APP-00183</t>
  </si>
  <si>
    <t>CAND-00183</t>
  </si>
  <si>
    <t>APP-00184</t>
  </si>
  <si>
    <t>CAND-00184</t>
  </si>
  <si>
    <t>Sofia Torres</t>
  </si>
  <si>
    <t>APP-00185</t>
  </si>
  <si>
    <t>CAND-00185</t>
  </si>
  <si>
    <t>APP-00186</t>
  </si>
  <si>
    <t>CAND-00186</t>
  </si>
  <si>
    <t>APP-00187</t>
  </si>
  <si>
    <t>CAND-00187</t>
  </si>
  <si>
    <t>Luis Villanueva</t>
  </si>
  <si>
    <t>APP-00188</t>
  </si>
  <si>
    <t>CAND-00188</t>
  </si>
  <si>
    <t>APP-00189</t>
  </si>
  <si>
    <t>CAND-00189</t>
  </si>
  <si>
    <t>Sofia Cruz</t>
  </si>
  <si>
    <t>APP-00190</t>
  </si>
  <si>
    <t>CAND-00190</t>
  </si>
  <si>
    <t>Ivy Lim</t>
  </si>
  <si>
    <t>APP-00191</t>
  </si>
  <si>
    <t>CAND-00191</t>
  </si>
  <si>
    <t>APP-00192</t>
  </si>
  <si>
    <t>CAND-00192</t>
  </si>
  <si>
    <t>Ivy Dela Cruz</t>
  </si>
  <si>
    <t>APP-00193</t>
  </si>
  <si>
    <t>CAND-00193</t>
  </si>
  <si>
    <t>APP-00194</t>
  </si>
  <si>
    <t>CAND-00194</t>
  </si>
  <si>
    <t>APP-00195</t>
  </si>
  <si>
    <t>CAND-00195</t>
  </si>
  <si>
    <t>APP-00196</t>
  </si>
  <si>
    <t>CAND-00196</t>
  </si>
  <si>
    <t>Paolo Garcia</t>
  </si>
  <si>
    <t>APP-00197</t>
  </si>
  <si>
    <t>CAND-00197</t>
  </si>
  <si>
    <t>Julius Lopez</t>
  </si>
  <si>
    <t>APP-00198</t>
  </si>
  <si>
    <t>CAND-00198</t>
  </si>
  <si>
    <t>Martin Lopez</t>
  </si>
  <si>
    <t>APP-00199</t>
  </si>
  <si>
    <t>CAND-00199</t>
  </si>
  <si>
    <t>Mika Torres</t>
  </si>
  <si>
    <t>APP-00200</t>
  </si>
  <si>
    <t>CAND-00200</t>
  </si>
  <si>
    <t>APP-00201</t>
  </si>
  <si>
    <t>CAND-00201</t>
  </si>
  <si>
    <t>APP-00202</t>
  </si>
  <si>
    <t>CAND-00202</t>
  </si>
  <si>
    <t>APP-00203</t>
  </si>
  <si>
    <t>CAND-00203</t>
  </si>
  <si>
    <t>APP-00204</t>
  </si>
  <si>
    <t>CAND-00204</t>
  </si>
  <si>
    <t>APP-00205</t>
  </si>
  <si>
    <t>CAND-00205</t>
  </si>
  <si>
    <t>Ivy Ramos</t>
  </si>
  <si>
    <t>APP-00206</t>
  </si>
  <si>
    <t>CAND-00206</t>
  </si>
  <si>
    <t>Julius Mendoza</t>
  </si>
  <si>
    <t>APP-00207</t>
  </si>
  <si>
    <t>CAND-00207</t>
  </si>
  <si>
    <t>APP-00208</t>
  </si>
  <si>
    <t>CAND-00208</t>
  </si>
  <si>
    <t>APP-00209</t>
  </si>
  <si>
    <t>CAND-00209</t>
  </si>
  <si>
    <t>APP-00210</t>
  </si>
  <si>
    <t>CAND-00210</t>
  </si>
  <si>
    <t>APP-00211</t>
  </si>
  <si>
    <t>CAND-00211</t>
  </si>
  <si>
    <t>APP-00212</t>
  </si>
  <si>
    <t>CAND-00212</t>
  </si>
  <si>
    <t>Angela Santos</t>
  </si>
  <si>
    <t>APP-00213</t>
  </si>
  <si>
    <t>CAND-00213</t>
  </si>
  <si>
    <t>APP-00214</t>
  </si>
  <si>
    <t>CAND-00214</t>
  </si>
  <si>
    <t>Carlo Lim</t>
  </si>
  <si>
    <t>APP-00215</t>
  </si>
  <si>
    <t>CAND-00215</t>
  </si>
  <si>
    <t>APP-00216</t>
  </si>
  <si>
    <t>CAND-00216</t>
  </si>
  <si>
    <t>APP-00217</t>
  </si>
  <si>
    <t>CAND-00217</t>
  </si>
  <si>
    <t>APP-00218</t>
  </si>
  <si>
    <t>CAND-00218</t>
  </si>
  <si>
    <t>APP-00219</t>
  </si>
  <si>
    <t>CAND-00219</t>
  </si>
  <si>
    <t>Ivy Bautista</t>
  </si>
  <si>
    <t>APP-00220</t>
  </si>
  <si>
    <t>CAND-00220</t>
  </si>
  <si>
    <t>APP-00221</t>
  </si>
  <si>
    <t>CAND-00221</t>
  </si>
  <si>
    <t>APP-00222</t>
  </si>
  <si>
    <t>CAND-00222</t>
  </si>
  <si>
    <t>APP-00223</t>
  </si>
  <si>
    <t>CAND-00223</t>
  </si>
  <si>
    <t>APP-00224</t>
  </si>
  <si>
    <t>CAND-00224</t>
  </si>
  <si>
    <t>Sofia Castillo</t>
  </si>
  <si>
    <t>APP-00225</t>
  </si>
  <si>
    <t>CAND-00225</t>
  </si>
  <si>
    <t>APP-00226</t>
  </si>
  <si>
    <t>CAND-00226</t>
  </si>
  <si>
    <t>APP-00227</t>
  </si>
  <si>
    <t>CAND-00227</t>
  </si>
  <si>
    <t>Lara Mendoza</t>
  </si>
  <si>
    <t>APP-00228</t>
  </si>
  <si>
    <t>CAND-00228</t>
  </si>
  <si>
    <t>APP-00229</t>
  </si>
  <si>
    <t>CAND-00229</t>
  </si>
  <si>
    <t>Ethan Navarro</t>
  </si>
  <si>
    <t>APP-00230</t>
  </si>
  <si>
    <t>CAND-00230</t>
  </si>
  <si>
    <t>APP-00231</t>
  </si>
  <si>
    <t>CAND-00231</t>
  </si>
  <si>
    <t>APP-00232</t>
  </si>
  <si>
    <t>CAND-00232</t>
  </si>
  <si>
    <t>Miguel Castillo</t>
  </si>
  <si>
    <t>APP-00233</t>
  </si>
  <si>
    <t>CAND-00233</t>
  </si>
  <si>
    <t>Ivy Cruz</t>
  </si>
  <si>
    <t>APP-00234</t>
  </si>
  <si>
    <t>CAND-00234</t>
  </si>
  <si>
    <t>Sofia Garcia</t>
  </si>
  <si>
    <t>APP-00235</t>
  </si>
  <si>
    <t>CAND-00235</t>
  </si>
  <si>
    <t>Maria Aquino</t>
  </si>
  <si>
    <t>APP-00236</t>
  </si>
  <si>
    <t>CAND-00236</t>
  </si>
  <si>
    <t>Angela Villanueva</t>
  </si>
  <si>
    <t>APP-00237</t>
  </si>
  <si>
    <t>CAND-00237</t>
  </si>
  <si>
    <t>APP-00238</t>
  </si>
  <si>
    <t>CAND-00238</t>
  </si>
  <si>
    <t>Camille Garcia</t>
  </si>
  <si>
    <t>APP-00239</t>
  </si>
  <si>
    <t>CAND-00239</t>
  </si>
  <si>
    <t>APP-00240</t>
  </si>
  <si>
    <t>CAND-00240</t>
  </si>
  <si>
    <t>Ethan Dela Cruz</t>
  </si>
  <si>
    <t>APP-00241</t>
  </si>
  <si>
    <t>CAND-00241</t>
  </si>
  <si>
    <t>Rhea Gonzales</t>
  </si>
  <si>
    <t>APP-00242</t>
  </si>
  <si>
    <t>CAND-00242</t>
  </si>
  <si>
    <t>Paolo Cruz</t>
  </si>
  <si>
    <t>APP-00243</t>
  </si>
  <si>
    <t>CAND-00243</t>
  </si>
  <si>
    <t>APP-00244</t>
  </si>
  <si>
    <t>CAND-00244</t>
  </si>
  <si>
    <t>APP-00245</t>
  </si>
  <si>
    <t>CAND-00245</t>
  </si>
  <si>
    <t>Martin Reyes</t>
  </si>
  <si>
    <t>APP-00246</t>
  </si>
  <si>
    <t>CAND-00246</t>
  </si>
  <si>
    <t>Ethan Mendoza</t>
  </si>
  <si>
    <t>APP-00247</t>
  </si>
  <si>
    <t>CAND-00247</t>
  </si>
  <si>
    <t>Angela Mendoza</t>
  </si>
  <si>
    <t>APP-00248</t>
  </si>
  <si>
    <t>CAND-00248</t>
  </si>
  <si>
    <t>APP-00249</t>
  </si>
  <si>
    <t>CAND-00249</t>
  </si>
  <si>
    <t>APP-00250</t>
  </si>
  <si>
    <t>CAND-00250</t>
  </si>
  <si>
    <t>Luis Santos</t>
  </si>
  <si>
    <t>APP-00251</t>
  </si>
  <si>
    <t>CAND-00251</t>
  </si>
  <si>
    <t>APP-00252</t>
  </si>
  <si>
    <t>CAND-00252</t>
  </si>
  <si>
    <t>APP-00253</t>
  </si>
  <si>
    <t>CAND-00253</t>
  </si>
  <si>
    <t>Maria Lim</t>
  </si>
  <si>
    <t>APP-00254</t>
  </si>
  <si>
    <t>CAND-00254</t>
  </si>
  <si>
    <t>APP-00255</t>
  </si>
  <si>
    <t>CAND-00255</t>
  </si>
  <si>
    <t>Gabriel Dela Cruz</t>
  </si>
  <si>
    <t>APP-00256</t>
  </si>
  <si>
    <t>CAND-00256</t>
  </si>
  <si>
    <t>APP-00257</t>
  </si>
  <si>
    <t>CAND-00257</t>
  </si>
  <si>
    <t>Ivy Aquino</t>
  </si>
  <si>
    <t>APP-00258</t>
  </si>
  <si>
    <t>CAND-00258</t>
  </si>
  <si>
    <t>APP-00259</t>
  </si>
  <si>
    <t>CAND-00259</t>
  </si>
  <si>
    <t>APP-00260</t>
  </si>
  <si>
    <t>CAND-00260</t>
  </si>
  <si>
    <t>APP-00261</t>
  </si>
  <si>
    <t>CAND-00261</t>
  </si>
  <si>
    <t>APP-00262</t>
  </si>
  <si>
    <t>CAND-00262</t>
  </si>
  <si>
    <t>APP-00263</t>
  </si>
  <si>
    <t>CAND-00263</t>
  </si>
  <si>
    <t>APP-00264</t>
  </si>
  <si>
    <t>CAND-00264</t>
  </si>
  <si>
    <t>APP-00265</t>
  </si>
  <si>
    <t>CAND-00265</t>
  </si>
  <si>
    <t>APP-00266</t>
  </si>
  <si>
    <t>CAND-00266</t>
  </si>
  <si>
    <t>APP-00267</t>
  </si>
  <si>
    <t>CAND-00267</t>
  </si>
  <si>
    <t>Ivy Torres</t>
  </si>
  <si>
    <t>APP-00268</t>
  </si>
  <si>
    <t>CAND-00268</t>
  </si>
  <si>
    <t>APP-00269</t>
  </si>
  <si>
    <t>CAND-00269</t>
  </si>
  <si>
    <t>APP-00270</t>
  </si>
  <si>
    <t>CAND-00270</t>
  </si>
  <si>
    <t>Jose Reyes</t>
  </si>
  <si>
    <t>APP-00271</t>
  </si>
  <si>
    <t>CAND-00271</t>
  </si>
  <si>
    <t>Patrick Torres</t>
  </si>
  <si>
    <t>APP-00272</t>
  </si>
  <si>
    <t>CAND-00272</t>
  </si>
  <si>
    <t>APP-00273</t>
  </si>
  <si>
    <t>CAND-00273</t>
  </si>
  <si>
    <t>APP-00274</t>
  </si>
  <si>
    <t>CAND-00274</t>
  </si>
  <si>
    <t>APP-00275</t>
  </si>
  <si>
    <t>CAND-00275</t>
  </si>
  <si>
    <t>APP-00276</t>
  </si>
  <si>
    <t>CAND-00276</t>
  </si>
  <si>
    <t>APP-00277</t>
  </si>
  <si>
    <t>CAND-00277</t>
  </si>
  <si>
    <t>APP-00278</t>
  </si>
  <si>
    <t>CAND-00278</t>
  </si>
  <si>
    <t>APP-00279</t>
  </si>
  <si>
    <t>CAND-00279</t>
  </si>
  <si>
    <t>Accepted other offer</t>
  </si>
  <si>
    <t>APP-00280</t>
  </si>
  <si>
    <t>CAND-00280</t>
  </si>
  <si>
    <t>Janine Dela Cruz</t>
  </si>
  <si>
    <t>APP-00281</t>
  </si>
  <si>
    <t>CAND-00281</t>
  </si>
  <si>
    <t>APP-00282</t>
  </si>
  <si>
    <t>CAND-00282</t>
  </si>
  <si>
    <t>APP-00283</t>
  </si>
  <si>
    <t>CAND-00283</t>
  </si>
  <si>
    <t>Diana Dela Cruz</t>
  </si>
  <si>
    <t>APP-00284</t>
  </si>
  <si>
    <t>CAND-00284</t>
  </si>
  <si>
    <t>APP-00285</t>
  </si>
  <si>
    <t>CAND-00285</t>
  </si>
  <si>
    <t>APP-00286</t>
  </si>
  <si>
    <t>CAND-00286</t>
  </si>
  <si>
    <t>APP-00287</t>
  </si>
  <si>
    <t>CAND-00287</t>
  </si>
  <si>
    <t>APP-00288</t>
  </si>
  <si>
    <t>CAND-00288</t>
  </si>
  <si>
    <t>Camille Lopez</t>
  </si>
  <si>
    <t>APP-00289</t>
  </si>
  <si>
    <t>CAND-00289</t>
  </si>
  <si>
    <t>APP-00290</t>
  </si>
  <si>
    <t>CAND-00290</t>
  </si>
  <si>
    <t>APP-00291</t>
  </si>
  <si>
    <t>CAND-00291</t>
  </si>
  <si>
    <t>APP-00292</t>
  </si>
  <si>
    <t>CAND-00292</t>
  </si>
  <si>
    <t>APP-00293</t>
  </si>
  <si>
    <t>CAND-00293</t>
  </si>
  <si>
    <t>APP-00294</t>
  </si>
  <si>
    <t>CAND-00294</t>
  </si>
  <si>
    <t>APP-00295</t>
  </si>
  <si>
    <t>CAND-00295</t>
  </si>
  <si>
    <t>APP-00296</t>
  </si>
  <si>
    <t>CAND-00296</t>
  </si>
  <si>
    <t>APP-00297</t>
  </si>
  <si>
    <t>CAND-00297</t>
  </si>
  <si>
    <t>APP-00298</t>
  </si>
  <si>
    <t>CAND-00298</t>
  </si>
  <si>
    <t>Mika Lopez</t>
  </si>
  <si>
    <t>APP-00299</t>
  </si>
  <si>
    <t>CAND-00299</t>
  </si>
  <si>
    <t>Janine Reyes</t>
  </si>
  <si>
    <t>APP-00300</t>
  </si>
  <si>
    <t>CAND-00300</t>
  </si>
  <si>
    <t>APP-00301</t>
  </si>
  <si>
    <t>CAND-00301</t>
  </si>
  <si>
    <t>Miguel Bautista</t>
  </si>
  <si>
    <t>APP-00302</t>
  </si>
  <si>
    <t>CAND-00302</t>
  </si>
  <si>
    <t>APP-00303</t>
  </si>
  <si>
    <t>CAND-00303</t>
  </si>
  <si>
    <t>APP-00304</t>
  </si>
  <si>
    <t>CAND-00304</t>
  </si>
  <si>
    <t>APP-00305</t>
  </si>
  <si>
    <t>CAND-00305</t>
  </si>
  <si>
    <t>APP-00306</t>
  </si>
  <si>
    <t>CAND-00306</t>
  </si>
  <si>
    <t>APP-00307</t>
  </si>
  <si>
    <t>CAND-00307</t>
  </si>
  <si>
    <t>APP-00308</t>
  </si>
  <si>
    <t>CAND-00308</t>
  </si>
  <si>
    <t>APP-00309</t>
  </si>
  <si>
    <t>CAND-00309</t>
  </si>
  <si>
    <t>Ethan Torres</t>
  </si>
  <si>
    <t>APP-00310</t>
  </si>
  <si>
    <t>CAND-00310</t>
  </si>
  <si>
    <t>APP-00311</t>
  </si>
  <si>
    <t>CAND-00311</t>
  </si>
  <si>
    <t>APP-00312</t>
  </si>
  <si>
    <t>CAND-00312</t>
  </si>
  <si>
    <t>APP-00313</t>
  </si>
  <si>
    <t>CAND-00313</t>
  </si>
  <si>
    <t>APP-00314</t>
  </si>
  <si>
    <t>CAND-00314</t>
  </si>
  <si>
    <t>APP-00315</t>
  </si>
  <si>
    <t>CAND-00315</t>
  </si>
  <si>
    <t>APP-00316</t>
  </si>
  <si>
    <t>CAND-00316</t>
  </si>
  <si>
    <t>APP-00317</t>
  </si>
  <si>
    <t>CAND-00317</t>
  </si>
  <si>
    <t>Lara Bautista</t>
  </si>
  <si>
    <t>APP-00318</t>
  </si>
  <si>
    <t>CAND-00318</t>
  </si>
  <si>
    <t>APP-00319</t>
  </si>
  <si>
    <t>CAND-00319</t>
  </si>
  <si>
    <t>APP-00320</t>
  </si>
  <si>
    <t>CAND-00320</t>
  </si>
  <si>
    <t>APP-00321</t>
  </si>
  <si>
    <t>CAND-00321</t>
  </si>
  <si>
    <t>APP-00322</t>
  </si>
  <si>
    <t>CAND-00322</t>
  </si>
  <si>
    <t>APP-00323</t>
  </si>
  <si>
    <t>CAND-00323</t>
  </si>
  <si>
    <t>APP-00324</t>
  </si>
  <si>
    <t>CAND-00324</t>
  </si>
  <si>
    <t>APP-00325</t>
  </si>
  <si>
    <t>CAND-00325</t>
  </si>
  <si>
    <t>APP-00326</t>
  </si>
  <si>
    <t>CAND-00326</t>
  </si>
  <si>
    <t>APP-00327</t>
  </si>
  <si>
    <t>CAND-00327</t>
  </si>
  <si>
    <t>APP-00328</t>
  </si>
  <si>
    <t>CAND-00328</t>
  </si>
  <si>
    <t>APP-00329</t>
  </si>
  <si>
    <t>CAND-00329</t>
  </si>
  <si>
    <t>APP-00330</t>
  </si>
  <si>
    <t>CAND-00330</t>
  </si>
  <si>
    <t>APP-00331</t>
  </si>
  <si>
    <t>CAND-00331</t>
  </si>
  <si>
    <t>Carlo Navarro</t>
  </si>
  <si>
    <t>APP-00332</t>
  </si>
  <si>
    <t>CAND-00332</t>
  </si>
  <si>
    <t>APP-00333</t>
  </si>
  <si>
    <t>CAND-00333</t>
  </si>
  <si>
    <t>APP-00334</t>
  </si>
  <si>
    <t>CAND-00334</t>
  </si>
  <si>
    <t>APP-00335</t>
  </si>
  <si>
    <t>CAND-00335</t>
  </si>
  <si>
    <t>APP-00336</t>
  </si>
  <si>
    <t>CAND-00336</t>
  </si>
  <si>
    <t>APP-00337</t>
  </si>
  <si>
    <t>CAND-00337</t>
  </si>
  <si>
    <t>APP-00338</t>
  </si>
  <si>
    <t>CAND-00338</t>
  </si>
  <si>
    <t>Paolo Aquino</t>
  </si>
  <si>
    <t>APP-00339</t>
  </si>
  <si>
    <t>CAND-00339</t>
  </si>
  <si>
    <t>APP-00340</t>
  </si>
  <si>
    <t>CAND-00340</t>
  </si>
  <si>
    <t>Miguel Villanueva</t>
  </si>
  <si>
    <t>APP-00341</t>
  </si>
  <si>
    <t>CAND-00341</t>
  </si>
  <si>
    <t>APP-00342</t>
  </si>
  <si>
    <t>CAND-00342</t>
  </si>
  <si>
    <t>APP-00343</t>
  </si>
  <si>
    <t>CAND-00343</t>
  </si>
  <si>
    <t>Luis Lim</t>
  </si>
  <si>
    <t>APP-00344</t>
  </si>
  <si>
    <t>CAND-00344</t>
  </si>
  <si>
    <t>Rafael Mendoza</t>
  </si>
  <si>
    <t>APP-00345</t>
  </si>
  <si>
    <t>CAND-00345</t>
  </si>
  <si>
    <t>APP-00346</t>
  </si>
  <si>
    <t>CAND-00346</t>
  </si>
  <si>
    <t>APP-00347</t>
  </si>
  <si>
    <t>CAND-00347</t>
  </si>
  <si>
    <t>APP-00348</t>
  </si>
  <si>
    <t>CAND-00348</t>
  </si>
  <si>
    <t>Ivy Reyes</t>
  </si>
  <si>
    <t>APP-00349</t>
  </si>
  <si>
    <t>CAND-00349</t>
  </si>
  <si>
    <t>APP-00350</t>
  </si>
  <si>
    <t>CAND-00350</t>
  </si>
  <si>
    <t>APP-00351</t>
  </si>
  <si>
    <t>CAND-00351</t>
  </si>
  <si>
    <t>APP-00352</t>
  </si>
  <si>
    <t>CAND-00352</t>
  </si>
  <si>
    <t>APP-00353</t>
  </si>
  <si>
    <t>CAND-00353</t>
  </si>
  <si>
    <t>APP-00354</t>
  </si>
  <si>
    <t>CAND-00354</t>
  </si>
  <si>
    <t>APP-00355</t>
  </si>
  <si>
    <t>CAND-00355</t>
  </si>
  <si>
    <t>Julius Bautista</t>
  </si>
  <si>
    <t>APP-00356</t>
  </si>
  <si>
    <t>CAND-00356</t>
  </si>
  <si>
    <t>Bea Lim</t>
  </si>
  <si>
    <t>APP-00357</t>
  </si>
  <si>
    <t>CAND-00357</t>
  </si>
  <si>
    <t>APP-00358</t>
  </si>
  <si>
    <t>CAND-00358</t>
  </si>
  <si>
    <t>APP-00359</t>
  </si>
  <si>
    <t>CAND-00359</t>
  </si>
  <si>
    <t>Miguel Gonzales</t>
  </si>
  <si>
    <t>APP-00360</t>
  </si>
  <si>
    <t>CAND-00360</t>
  </si>
  <si>
    <t>APP-00361</t>
  </si>
  <si>
    <t>CAND-00361</t>
  </si>
  <si>
    <t>APP-00362</t>
  </si>
  <si>
    <t>CAND-00362</t>
  </si>
  <si>
    <t>APP-00363</t>
  </si>
  <si>
    <t>CAND-00363</t>
  </si>
  <si>
    <t>APP-00364</t>
  </si>
  <si>
    <t>CAND-00364</t>
  </si>
  <si>
    <t>APP-00365</t>
  </si>
  <si>
    <t>CAND-00365</t>
  </si>
  <si>
    <t>APP-00366</t>
  </si>
  <si>
    <t>CAND-00366</t>
  </si>
  <si>
    <t>APP-00367</t>
  </si>
  <si>
    <t>CAND-00367</t>
  </si>
  <si>
    <t>APP-00368</t>
  </si>
  <si>
    <t>CAND-00368</t>
  </si>
  <si>
    <t>APP-00369</t>
  </si>
  <si>
    <t>CAND-00369</t>
  </si>
  <si>
    <t>APP-00370</t>
  </si>
  <si>
    <t>CAND-00370</t>
  </si>
  <si>
    <t>APP-00371</t>
  </si>
  <si>
    <t>CAND-00371</t>
  </si>
  <si>
    <t>APP-00372</t>
  </si>
  <si>
    <t>CAND-00372</t>
  </si>
  <si>
    <t>Ivy Navarro</t>
  </si>
  <si>
    <t>APP-00373</t>
  </si>
  <si>
    <t>CAND-00373</t>
  </si>
  <si>
    <t>APP-00374</t>
  </si>
  <si>
    <t>CAND-00374</t>
  </si>
  <si>
    <t>APP-00375</t>
  </si>
  <si>
    <t>CAND-00375</t>
  </si>
  <si>
    <t>APP-00376</t>
  </si>
  <si>
    <t>CAND-00376</t>
  </si>
  <si>
    <t>APP-00377</t>
  </si>
  <si>
    <t>CAND-00377</t>
  </si>
  <si>
    <t>APP-00378</t>
  </si>
  <si>
    <t>CAND-00378</t>
  </si>
  <si>
    <t>APP-00379</t>
  </si>
  <si>
    <t>CAND-00379</t>
  </si>
  <si>
    <t>APP-00380</t>
  </si>
  <si>
    <t>CAND-00380</t>
  </si>
  <si>
    <t>APP-00381</t>
  </si>
  <si>
    <t>CAND-00381</t>
  </si>
  <si>
    <t>Martin Santos</t>
  </si>
  <si>
    <t>APP-00382</t>
  </si>
  <si>
    <t>CAND-00382</t>
  </si>
  <si>
    <t>APP-00383</t>
  </si>
  <si>
    <t>CAND-00383</t>
  </si>
  <si>
    <t>APP-00384</t>
  </si>
  <si>
    <t>CAND-00384</t>
  </si>
  <si>
    <t>APP-00385</t>
  </si>
  <si>
    <t>CAND-00385</t>
  </si>
  <si>
    <t>Mika Garcia</t>
  </si>
  <si>
    <t>APP-00386</t>
  </si>
  <si>
    <t>CAND-00386</t>
  </si>
  <si>
    <t>APP-00387</t>
  </si>
  <si>
    <t>CAND-00387</t>
  </si>
  <si>
    <t>APP-00388</t>
  </si>
  <si>
    <t>CAND-00388</t>
  </si>
  <si>
    <t>APP-00389</t>
  </si>
  <si>
    <t>CAND-00389</t>
  </si>
  <si>
    <t>APP-00390</t>
  </si>
  <si>
    <t>CAND-00390</t>
  </si>
  <si>
    <t>APP-00391</t>
  </si>
  <si>
    <t>CAND-00391</t>
  </si>
  <si>
    <t>APP-00392</t>
  </si>
  <si>
    <t>CAND-00392</t>
  </si>
  <si>
    <t>APP-00393</t>
  </si>
  <si>
    <t>CAND-00393</t>
  </si>
  <si>
    <t>APP-00394</t>
  </si>
  <si>
    <t>CAND-00394</t>
  </si>
  <si>
    <t>APP-00395</t>
  </si>
  <si>
    <t>CAND-00395</t>
  </si>
  <si>
    <t>APP-00396</t>
  </si>
  <si>
    <t>CAND-00396</t>
  </si>
  <si>
    <t>APP-00397</t>
  </si>
  <si>
    <t>CAND-00397</t>
  </si>
  <si>
    <t>APP-00398</t>
  </si>
  <si>
    <t>CAND-00398</t>
  </si>
  <si>
    <t>Carlo Cruz</t>
  </si>
  <si>
    <t>APP-00399</t>
  </si>
  <si>
    <t>CAND-00399</t>
  </si>
  <si>
    <t>APP-00400</t>
  </si>
  <si>
    <t>CAND-00400</t>
  </si>
  <si>
    <t>APP-00401</t>
  </si>
  <si>
    <t>CAND-00401</t>
  </si>
  <si>
    <t>Ethan Bautista</t>
  </si>
  <si>
    <t>APP-00402</t>
  </si>
  <si>
    <t>CAND-00402</t>
  </si>
  <si>
    <t>APP-00403</t>
  </si>
  <si>
    <t>CAND-00403</t>
  </si>
  <si>
    <t>APP-00404</t>
  </si>
  <si>
    <t>CAND-00404</t>
  </si>
  <si>
    <t>APP-00405</t>
  </si>
  <si>
    <t>CAND-00405</t>
  </si>
  <si>
    <t>APP-00406</t>
  </si>
  <si>
    <t>CAND-00406</t>
  </si>
  <si>
    <t>APP-00407</t>
  </si>
  <si>
    <t>CAND-00407</t>
  </si>
  <si>
    <t>APP-00408</t>
  </si>
  <si>
    <t>CAND-00408</t>
  </si>
  <si>
    <t>APP-00409</t>
  </si>
  <si>
    <t>CAND-00409</t>
  </si>
  <si>
    <t>Martin Torres</t>
  </si>
  <si>
    <t>APP-00410</t>
  </si>
  <si>
    <t>CAND-00410</t>
  </si>
  <si>
    <t>APP-00411</t>
  </si>
  <si>
    <t>CAND-00411</t>
  </si>
  <si>
    <t>APP-00412</t>
  </si>
  <si>
    <t>CAND-00412</t>
  </si>
  <si>
    <t>APP-00413</t>
  </si>
  <si>
    <t>CAND-00413</t>
  </si>
  <si>
    <t>APP-00414</t>
  </si>
  <si>
    <t>CAND-00414</t>
  </si>
  <si>
    <t>APP-00415</t>
  </si>
  <si>
    <t>CAND-00415</t>
  </si>
  <si>
    <t>Andrea Ramos</t>
  </si>
  <si>
    <t>APP-00416</t>
  </si>
  <si>
    <t>CAND-00416</t>
  </si>
  <si>
    <t>Nico Cruz</t>
  </si>
  <si>
    <t>APP-00417</t>
  </si>
  <si>
    <t>CAND-00417</t>
  </si>
  <si>
    <t>APP-00418</t>
  </si>
  <si>
    <t>CAND-00418</t>
  </si>
  <si>
    <t>APP-00419</t>
  </si>
  <si>
    <t>CAND-00419</t>
  </si>
  <si>
    <t>APP-00420</t>
  </si>
  <si>
    <t>CAND-00420</t>
  </si>
  <si>
    <t>Diana Gonzales</t>
  </si>
  <si>
    <t>APP-00421</t>
  </si>
  <si>
    <t>CAND-00421</t>
  </si>
  <si>
    <t>APP-00422</t>
  </si>
  <si>
    <t>CAND-00422</t>
  </si>
  <si>
    <t>APP-00423</t>
  </si>
  <si>
    <t>CAND-00423</t>
  </si>
  <si>
    <t>APP-00424</t>
  </si>
  <si>
    <t>CAND-00424</t>
  </si>
  <si>
    <t>APP-00425</t>
  </si>
  <si>
    <t>CAND-00425</t>
  </si>
  <si>
    <t>APP-00426</t>
  </si>
  <si>
    <t>CAND-00426</t>
  </si>
  <si>
    <t>APP-00427</t>
  </si>
  <si>
    <t>CAND-00427</t>
  </si>
  <si>
    <t>APP-00428</t>
  </si>
  <si>
    <t>CAND-00428</t>
  </si>
  <si>
    <t>APP-00429</t>
  </si>
  <si>
    <t>CAND-00429</t>
  </si>
  <si>
    <t>Nico Garcia</t>
  </si>
  <si>
    <t>APP-00430</t>
  </si>
  <si>
    <t>CAND-00430</t>
  </si>
  <si>
    <t>APP-00431</t>
  </si>
  <si>
    <t>CAND-00431</t>
  </si>
  <si>
    <t>APP-00432</t>
  </si>
  <si>
    <t>CAND-00432</t>
  </si>
  <si>
    <t>APP-00433</t>
  </si>
  <si>
    <t>CAND-00433</t>
  </si>
  <si>
    <t>APP-00434</t>
  </si>
  <si>
    <t>CAND-00434</t>
  </si>
  <si>
    <t>APP-00435</t>
  </si>
  <si>
    <t>CAND-00435</t>
  </si>
  <si>
    <t>APP-00436</t>
  </si>
  <si>
    <t>CAND-00436</t>
  </si>
  <si>
    <t>APP-00437</t>
  </si>
  <si>
    <t>CAND-00437</t>
  </si>
  <si>
    <t>APP-00438</t>
  </si>
  <si>
    <t>CAND-00438</t>
  </si>
  <si>
    <t>APP-00439</t>
  </si>
  <si>
    <t>CAND-00439</t>
  </si>
  <si>
    <t>APP-00440</t>
  </si>
  <si>
    <t>CAND-00440</t>
  </si>
  <si>
    <t>APP-00441</t>
  </si>
  <si>
    <t>CAND-00441</t>
  </si>
  <si>
    <t>APP-00442</t>
  </si>
  <si>
    <t>CAND-00442</t>
  </si>
  <si>
    <t>APP-00443</t>
  </si>
  <si>
    <t>CAND-00443</t>
  </si>
  <si>
    <t>APP-00444</t>
  </si>
  <si>
    <t>CAND-00444</t>
  </si>
  <si>
    <t>Rhea Bautista</t>
  </si>
  <si>
    <t>APP-00445</t>
  </si>
  <si>
    <t>CAND-00445</t>
  </si>
  <si>
    <t>APP-00446</t>
  </si>
  <si>
    <t>CAND-00446</t>
  </si>
  <si>
    <t>APP-00447</t>
  </si>
  <si>
    <t>CAND-00447</t>
  </si>
  <si>
    <t>APP-00448</t>
  </si>
  <si>
    <t>CAND-00448</t>
  </si>
  <si>
    <t>APP-00449</t>
  </si>
  <si>
    <t>CAND-00449</t>
  </si>
  <si>
    <t>APP-00450</t>
  </si>
  <si>
    <t>CAND-00450</t>
  </si>
  <si>
    <t>Patrick Lopez</t>
  </si>
  <si>
    <t>APP-00451</t>
  </si>
  <si>
    <t>CAND-00451</t>
  </si>
  <si>
    <t>APP-00452</t>
  </si>
  <si>
    <t>CAND-00452</t>
  </si>
  <si>
    <t>Diana Torres</t>
  </si>
  <si>
    <t>APP-00453</t>
  </si>
  <si>
    <t>CAND-00453</t>
  </si>
  <si>
    <t>Janine Villanueva</t>
  </si>
  <si>
    <t>APP-00454</t>
  </si>
  <si>
    <t>CAND-00454</t>
  </si>
  <si>
    <t>APP-00455</t>
  </si>
  <si>
    <t>CAND-00455</t>
  </si>
  <si>
    <t>APP-00456</t>
  </si>
  <si>
    <t>CAND-00456</t>
  </si>
  <si>
    <t>APP-00457</t>
  </si>
  <si>
    <t>CAND-00457</t>
  </si>
  <si>
    <t>APP-00458</t>
  </si>
  <si>
    <t>CAND-00458</t>
  </si>
  <si>
    <t>APP-00459</t>
  </si>
  <si>
    <t>CAND-00459</t>
  </si>
  <si>
    <t>APP-00460</t>
  </si>
  <si>
    <t>CAND-00460</t>
  </si>
  <si>
    <t>APP-00461</t>
  </si>
  <si>
    <t>CAND-00461</t>
  </si>
  <si>
    <t>APP-00462</t>
  </si>
  <si>
    <t>CAND-00462</t>
  </si>
  <si>
    <t>APP-00463</t>
  </si>
  <si>
    <t>CAND-00463</t>
  </si>
  <si>
    <t>APP-00464</t>
  </si>
  <si>
    <t>CAND-00464</t>
  </si>
  <si>
    <t>Carlo Lopez</t>
  </si>
  <si>
    <t>APP-00465</t>
  </si>
  <si>
    <t>CAND-00465</t>
  </si>
  <si>
    <t>APP-00466</t>
  </si>
  <si>
    <t>CAND-00466</t>
  </si>
  <si>
    <t>APP-00467</t>
  </si>
  <si>
    <t>CAND-00467</t>
  </si>
  <si>
    <t>APP-00468</t>
  </si>
  <si>
    <t>CAND-00468</t>
  </si>
  <si>
    <t>APP-00469</t>
  </si>
  <si>
    <t>CAND-00469</t>
  </si>
  <si>
    <t>APP-00470</t>
  </si>
  <si>
    <t>CAND-00470</t>
  </si>
  <si>
    <t>APP-00471</t>
  </si>
  <si>
    <t>CAND-00471</t>
  </si>
  <si>
    <t>APP-00472</t>
  </si>
  <si>
    <t>CAND-00472</t>
  </si>
  <si>
    <t>APP-00473</t>
  </si>
  <si>
    <t>CAND-00473</t>
  </si>
  <si>
    <t>Mika Ramos</t>
  </si>
  <si>
    <t>APP-00474</t>
  </si>
  <si>
    <t>CAND-00474</t>
  </si>
  <si>
    <t>Janine Lim</t>
  </si>
  <si>
    <t>APP-00475</t>
  </si>
  <si>
    <t>CAND-00475</t>
  </si>
  <si>
    <t>APP-00476</t>
  </si>
  <si>
    <t>CAND-00476</t>
  </si>
  <si>
    <t>APP-00477</t>
  </si>
  <si>
    <t>CAND-00477</t>
  </si>
  <si>
    <t>Andrea Gonzales</t>
  </si>
  <si>
    <t>Hiring Costs</t>
  </si>
  <si>
    <t>Recruitment-related costs used for cost-to-hire and source cost analysis.</t>
  </si>
  <si>
    <t>COST-0002</t>
  </si>
  <si>
    <t>Medical</t>
  </si>
  <si>
    <t>Recruitment Platform</t>
  </si>
  <si>
    <t>COST-0003</t>
  </si>
  <si>
    <t>Background Check</t>
  </si>
  <si>
    <t>Internal</t>
  </si>
  <si>
    <t>COST-0004</t>
  </si>
  <si>
    <t>COST-0005</t>
  </si>
  <si>
    <t>COST-0006</t>
  </si>
  <si>
    <t>Interview Logistics</t>
  </si>
  <si>
    <t>Vendor B</t>
  </si>
  <si>
    <t>COST-0007</t>
  </si>
  <si>
    <t>Job Ad</t>
  </si>
  <si>
    <t>COST-0008</t>
  </si>
  <si>
    <t>Assessment</t>
  </si>
  <si>
    <t>COST-0009</t>
  </si>
  <si>
    <t>COST-0010</t>
  </si>
  <si>
    <t>Referral Bonus</t>
  </si>
  <si>
    <t>COST-0011</t>
  </si>
  <si>
    <t>COST-0012</t>
  </si>
  <si>
    <t>Vendor A</t>
  </si>
  <si>
    <t>COST-0013</t>
  </si>
  <si>
    <t>COST-0014</t>
  </si>
  <si>
    <t>COST-0015</t>
  </si>
  <si>
    <t>COST-0016</t>
  </si>
  <si>
    <t>COST-0017</t>
  </si>
  <si>
    <t>COST-0018</t>
  </si>
  <si>
    <t>COST-0019</t>
  </si>
  <si>
    <t>COST-0020</t>
  </si>
  <si>
    <t>COST-0021</t>
  </si>
  <si>
    <t>COST-0022</t>
  </si>
  <si>
    <t>COST-0023</t>
  </si>
  <si>
    <t>COST-0024</t>
  </si>
  <si>
    <t>COST-0025</t>
  </si>
  <si>
    <t>COST-0026</t>
  </si>
  <si>
    <t>COST-0027</t>
  </si>
  <si>
    <t>COST-0028</t>
  </si>
  <si>
    <t>COST-0029</t>
  </si>
  <si>
    <t>COST-0030</t>
  </si>
  <si>
    <t>COST-0031</t>
  </si>
  <si>
    <t>COST-0032</t>
  </si>
  <si>
    <t>COST-0033</t>
  </si>
  <si>
    <t>COST-0034</t>
  </si>
  <si>
    <t>COST-0035</t>
  </si>
  <si>
    <t>COST-0036</t>
  </si>
  <si>
    <t>COST-0037</t>
  </si>
  <si>
    <t>COST-0038</t>
  </si>
  <si>
    <t>COST-0039</t>
  </si>
  <si>
    <t>COST-0040</t>
  </si>
  <si>
    <t>COST-0041</t>
  </si>
  <si>
    <t>COST-0042</t>
  </si>
  <si>
    <t>COST-0043</t>
  </si>
  <si>
    <t>COST-0044</t>
  </si>
  <si>
    <t>COST-0045</t>
  </si>
  <si>
    <t>COST-0046</t>
  </si>
  <si>
    <t>COST-0047</t>
  </si>
  <si>
    <t>COST-0048</t>
  </si>
  <si>
    <t>COST-0049</t>
  </si>
  <si>
    <t>COST-0050</t>
  </si>
  <si>
    <t>COST-0051</t>
  </si>
  <si>
    <t>COST-0052</t>
  </si>
  <si>
    <t>COST-0053</t>
  </si>
  <si>
    <t>COST-0054</t>
  </si>
  <si>
    <t>COST-0055</t>
  </si>
  <si>
    <t>COST-0056</t>
  </si>
  <si>
    <t>COST-0057</t>
  </si>
  <si>
    <t>COST-0058</t>
  </si>
  <si>
    <t>COST-0059</t>
  </si>
  <si>
    <t>COST-0060</t>
  </si>
  <si>
    <t>COST-0061</t>
  </si>
  <si>
    <t>COST-0062</t>
  </si>
  <si>
    <t>COST-0063</t>
  </si>
  <si>
    <t>COST-0064</t>
  </si>
  <si>
    <t>COST-0065</t>
  </si>
  <si>
    <t>COST-0066</t>
  </si>
  <si>
    <t>COST-0067</t>
  </si>
  <si>
    <t>COST-0068</t>
  </si>
  <si>
    <t>COST-0069</t>
  </si>
  <si>
    <t>COST-0070</t>
  </si>
  <si>
    <t>COST-0071</t>
  </si>
  <si>
    <t>COST-0072</t>
  </si>
  <si>
    <t>COST-0073</t>
  </si>
  <si>
    <t>COST-0074</t>
  </si>
  <si>
    <t>COST-0075</t>
  </si>
  <si>
    <t>COST-0076</t>
  </si>
  <si>
    <t>COST-0077</t>
  </si>
  <si>
    <t>COST-0078</t>
  </si>
  <si>
    <t>COST-0079</t>
  </si>
  <si>
    <t>COST-0080</t>
  </si>
  <si>
    <t>COST-0081</t>
  </si>
  <si>
    <t>COST-0082</t>
  </si>
  <si>
    <t>COST-0083</t>
  </si>
  <si>
    <t>COST-0084</t>
  </si>
  <si>
    <t>COST-0085</t>
  </si>
  <si>
    <t>COST-0086</t>
  </si>
  <si>
    <t>COST-0087</t>
  </si>
  <si>
    <t>COST-0088</t>
  </si>
  <si>
    <t>COST-0089</t>
  </si>
  <si>
    <t>COST-0090</t>
  </si>
  <si>
    <t>COST-0091</t>
  </si>
  <si>
    <t>COST-0092</t>
  </si>
  <si>
    <t>COST-0093</t>
  </si>
  <si>
    <t>COST-0094</t>
  </si>
  <si>
    <t>COST-0095</t>
  </si>
  <si>
    <t>COST-0096</t>
  </si>
  <si>
    <t>COST-0097</t>
  </si>
  <si>
    <t>COST-0098</t>
  </si>
  <si>
    <t>COST-0099</t>
  </si>
  <si>
    <t>COST-0100</t>
  </si>
  <si>
    <t>COST-0101</t>
  </si>
  <si>
    <t>COST-0102</t>
  </si>
  <si>
    <t>COST-0103</t>
  </si>
  <si>
    <t>COST-0104</t>
  </si>
  <si>
    <t>COST-0105</t>
  </si>
  <si>
    <t>COST-0106</t>
  </si>
  <si>
    <t>COST-0107</t>
  </si>
  <si>
    <t>COST-0108</t>
  </si>
  <si>
    <t>COST-0109</t>
  </si>
  <si>
    <t>COST-0110</t>
  </si>
  <si>
    <t>COST-0111</t>
  </si>
  <si>
    <t>COST-0112</t>
  </si>
  <si>
    <t>COST-0113</t>
  </si>
  <si>
    <t>COST-0114</t>
  </si>
  <si>
    <t>COST-0115</t>
  </si>
  <si>
    <t>COST-0116</t>
  </si>
  <si>
    <t>COST-0117</t>
  </si>
  <si>
    <t>COST-0118</t>
  </si>
  <si>
    <t>COST-0119</t>
  </si>
  <si>
    <t>COST-0120</t>
  </si>
  <si>
    <t>COST-0121</t>
  </si>
  <si>
    <t>COST-0122</t>
  </si>
  <si>
    <t>COST-0123</t>
  </si>
  <si>
    <t>COST-0124</t>
  </si>
  <si>
    <t>COST-0125</t>
  </si>
  <si>
    <t>COST-0126</t>
  </si>
  <si>
    <t>COST-0127</t>
  </si>
  <si>
    <t>COST-0128</t>
  </si>
  <si>
    <t>COST-0129</t>
  </si>
  <si>
    <t>COST-0130</t>
  </si>
  <si>
    <t>COST-0131</t>
  </si>
  <si>
    <t>COST-0132</t>
  </si>
  <si>
    <t>COST-0133</t>
  </si>
  <si>
    <t>COST-0134</t>
  </si>
  <si>
    <t>COST-0135</t>
  </si>
  <si>
    <t>COST-0136</t>
  </si>
  <si>
    <t>COST-0137</t>
  </si>
  <si>
    <t>COST-0138</t>
  </si>
  <si>
    <t>COST-0139</t>
  </si>
  <si>
    <t>COST-0140</t>
  </si>
  <si>
    <t>COST-0141</t>
  </si>
  <si>
    <t>COST-0142</t>
  </si>
  <si>
    <t>COST-0143</t>
  </si>
  <si>
    <t>COST-0144</t>
  </si>
  <si>
    <t>COST-0145</t>
  </si>
  <si>
    <t>COST-0146</t>
  </si>
  <si>
    <t>COST-0147</t>
  </si>
  <si>
    <t>COST-0148</t>
  </si>
  <si>
    <t>COST-0149</t>
  </si>
  <si>
    <t>COST-0150</t>
  </si>
  <si>
    <t>COST-0151</t>
  </si>
  <si>
    <t>COST-0152</t>
  </si>
  <si>
    <t>COST-0153</t>
  </si>
  <si>
    <t>COST-0154</t>
  </si>
  <si>
    <t>COST-0155</t>
  </si>
  <si>
    <t>COST-0156</t>
  </si>
  <si>
    <t>COST-0157</t>
  </si>
  <si>
    <t>COST-0158</t>
  </si>
  <si>
    <t>COST-0159</t>
  </si>
  <si>
    <t>COST-0160</t>
  </si>
  <si>
    <t>Onboarding Tracker</t>
  </si>
  <si>
    <t>New hire onboarding completion, delays, and 90-day retention.</t>
  </si>
  <si>
    <t>MASTER_DEPARTMENT</t>
  </si>
  <si>
    <t>ONB-0002</t>
  </si>
  <si>
    <t>ONB-0003</t>
  </si>
  <si>
    <t>ONB-0004</t>
  </si>
  <si>
    <t>ONB-0005</t>
  </si>
  <si>
    <t>ONB-0006</t>
  </si>
  <si>
    <t>ONB-0007</t>
  </si>
  <si>
    <t>ONB-0008</t>
  </si>
  <si>
    <t>ONB-0009</t>
  </si>
  <si>
    <t>ONB-0011</t>
  </si>
  <si>
    <t>ONB-0012</t>
  </si>
  <si>
    <t>ONB-0013</t>
  </si>
  <si>
    <t>ONB-0014</t>
  </si>
  <si>
    <t>ONB-0015</t>
  </si>
  <si>
    <t>In Progress</t>
  </si>
  <si>
    <t>ONB-0016</t>
  </si>
  <si>
    <t>ONB-0017</t>
  </si>
  <si>
    <t>ONB-0018</t>
  </si>
  <si>
    <t>ONB-0019</t>
  </si>
  <si>
    <t>ONB-0020</t>
  </si>
  <si>
    <t>ONB-0021</t>
  </si>
  <si>
    <t>ONB-0022</t>
  </si>
  <si>
    <t>ONB-0023</t>
  </si>
  <si>
    <t>ONB-0024</t>
  </si>
  <si>
    <t>ONB-0025</t>
  </si>
  <si>
    <t>ONB-0026</t>
  </si>
  <si>
    <t>ONB-0027</t>
  </si>
  <si>
    <t>ONB-0028</t>
  </si>
  <si>
    <t>ONB-0029</t>
  </si>
  <si>
    <t>ONB-0030</t>
  </si>
  <si>
    <t>ONB-0031</t>
  </si>
  <si>
    <t>ONB-0032</t>
  </si>
  <si>
    <t>ONB-0033</t>
  </si>
  <si>
    <t>ONB-0034</t>
  </si>
  <si>
    <t>ONB-0035</t>
  </si>
  <si>
    <t>ONB-0036</t>
  </si>
  <si>
    <t>ONB-0037</t>
  </si>
  <si>
    <t>ONB-0038</t>
  </si>
  <si>
    <t>ONB-0039</t>
  </si>
  <si>
    <t>ONB-0040</t>
  </si>
  <si>
    <t>ONB-0041</t>
  </si>
  <si>
    <t>ONB-0042</t>
  </si>
  <si>
    <t>ONB-0043</t>
  </si>
  <si>
    <t>ONB-0044</t>
  </si>
  <si>
    <t>ONB-0045</t>
  </si>
  <si>
    <t>ONB-0046</t>
  </si>
  <si>
    <t>ONB-0047</t>
  </si>
  <si>
    <t>ONB-0048</t>
  </si>
  <si>
    <t>ONB-0049</t>
  </si>
  <si>
    <t>ONB-0050</t>
  </si>
  <si>
    <t>ONB-0051</t>
  </si>
  <si>
    <t>ONB-0052</t>
  </si>
  <si>
    <t>ONB-0053</t>
  </si>
  <si>
    <t>ONB-0054</t>
  </si>
  <si>
    <t>ONB-0055</t>
  </si>
  <si>
    <t>ONB-0056</t>
  </si>
  <si>
    <t>ONB-0057</t>
  </si>
  <si>
    <t>ONB-0058</t>
  </si>
  <si>
    <t>ONB-0059</t>
  </si>
  <si>
    <t>ONB-0060</t>
  </si>
  <si>
    <t>ONB-0061</t>
  </si>
  <si>
    <t>ONB-0062</t>
  </si>
  <si>
    <t>ONB-0063</t>
  </si>
  <si>
    <t>ONB-0064</t>
  </si>
  <si>
    <t>ONB-0065</t>
  </si>
  <si>
    <t>ONB-0066</t>
  </si>
  <si>
    <t>ONB-0067</t>
  </si>
  <si>
    <t>ONB-0068</t>
  </si>
  <si>
    <t>ONB-0069</t>
  </si>
  <si>
    <t>ONB-0070</t>
  </si>
  <si>
    <t>ONB-0071</t>
  </si>
  <si>
    <t>ONB-0072</t>
  </si>
  <si>
    <t>ONB-0073</t>
  </si>
  <si>
    <t>ONB-0074</t>
  </si>
  <si>
    <t>ONB-0075</t>
  </si>
  <si>
    <t>ONB-0076</t>
  </si>
  <si>
    <t>ONB-0077</t>
  </si>
  <si>
    <t>ONB-0078</t>
  </si>
  <si>
    <t>ONB-0079</t>
  </si>
  <si>
    <t>ONB-0080</t>
  </si>
  <si>
    <t>Attrition Tracker</t>
  </si>
  <si>
    <t>Separation records used for attrition, regrettable attrition, reason analysis, and replacement needs.</t>
  </si>
  <si>
    <t>ATR-0002</t>
  </si>
  <si>
    <t>Personal reason</t>
  </si>
  <si>
    <t>ATR-0003</t>
  </si>
  <si>
    <t>Not Applicable</t>
  </si>
  <si>
    <t>Released</t>
  </si>
  <si>
    <t>ATR-0004</t>
  </si>
  <si>
    <t>Role mismatch</t>
  </si>
  <si>
    <t>ATR-0005</t>
  </si>
  <si>
    <t>Workload concerns</t>
  </si>
  <si>
    <t>ATR-0006</t>
  </si>
  <si>
    <t>Performance review</t>
  </si>
  <si>
    <t>ATR-0007</t>
  </si>
  <si>
    <t>Better opportunity</t>
  </si>
  <si>
    <t>Completed</t>
  </si>
  <si>
    <t>ATR-0008</t>
  </si>
  <si>
    <t>ATR-0009</t>
  </si>
  <si>
    <t>Processing</t>
  </si>
  <si>
    <t>ATR-0010</t>
  </si>
  <si>
    <t>ATR-0011</t>
  </si>
  <si>
    <t>ATR-0012</t>
  </si>
  <si>
    <t>ATR-0013</t>
  </si>
  <si>
    <t>ATR-0014</t>
  </si>
  <si>
    <t>Policy Violation</t>
  </si>
  <si>
    <t>ATR-0015</t>
  </si>
  <si>
    <t>ATR-0016</t>
  </si>
  <si>
    <t>ATR-0017</t>
  </si>
  <si>
    <t>ATR-0018</t>
  </si>
  <si>
    <t>ATR-0019</t>
  </si>
  <si>
    <t>ATR-0020</t>
  </si>
  <si>
    <t>ATR-0021</t>
  </si>
  <si>
    <t>ATR-0022</t>
  </si>
  <si>
    <t>ATR-0023</t>
  </si>
  <si>
    <t>ATR-0024</t>
  </si>
  <si>
    <t>ATR-0025</t>
  </si>
  <si>
    <t>ATR-0026</t>
  </si>
  <si>
    <t>ATR-0027</t>
  </si>
  <si>
    <t>ATR-0028</t>
  </si>
  <si>
    <t>ATR-0029</t>
  </si>
  <si>
    <t>ATR-0030</t>
  </si>
  <si>
    <t>ATR-0031</t>
  </si>
  <si>
    <t>ATR-0032</t>
  </si>
  <si>
    <t>ATR-0033</t>
  </si>
  <si>
    <t>ATR-0034</t>
  </si>
  <si>
    <t>ATR-0035</t>
  </si>
  <si>
    <t>ATR-0036</t>
  </si>
  <si>
    <t>ATR-0037</t>
  </si>
  <si>
    <t>ATR-0038</t>
  </si>
  <si>
    <t>ATR-0039</t>
  </si>
  <si>
    <t>ATR-0040</t>
  </si>
  <si>
    <t>ATR-0041</t>
  </si>
  <si>
    <t>ATR-0042</t>
  </si>
  <si>
    <t>ATR-0043</t>
  </si>
  <si>
    <t>ATR-0044</t>
  </si>
  <si>
    <t>ATR-0045</t>
  </si>
  <si>
    <t>ATR-0046</t>
  </si>
  <si>
    <t>ATR-0047</t>
  </si>
  <si>
    <t>ATR-0048</t>
  </si>
  <si>
    <t>Productivity Inputs</t>
  </si>
  <si>
    <t>Monthly workload/output indicators for workforce efficiency analytics.</t>
  </si>
  <si>
    <t>PRD-0002</t>
  </si>
  <si>
    <t>PRD-0003</t>
  </si>
  <si>
    <t>PRD-0004</t>
  </si>
  <si>
    <t>PRD-0005</t>
  </si>
  <si>
    <t>PRD-0006</t>
  </si>
  <si>
    <t>PRD-0007</t>
  </si>
  <si>
    <t>PRD-0008</t>
  </si>
  <si>
    <t>PRD-0009</t>
  </si>
  <si>
    <t>PRD-0010</t>
  </si>
  <si>
    <t>PRD-0011</t>
  </si>
  <si>
    <t>PRD-0012</t>
  </si>
  <si>
    <t>PRD-0013</t>
  </si>
  <si>
    <t>PRD-0014</t>
  </si>
  <si>
    <t>PRD-0015</t>
  </si>
  <si>
    <t>PRD-0016</t>
  </si>
  <si>
    <t>PRD-0017</t>
  </si>
  <si>
    <t>PRD-0018</t>
  </si>
  <si>
    <t>PRD-0019</t>
  </si>
  <si>
    <t>PRD-0020</t>
  </si>
  <si>
    <t>PRD-0021</t>
  </si>
  <si>
    <t>PRD-0022</t>
  </si>
  <si>
    <t>PRD-0023</t>
  </si>
  <si>
    <t>PRD-0024</t>
  </si>
  <si>
    <t>PRD-0025</t>
  </si>
  <si>
    <t>PRD-0026</t>
  </si>
  <si>
    <t>PRD-0027</t>
  </si>
  <si>
    <t>PRD-0028</t>
  </si>
  <si>
    <t>PRD-0029</t>
  </si>
  <si>
    <t>PRD-0030</t>
  </si>
  <si>
    <t>PRD-0031</t>
  </si>
  <si>
    <t>PRD-0032</t>
  </si>
  <si>
    <t>PRD-0033</t>
  </si>
  <si>
    <t>PRD-0034</t>
  </si>
  <si>
    <t>PRD-0035</t>
  </si>
  <si>
    <t>PRD-0036</t>
  </si>
  <si>
    <t>PRD-0037</t>
  </si>
  <si>
    <t>PRD-0038</t>
  </si>
  <si>
    <t>PRD-0039</t>
  </si>
  <si>
    <t>PRD-0040</t>
  </si>
  <si>
    <t>PRD-0041</t>
  </si>
  <si>
    <t>PRD-0042</t>
  </si>
  <si>
    <t>PRD-0043</t>
  </si>
  <si>
    <t>PRD-0044</t>
  </si>
  <si>
    <t>PRD-0045</t>
  </si>
  <si>
    <t>PRD-0046</t>
  </si>
  <si>
    <t>PRD-0047</t>
  </si>
  <si>
    <t>PRD-0048</t>
  </si>
  <si>
    <t>PRD-0049</t>
  </si>
  <si>
    <t>PRD-0050</t>
  </si>
  <si>
    <t>PRD-0051</t>
  </si>
  <si>
    <t>PRD-0052</t>
  </si>
  <si>
    <t>PRD-0053</t>
  </si>
  <si>
    <t>PRD-0054</t>
  </si>
  <si>
    <t>PRD-0055</t>
  </si>
  <si>
    <t>PRD-0056</t>
  </si>
  <si>
    <t>PRD-0057</t>
  </si>
  <si>
    <t>PRD-0058</t>
  </si>
  <si>
    <t>PRD-0059</t>
  </si>
  <si>
    <t>PRD-0060</t>
  </si>
  <si>
    <t>PRD-0061</t>
  </si>
  <si>
    <t>PRD-0062</t>
  </si>
  <si>
    <t>PRD-0063</t>
  </si>
  <si>
    <t>PRD-0064</t>
  </si>
  <si>
    <t>PRD-0065</t>
  </si>
  <si>
    <t>PRD-0066</t>
  </si>
  <si>
    <t>PRD-0067</t>
  </si>
  <si>
    <t>PRD-0068</t>
  </si>
  <si>
    <t>PRD-0069</t>
  </si>
  <si>
    <t>PRD-0070</t>
  </si>
  <si>
    <t>PRD-0071</t>
  </si>
  <si>
    <t>PRD-0072</t>
  </si>
  <si>
    <t>PRD-0073</t>
  </si>
  <si>
    <t>PRD-0074</t>
  </si>
  <si>
    <t>PRD-0075</t>
  </si>
  <si>
    <t>PRD-0076</t>
  </si>
  <si>
    <t>PRD-0077</t>
  </si>
  <si>
    <t>PRD-0078</t>
  </si>
  <si>
    <t>PRD-0079</t>
  </si>
  <si>
    <t>PRD-0080</t>
  </si>
  <si>
    <t>PRD-0081</t>
  </si>
  <si>
    <t>PRD-0082</t>
  </si>
  <si>
    <t>PRD-0083</t>
  </si>
  <si>
    <t>PRD-0084</t>
  </si>
  <si>
    <t>PRD-0085</t>
  </si>
  <si>
    <t>PRD-0086</t>
  </si>
  <si>
    <t>PRD-0087</t>
  </si>
  <si>
    <t>PRD-0088</t>
  </si>
  <si>
    <t>PRD-0089</t>
  </si>
  <si>
    <t>PRD-0090</t>
  </si>
  <si>
    <t>PRD-0091</t>
  </si>
  <si>
    <t>PRD-0092</t>
  </si>
  <si>
    <t>PRD-0093</t>
  </si>
  <si>
    <t>PRD-0094</t>
  </si>
  <si>
    <t>PRD-0095</t>
  </si>
  <si>
    <t>PRD-0096</t>
  </si>
  <si>
    <t>PRD-0097</t>
  </si>
  <si>
    <t>PRD-0098</t>
  </si>
  <si>
    <t>PRD-0099</t>
  </si>
  <si>
    <t>PRD-0100</t>
  </si>
  <si>
    <t>PRD-0101</t>
  </si>
  <si>
    <t>PRD-0102</t>
  </si>
  <si>
    <t>PRD-0103</t>
  </si>
  <si>
    <t>PRD-0104</t>
  </si>
  <si>
    <t>PRD-0105</t>
  </si>
  <si>
    <t>PRD-0106</t>
  </si>
  <si>
    <t>PRD-0107</t>
  </si>
  <si>
    <t>PRD-0108</t>
  </si>
  <si>
    <t>PRD-0109</t>
  </si>
  <si>
    <t>PRD-0110</t>
  </si>
  <si>
    <t>PRD-0111</t>
  </si>
  <si>
    <t>PRD-0112</t>
  </si>
  <si>
    <t>PRD-0113</t>
  </si>
  <si>
    <t>PRD-0114</t>
  </si>
  <si>
    <t>PRD-0115</t>
  </si>
  <si>
    <t>PRD-0116</t>
  </si>
  <si>
    <t>PRD-0117</t>
  </si>
  <si>
    <t>PRD-0118</t>
  </si>
  <si>
    <t>PRD-0119</t>
  </si>
  <si>
    <t>PRD-0120</t>
  </si>
  <si>
    <t>Headcount Snapshot</t>
  </si>
  <si>
    <t>Monthly headcount snapshots by department and job family.</t>
  </si>
  <si>
    <t>HCS-0002</t>
  </si>
  <si>
    <t>HCS-0003</t>
  </si>
  <si>
    <t>HCS-0004</t>
  </si>
  <si>
    <t>HCS-0005</t>
  </si>
  <si>
    <t>HCS-0006</t>
  </si>
  <si>
    <t>HCS-0007</t>
  </si>
  <si>
    <t>HCS-0008</t>
  </si>
  <si>
    <t>HCS-0009</t>
  </si>
  <si>
    <t>HCS-0010</t>
  </si>
  <si>
    <t>HCS-0011</t>
  </si>
  <si>
    <t>HCS-0012</t>
  </si>
  <si>
    <t>HCS-0013</t>
  </si>
  <si>
    <t>HCS-0014</t>
  </si>
  <si>
    <t>HCS-0015</t>
  </si>
  <si>
    <t>HCS-0016</t>
  </si>
  <si>
    <t>HCS-0017</t>
  </si>
  <si>
    <t>HCS-0018</t>
  </si>
  <si>
    <t>HCS-0019</t>
  </si>
  <si>
    <t>HCS-0020</t>
  </si>
  <si>
    <t>HCS-0021</t>
  </si>
  <si>
    <t>HCS-0022</t>
  </si>
  <si>
    <t>HCS-0023</t>
  </si>
  <si>
    <t>HCS-0024</t>
  </si>
  <si>
    <t>HCS-0025</t>
  </si>
  <si>
    <t>HCS-0026</t>
  </si>
  <si>
    <t>HCS-0027</t>
  </si>
  <si>
    <t>HCS-0028</t>
  </si>
  <si>
    <t>HCS-0029</t>
  </si>
  <si>
    <t>HCS-0030</t>
  </si>
  <si>
    <t>HCS-0031</t>
  </si>
  <si>
    <t>HCS-0032</t>
  </si>
  <si>
    <t>HCS-0033</t>
  </si>
  <si>
    <t>HCS-0034</t>
  </si>
  <si>
    <t>HCS-0035</t>
  </si>
  <si>
    <t>HCS-0036</t>
  </si>
  <si>
    <t>HCS-0037</t>
  </si>
  <si>
    <t>HCS-0038</t>
  </si>
  <si>
    <t>HCS-0039</t>
  </si>
  <si>
    <t>HCS-0040</t>
  </si>
  <si>
    <t>HCS-0041</t>
  </si>
  <si>
    <t>HCS-0042</t>
  </si>
  <si>
    <t>HCS-0043</t>
  </si>
  <si>
    <t>HCS-0044</t>
  </si>
  <si>
    <t>HCS-0045</t>
  </si>
  <si>
    <t>HCS-0046</t>
  </si>
  <si>
    <t>HCS-0047</t>
  </si>
  <si>
    <t>HCS-0048</t>
  </si>
  <si>
    <t>HCS-0049</t>
  </si>
  <si>
    <t>HCS-0050</t>
  </si>
  <si>
    <t>HCS-0051</t>
  </si>
  <si>
    <t>HCS-0052</t>
  </si>
  <si>
    <t>HCS-0053</t>
  </si>
  <si>
    <t>HCS-0054</t>
  </si>
  <si>
    <t>HCS-0055</t>
  </si>
  <si>
    <t>HCS-0056</t>
  </si>
  <si>
    <t>HCS-0057</t>
  </si>
  <si>
    <t>HCS-0058</t>
  </si>
  <si>
    <t>HCS-0059</t>
  </si>
  <si>
    <t>HCS-0060</t>
  </si>
  <si>
    <t>HCS-0061</t>
  </si>
  <si>
    <t>HCS-0062</t>
  </si>
  <si>
    <t>HCS-0063</t>
  </si>
  <si>
    <t>HCS-0064</t>
  </si>
  <si>
    <t>HCS-0065</t>
  </si>
  <si>
    <t>HCS-0066</t>
  </si>
  <si>
    <t>HCS-0067</t>
  </si>
  <si>
    <t>HCS-0068</t>
  </si>
  <si>
    <t>HCS-0069</t>
  </si>
  <si>
    <t>HCS-0070</t>
  </si>
  <si>
    <t>HCS-0071</t>
  </si>
  <si>
    <t>HCS-0072</t>
  </si>
  <si>
    <t>HCS-0073</t>
  </si>
  <si>
    <t>HCS-0074</t>
  </si>
  <si>
    <t>HCS-0075</t>
  </si>
  <si>
    <t>HCS-0076</t>
  </si>
  <si>
    <t>HCS-0077</t>
  </si>
  <si>
    <t>HCS-0078</t>
  </si>
  <si>
    <t>HCS-0079</t>
  </si>
  <si>
    <t>HCS-0080</t>
  </si>
  <si>
    <t>HCS-0081</t>
  </si>
  <si>
    <t>HCS-0082</t>
  </si>
  <si>
    <t>HCS-0083</t>
  </si>
  <si>
    <t>HCS-0084</t>
  </si>
  <si>
    <t>HCS-0085</t>
  </si>
  <si>
    <t>HCS-0086</t>
  </si>
  <si>
    <t>HCS-0087</t>
  </si>
  <si>
    <t>HCS-0088</t>
  </si>
  <si>
    <t>HCS-0089</t>
  </si>
  <si>
    <t>HCS-0090</t>
  </si>
  <si>
    <t>HCS-0091</t>
  </si>
  <si>
    <t>HCS-0092</t>
  </si>
  <si>
    <t>HCS-0093</t>
  </si>
  <si>
    <t>HCS-0094</t>
  </si>
  <si>
    <t>HCS-0095</t>
  </si>
  <si>
    <t>HCS-0096</t>
  </si>
  <si>
    <t>HCS-0097</t>
  </si>
  <si>
    <t>HCS-0098</t>
  </si>
  <si>
    <t>HCS-0099</t>
  </si>
  <si>
    <t>HCS-0100</t>
  </si>
  <si>
    <t>HCS-0101</t>
  </si>
  <si>
    <t>HCS-0102</t>
  </si>
  <si>
    <t>HCS-0103</t>
  </si>
  <si>
    <t>HCS-0104</t>
  </si>
  <si>
    <t>HCS-0105</t>
  </si>
  <si>
    <t>HCS-0106</t>
  </si>
  <si>
    <t>HCS-0107</t>
  </si>
  <si>
    <t>HCS-0108</t>
  </si>
  <si>
    <t>HCS-0109</t>
  </si>
  <si>
    <t>HCS-0110</t>
  </si>
  <si>
    <t>HCS-0111</t>
  </si>
  <si>
    <t>HCS-0112</t>
  </si>
  <si>
    <t>HCS-0113</t>
  </si>
  <si>
    <t>HCS-0114</t>
  </si>
  <si>
    <t>HCS-0115</t>
  </si>
  <si>
    <t>HCS-0116</t>
  </si>
  <si>
    <t>HCS-0117</t>
  </si>
  <si>
    <t>HCS-0118</t>
  </si>
  <si>
    <t>HCS-0119</t>
  </si>
  <si>
    <t>HCS-0120</t>
  </si>
  <si>
    <t>Calculation Layer</t>
  </si>
  <si>
    <t>Formula-driven helper outputs for dashboards and analysis. Do not hardcode derived values here.</t>
  </si>
  <si>
    <t>Setting</t>
  </si>
  <si>
    <t>Value</t>
  </si>
  <si>
    <t>Notes</t>
  </si>
  <si>
    <t>Reporting Start</t>
  </si>
  <si>
    <t>Used by period-based attrition and trend formulas</t>
  </si>
  <si>
    <t>Reporting End</t>
  </si>
  <si>
    <t>Update this date to refresh period metrics</t>
  </si>
  <si>
    <t>Executive KPI</t>
  </si>
  <si>
    <t>Definition</t>
  </si>
  <si>
    <t>Department</t>
  </si>
  <si>
    <t>Active HC</t>
  </si>
  <si>
    <t>Approved HC</t>
  </si>
  <si>
    <t>Vacancy Count</t>
  </si>
  <si>
    <t>Vacancy Rate</t>
  </si>
  <si>
    <t>Separations</t>
  </si>
  <si>
    <t>Attrition Rate</t>
  </si>
  <si>
    <t>Regrettable Rate</t>
  </si>
  <si>
    <t>Open Reqs</t>
  </si>
  <si>
    <t>Overdue Reqs</t>
  </si>
  <si>
    <t>Onboarding Completion</t>
  </si>
  <si>
    <t>Workload / Employee</t>
  </si>
  <si>
    <t>Risk Score</t>
  </si>
  <si>
    <t>Risk Category</t>
  </si>
  <si>
    <t>Active Headcount</t>
  </si>
  <si>
    <t>Employees currently active or on leave</t>
  </si>
  <si>
    <t>Approved Headcount</t>
  </si>
  <si>
    <t>Budgeted workforce from position master</t>
  </si>
  <si>
    <t>Approved headcount less active headcount</t>
  </si>
  <si>
    <t>Vacancies as % of approved headcount</t>
  </si>
  <si>
    <t>Open Requisitions</t>
  </si>
  <si>
    <t>Requisitions currently open</t>
  </si>
  <si>
    <t>Average Time to Fill</t>
  </si>
  <si>
    <t>Average days from approval to filled</t>
  </si>
  <si>
    <t>Average Time to Hire</t>
  </si>
  <si>
    <t>Average days from application to hire</t>
  </si>
  <si>
    <t>Offer Acceptance Rate</t>
  </si>
  <si>
    <t>Accepted offers divided by accepted + declined offers</t>
  </si>
  <si>
    <t>Total Hiring Cost</t>
  </si>
  <si>
    <t>Total recruitment-related costs</t>
  </si>
  <si>
    <t>Cost to Hire</t>
  </si>
  <si>
    <t>Hiring cost per hired candidate</t>
  </si>
  <si>
    <t>Total Separations</t>
  </si>
  <si>
    <t>Separations within reporting period</t>
  </si>
  <si>
    <t>Separations divided by active headcount</t>
  </si>
  <si>
    <t>Voluntary Attrition Rate</t>
  </si>
  <si>
    <t>Voluntary separations / active headcount</t>
  </si>
  <si>
    <t>Involuntary Attrition Rate</t>
  </si>
  <si>
    <t>Involuntary separations / active headcount</t>
  </si>
  <si>
    <t>Regrettable Attrition Rate</t>
  </si>
  <si>
    <t>Regrettable separations / active headcount</t>
  </si>
  <si>
    <t>Onboarding Completion Rate</t>
  </si>
  <si>
    <t>Average onboarding completion</t>
  </si>
  <si>
    <t>90-Day New Hire Retention</t>
  </si>
  <si>
    <t>New hires retained after 90 days</t>
  </si>
  <si>
    <t>Output per Employee</t>
  </si>
  <si>
    <t>Total output / total active headcount across productivity records</t>
  </si>
  <si>
    <t>Workload per Employee</t>
  </si>
  <si>
    <t>Total workload / total active headcount across productivity records</t>
  </si>
  <si>
    <t>Overall Workforce Risk Score</t>
  </si>
  <si>
    <t>Average of department-level workforce risk scores</t>
  </si>
  <si>
    <t>Stage</t>
  </si>
  <si>
    <t>Candidate Count</t>
  </si>
  <si>
    <t>Month</t>
  </si>
  <si>
    <t>Hires</t>
  </si>
  <si>
    <t>Total Output</t>
  </si>
  <si>
    <t>Total Workload</t>
  </si>
  <si>
    <t>Analysis Summary</t>
  </si>
  <si>
    <t>Dynamic summary tables used by dashboards. Values are formula-driven from source tables and calculation layer.</t>
  </si>
  <si>
    <t>Source / Logic</t>
  </si>
  <si>
    <t>Linked from 12_Calculation_Layer</t>
  </si>
  <si>
    <t>Attrition Reason</t>
  </si>
  <si>
    <t>Separation Count</t>
  </si>
  <si>
    <t>Share of Separations</t>
  </si>
  <si>
    <t>Candidate Source</t>
  </si>
  <si>
    <t>Total Cost</t>
  </si>
  <si>
    <t>Hired Count</t>
  </si>
  <si>
    <t>Cost per Hire</t>
  </si>
  <si>
    <t>Delayed Onboarding</t>
  </si>
  <si>
    <t>90D Retention</t>
  </si>
  <si>
    <t>Workforce Risk Ranking</t>
  </si>
  <si>
    <t>Recommended Focus</t>
  </si>
  <si>
    <t>HR Operations Dashboard</t>
  </si>
  <si>
    <t>Daily/weekly monitoring of open requisitions, pipeline activity, SLA breaches, onboarding delays, and recruiter workload.</t>
  </si>
  <si>
    <t>Delayed Open Reqs</t>
  </si>
  <si>
    <t>Active Candidates</t>
  </si>
  <si>
    <t>Pending Onboarding</t>
  </si>
  <si>
    <t>Avg Time to Hire</t>
  </si>
  <si>
    <t>Recruitment Stage</t>
  </si>
  <si>
    <t>Recruiter</t>
  </si>
  <si>
    <t>Open Reqs Assigned</t>
  </si>
  <si>
    <t>Status</t>
  </si>
  <si>
    <t>Delayed Reqs</t>
  </si>
  <si>
    <t>At Risk Reqs</t>
  </si>
  <si>
    <t>Onboarding Status</t>
  </si>
  <si>
    <t>Count</t>
  </si>
  <si>
    <t>Completion Rate</t>
  </si>
  <si>
    <t>Delayed Count</t>
  </si>
  <si>
    <t>Current Count</t>
  </si>
  <si>
    <t>Managerial Workforce Dashboard</t>
  </si>
  <si>
    <t>Department-level workforce planning, vacancy, attrition, cost, onboarding, and risk indicators.</t>
  </si>
  <si>
    <t>Avg Time to Fill</t>
  </si>
  <si>
    <t>Hiring Cost</t>
  </si>
  <si>
    <t>Cost / Hire</t>
  </si>
  <si>
    <t>Executive Workforce Dashboard</t>
  </si>
  <si>
    <t>High-level workforce health, strategic risk, hiring vs attrition trends, and recommendations.</t>
  </si>
  <si>
    <t>Regrettable Attrition</t>
  </si>
  <si>
    <t>Executive Recommendation</t>
  </si>
  <si>
    <t>Logic</t>
  </si>
  <si>
    <t>Priority</t>
  </si>
  <si>
    <t>Change Log</t>
  </si>
  <si>
    <t>Version control log for portfolio workbook changes.</t>
  </si>
  <si>
    <t>Version</t>
  </si>
  <si>
    <t>Change Summary</t>
  </si>
  <si>
    <t>2026-04-29</t>
  </si>
  <si>
    <t>Initial portfolio prototype with synthetic HR workforce records and dashboard mockups.</t>
  </si>
  <si>
    <t>Portfolio Owner</t>
  </si>
  <si>
    <t>Upgraded to dynamic formula-driven KPI cards, summaries, dashboards, QA checks, SQL-ready schema, and Power BI guide.</t>
  </si>
  <si>
    <t>Reserved for future Power BI implementation and Power Query import notes.</t>
  </si>
  <si>
    <t>QA Checks</t>
  </si>
  <si>
    <t>Formula-driven data quality controls. Issue counts update when source tables change.</t>
  </si>
  <si>
    <t>Check Name</t>
  </si>
  <si>
    <t>Issue Count</t>
  </si>
  <si>
    <t>Suggested Action</t>
  </si>
  <si>
    <t>Missing employee IDs</t>
  </si>
  <si>
    <t>COUNTBLANK employee ID</t>
  </si>
  <si>
    <t>Populate missing employee IDs.</t>
  </si>
  <si>
    <t>Duplicate employee IDs</t>
  </si>
  <si>
    <t>Employee IDs appearing more than once</t>
  </si>
  <si>
    <t>Review duplicate records and keep one stable ID per employee.</t>
  </si>
  <si>
    <t>Active employee with separation record</t>
  </si>
  <si>
    <t>Employee marked active but appears in attrition table</t>
  </si>
  <si>
    <t>Update employee status or remove invalid attrition record.</t>
  </si>
  <si>
    <t>Resigned employee without attrition record</t>
  </si>
  <si>
    <t>Resigned/terminated employee missing attrition record</t>
  </si>
  <si>
    <t>Create attrition record or correct employee status.</t>
  </si>
  <si>
    <t>Invalid hire/separation date</t>
  </si>
  <si>
    <t>Separation date earlier than hire date</t>
  </si>
  <si>
    <t>Correct date sequencing.</t>
  </si>
  <si>
    <t>Requisition without recruiter</t>
  </si>
  <si>
    <t>Non-cancelled requisition with blank recruiter</t>
  </si>
  <si>
    <t>Assign recruiter owner.</t>
  </si>
  <si>
    <t>Open requisition without approval date</t>
  </si>
  <si>
    <t>Open requisition missing approval date</t>
  </si>
  <si>
    <t>Add approval date.</t>
  </si>
  <si>
    <t>Hired candidate without hire date</t>
  </si>
  <si>
    <t>Hired candidate with blank hire date</t>
  </si>
  <si>
    <t>Enter hire date.</t>
  </si>
  <si>
    <t>Candidate linked to missing requisition</t>
  </si>
  <si>
    <t>Recruitment record REQ_ID not found in requisitions</t>
  </si>
  <si>
    <t>Correct or create linked requisition.</t>
  </si>
  <si>
    <t>Hiring cost without requisition ID</t>
  </si>
  <si>
    <t>Cost record missing REQ_ID</t>
  </si>
  <si>
    <t>Link each cost to a requisition.</t>
  </si>
  <si>
    <t>Onboarding record without employee ID</t>
  </si>
  <si>
    <t>Onboarding record missing employee ID</t>
  </si>
  <si>
    <t>Link onboarding record to employee master.</t>
  </si>
  <si>
    <t>Complete onboarding with incomplete tasks</t>
  </si>
  <si>
    <t>Marked complete but completion rate below 100%</t>
  </si>
  <si>
    <t>Review onboarding task flags.</t>
  </si>
  <si>
    <t>Attrition record without reason</t>
  </si>
  <si>
    <t>Separation record missing reason category</t>
  </si>
  <si>
    <t>Complete exit reason classification.</t>
  </si>
  <si>
    <t>Onboarding department mismatch</t>
  </si>
  <si>
    <t>Onboarding department does not match employee master department</t>
  </si>
  <si>
    <t>Align onboarding department with employee master.</t>
  </si>
  <si>
    <t>Invalid employee status values</t>
  </si>
  <si>
    <t>Employee status not in lookup list</t>
  </si>
  <si>
    <t>Use approved status values only.</t>
  </si>
  <si>
    <t>Blank required source fields</t>
  </si>
  <si>
    <t>Key required blanks across core source tables</t>
  </si>
  <si>
    <t>Populate required IDs.</t>
  </si>
  <si>
    <t>SQL-Ready Schema</t>
  </si>
  <si>
    <t>Suggested dimensional model and fact tables for SQL Server / Power BI star schema implementation.</t>
  </si>
  <si>
    <t>Table Type</t>
  </si>
  <si>
    <t>SQL Table</t>
  </si>
  <si>
    <t>Primary Key</t>
  </si>
  <si>
    <t>Foreign Keys</t>
  </si>
  <si>
    <t>Field Examples</t>
  </si>
  <si>
    <t>Source Workbook Table</t>
  </si>
  <si>
    <t>Relationship Notes</t>
  </si>
  <si>
    <t>Dimension</t>
  </si>
  <si>
    <t>dim_employee</t>
  </si>
  <si>
    <t>employee_id</t>
  </si>
  <si>
    <t>department_id, position_id</t>
  </si>
  <si>
    <t>employee_id, employee_name, hire_date, employee_status</t>
  </si>
  <si>
    <t>One row per employee; joins to attrition and onboarding.</t>
  </si>
  <si>
    <t>dim_department</t>
  </si>
  <si>
    <t>department_id</t>
  </si>
  <si>
    <t>department_id, department_name, job_family</t>
  </si>
  <si>
    <t>Conformed department dimension.</t>
  </si>
  <si>
    <t>dim_position</t>
  </si>
  <si>
    <t>position_id</t>
  </si>
  <si>
    <t>position_id, position_title, job_family, approved_headcount</t>
  </si>
  <si>
    <t>One row per position title/department.</t>
  </si>
  <si>
    <t>dim_date</t>
  </si>
  <si>
    <t>date_key</t>
  </si>
  <si>
    <t>date, month, quarter, year, month_name</t>
  </si>
  <si>
    <t>Generated date table</t>
  </si>
  <si>
    <t>Use for all date-based facts.</t>
  </si>
  <si>
    <t>dim_recruiter</t>
  </si>
  <si>
    <t>recruiter_id</t>
  </si>
  <si>
    <t>recruiter_id, recruiter_name</t>
  </si>
  <si>
    <t>tblRequisitions / tblRecruitmentPipeline</t>
  </si>
  <si>
    <t>Recruiter owner dimension.</t>
  </si>
  <si>
    <t>dim_candidate_source</t>
  </si>
  <si>
    <t>source_id</t>
  </si>
  <si>
    <t>source_name, source_type</t>
  </si>
  <si>
    <t>Candidate source dimension.</t>
  </si>
  <si>
    <t>dim_attrition_reason</t>
  </si>
  <si>
    <t>reason_id</t>
  </si>
  <si>
    <t>reason_category, reason_detail</t>
  </si>
  <si>
    <t>Reason hierarchy for exits.</t>
  </si>
  <si>
    <t>Fact</t>
  </si>
  <si>
    <t>fact_requisition</t>
  </si>
  <si>
    <t>req_id</t>
  </si>
  <si>
    <t>department_id, position_id, recruiter_id</t>
  </si>
  <si>
    <t>approval_date, status, approved_headcount, days_open, sla_status</t>
  </si>
  <si>
    <t>One row per manpower request.</t>
  </si>
  <si>
    <t>fact_application</t>
  </si>
  <si>
    <t>application_id</t>
  </si>
  <si>
    <t>req_id, source_id, recruiter_id</t>
  </si>
  <si>
    <t>stage, application_date, offer_status, hire_date, time_to_hire</t>
  </si>
  <si>
    <t>One row per candidate application.</t>
  </si>
  <si>
    <t>fact_hiring_cost</t>
  </si>
  <si>
    <t>cost_id</t>
  </si>
  <si>
    <t>req_id, department_id, position_id, source_id</t>
  </si>
  <si>
    <t>cost_date, cost_type, amount</t>
  </si>
  <si>
    <t>One row per recruitment cost transaction.</t>
  </si>
  <si>
    <t>fact_onboarding</t>
  </si>
  <si>
    <t>onboarding_id</t>
  </si>
  <si>
    <t>employee_id, department_id, position_id</t>
  </si>
  <si>
    <t>completion_rate, status, retained_90d</t>
  </si>
  <si>
    <t>One row per new hire onboarding case.</t>
  </si>
  <si>
    <t>fact_attrition</t>
  </si>
  <si>
    <t>attrition_id</t>
  </si>
  <si>
    <t>employee_id, department_id, position_id, reason_id</t>
  </si>
  <si>
    <t>separation_date, separation_type, regrettable_flag</t>
  </si>
  <si>
    <t>One row per separation.</t>
  </si>
  <si>
    <t>fact_headcount_snapshot</t>
  </si>
  <si>
    <t>snapshot_id</t>
  </si>
  <si>
    <t>department_id, position_id/date_key</t>
  </si>
  <si>
    <t>month, active_headcount, approved_headcount, vacancy_count</t>
  </si>
  <si>
    <t>Monthly workforce snapshot.</t>
  </si>
  <si>
    <t>fact_productivity</t>
  </si>
  <si>
    <t>productivity_id</t>
  </si>
  <si>
    <t>department_id/date_key</t>
  </si>
  <si>
    <t>workload_volume, output_volume, overtime_hours, absences</t>
  </si>
  <si>
    <t>Monthly productivity metrics by department.</t>
  </si>
  <si>
    <t>Power BI Model Guide</t>
  </si>
  <si>
    <t>Suggested imports, relationships, DAX measures, and visual pages for portfolio implementation.</t>
  </si>
  <si>
    <t>From Table</t>
  </si>
  <si>
    <t>From Column</t>
  </si>
  <si>
    <t>To Table</t>
  </si>
  <si>
    <t>To Column</t>
  </si>
  <si>
    <t>Relationship Guidance</t>
  </si>
  <si>
    <t>Many-to-one, single filter direction from dimension to fact</t>
  </si>
  <si>
    <t>Many-to-one</t>
  </si>
  <si>
    <t>All fact tables</t>
  </si>
  <si>
    <t>date fields</t>
  </si>
  <si>
    <t>Use inactive/active relationships as needed by measure context</t>
  </si>
  <si>
    <t>Measure</t>
  </si>
  <si>
    <t>DAX / Formula Concept</t>
  </si>
  <si>
    <t>Business Purpose</t>
  </si>
  <si>
    <t>Active Headcount = CALCULATE(COUNTROWS(dim_employee), dim_employee[employee_status] IN {"Active","On Leave"})</t>
  </si>
  <si>
    <t>Current workforce size</t>
  </si>
  <si>
    <t>Approved Headcount = SUM(dim_position[approved_headcount])</t>
  </si>
  <si>
    <t>Budgeted workforce capacity</t>
  </si>
  <si>
    <t>Vacancy Count = MAX(0, [Approved Headcount] - [Active Headcount])</t>
  </si>
  <si>
    <t>Unfilled workforce gap</t>
  </si>
  <si>
    <t>Vacancy Rate = DIVIDE([Vacancy Count], [Approved Headcount])</t>
  </si>
  <si>
    <t>Staffing gap percentage</t>
  </si>
  <si>
    <t>Open Requisitions = CALCULATE(COUNTROWS(fact_requisition), fact_requisition[req_status] = "Open")</t>
  </si>
  <si>
    <t>Active hiring demand</t>
  </si>
  <si>
    <t>Recruitment speed</t>
  </si>
  <si>
    <t>Average Time to Hire = AVERAGE(fact_application[time_to_hire_days])</t>
  </si>
  <si>
    <t>Candidate journey speed</t>
  </si>
  <si>
    <t>Offer Acceptance Rate = DIVIDE(CALCULATE(COUNTROWS(fact_application), fact_application[offer_status]="Accepted"), CALCULATE(COUNTROWS(fact_application), fact_application[offer_status] IN {"Accepted","Declined"}))</t>
  </si>
  <si>
    <t>Offer competitiveness</t>
  </si>
  <si>
    <t>Total Hiring Cost = SUM(fact_hiring_cost[amount])</t>
  </si>
  <si>
    <t>Recruitment investment</t>
  </si>
  <si>
    <t>Cost to Hire = DIVIDE([Total Hiring Cost], CALCULATE(COUNTROWS(fact_application), fact_application[current_stage]="Hired"))</t>
  </si>
  <si>
    <t>Cost efficiency</t>
  </si>
  <si>
    <t>Attrition Rate = DIVIDE(COUNTROWS(fact_attrition), [Active Headcount])</t>
  </si>
  <si>
    <t>Workforce loss rate</t>
  </si>
  <si>
    <t>Regrettable Attrition Rate = DIVIDE(CALCULATE(COUNTROWS(fact_attrition), fact_attrition[regrettable_attrition]="Yes"), [Active Headcount])</t>
  </si>
  <si>
    <t>Strategic talent loss</t>
  </si>
  <si>
    <t>Onboarding Completion Rate = AVERAGE(fact_onboarding[completion_rate])</t>
  </si>
  <si>
    <t>New hire readiness</t>
  </si>
  <si>
    <t>90D Retention = DIVIDE(CALCULATE(COUNTROWS(fact_onboarding), fact_onboarding[retained_90d]="Yes"), CALCULATE(COUNTROWS(fact_onboarding), fact_onboarding[retained_90d] IN {"Yes","No"}))</t>
  </si>
  <si>
    <t>Early retention quality</t>
  </si>
  <si>
    <t>Output per Employee = DIVIDE(SUM(fact_productivity[output_volume]), SUM(fact_productivity[active_headcount]))</t>
  </si>
  <si>
    <t>Workforce productivity</t>
  </si>
  <si>
    <t>Workload per Employee = DIVIDE(SUM(fact_productivity[workload_volume]), SUM(fact_productivity[active_headcount]))</t>
  </si>
  <si>
    <t>Capacity pressure</t>
  </si>
  <si>
    <t>Workforce Risk Score</t>
  </si>
  <si>
    <t>Risk Score = weighted combination of vacancy rate, attrition rate, regrettable attrition, overdue requisitions, onboarding completion, and workload pressure</t>
  </si>
  <si>
    <t>Executive risk prioritization</t>
  </si>
  <si>
    <t>Power BI Page</t>
  </si>
  <si>
    <t>Recommended Visuals</t>
  </si>
  <si>
    <t>Filters/Slicers</t>
  </si>
  <si>
    <t>Business Questions Answered</t>
  </si>
  <si>
    <t>HR Operations</t>
  </si>
  <si>
    <t>Open requisitions table, pipeline funnel, SLA breach card, recruiter workload bar chart</t>
  </si>
  <si>
    <t>Recruiter, Department, Requisition Status, Month</t>
  </si>
  <si>
    <t>What needs HR action this week?</t>
  </si>
  <si>
    <t>Managerial</t>
  </si>
  <si>
    <t>Headcount vs approved, vacancy rate by department, attrition by department, risk score heatmap</t>
  </si>
  <si>
    <t>Department, Job Family, Period</t>
  </si>
  <si>
    <t>Which departments need hiring or retention intervention?</t>
  </si>
  <si>
    <t>KPI cards, monthly hires vs separations, workforce risk ranking, recommendation panel</t>
  </si>
  <si>
    <t>Period, Department, Job Family</t>
  </si>
  <si>
    <t>Is workforce health improving or deteriorating?</t>
  </si>
  <si>
    <t>Portfolio Case Study</t>
  </si>
  <si>
    <t>Employer-facing project narrative and business framing.</t>
  </si>
  <si>
    <t>Section</t>
  </si>
  <si>
    <t>Details</t>
  </si>
  <si>
    <t>Project Title</t>
  </si>
  <si>
    <t>Business Problem</t>
  </si>
  <si>
    <t>A fictional mid-sized financing company lacks a centralized view of recruitment, attrition, onboarding, workforce capacity, hiring cost, and productivity indicators.</t>
  </si>
  <si>
    <t>Objective</t>
  </si>
  <si>
    <t>Create a dynamic Excel-based HR analytics system that supports HR operations, managerial workforce planning, and executive decision-making.</t>
  </si>
  <si>
    <t>Dataset Description</t>
  </si>
  <si>
    <t>Synthetic data only: 250 employees, 80 requisitions, 477 candidate applications, 160 hiring cost records, 80 onboarding cases, 48 attrition records, monthly headcount and productivity snapshots.</t>
  </si>
  <si>
    <t>Process / Workflow</t>
  </si>
  <si>
    <t>Manpower need → requisition → recruitment pipeline → offer/hire → onboarding → active workforce → attrition/productivity monitoring → dashboard reporting.</t>
  </si>
  <si>
    <t>Tools and Techniques</t>
  </si>
  <si>
    <t>Excel Tables, structured formulas, data validation, dynamic summaries, dashboard design, QA checks, SQL-ready data modeling, Power BI measure planning.</t>
  </si>
  <si>
    <t>Key KPIs</t>
  </si>
  <si>
    <t>Active headcount, vacancy rate, attrition rate, regrettable attrition, time-to-fill, time-to-hire, offer acceptance rate, cost-to-hire, onboarding completion, 90-day retention, productivity per employee, workforce risk score.</t>
  </si>
  <si>
    <t>Insights Generated</t>
  </si>
  <si>
    <t>Department-level risk ranking, hiring bottlenecks, requisition SLA exposure, attrition drivers, onboarding completion gaps, source cost efficiency, and workforce capacity pressure.</t>
  </si>
  <si>
    <t>Recommendations</t>
  </si>
  <si>
    <t>Prioritize high-risk departments, reduce delayed requisitions, improve onboarding completion, evaluate candidate source efficiency, and review departments with high attrition or workload pressure.</t>
  </si>
  <si>
    <t>Skills Demonstrated</t>
  </si>
  <si>
    <t>Business analysis, HR analytics, workforce planning, process design, Excel systems design, SQL-ready data structure, Power BI modeling, dashboarding, data quality governance.</t>
  </si>
  <si>
    <t>Data Privacy Statement</t>
  </si>
  <si>
    <t>Stage Distribution %</t>
  </si>
  <si>
    <t>Current-stage distribution; not true stage-to-stage conversion</t>
  </si>
  <si>
    <t>FILLED_DATE</t>
  </si>
  <si>
    <t>TIME_TO_FILL_DAYS</t>
  </si>
  <si>
    <t>TIME_TO_FILL_STATUS</t>
  </si>
  <si>
    <t>OPEN_REQ_AGE_DAYS</t>
  </si>
  <si>
    <t>OPEN_REQ_SLA_STATUS</t>
  </si>
  <si>
    <t>HR Operations KPI</t>
  </si>
  <si>
    <t>Delayed Open Requisitions</t>
  </si>
  <si>
    <t>Open requisitions past SLA target</t>
  </si>
  <si>
    <t>At Risk Open Requisitions</t>
  </si>
  <si>
    <t>Open requisitions nearing SLA target</t>
  </si>
  <si>
    <t>On Track Open Requisitions</t>
  </si>
  <si>
    <t>Open requisitions still within SLA</t>
  </si>
  <si>
    <t>TARGET_OPEN_STATUS</t>
  </si>
  <si>
    <t>On Track Reqs</t>
  </si>
  <si>
    <t>Stage %</t>
  </si>
  <si>
    <t>Note: Stage % reflects current-stage distribution, not true stage-to-stage conversion.</t>
  </si>
  <si>
    <t>Pipeline by Stage</t>
  </si>
  <si>
    <t>Recruiter Workload</t>
  </si>
  <si>
    <r>
      <rPr>
        <b/>
        <sz val="18"/>
        <rFont val="Calibri"/>
        <family val="2"/>
      </rPr>
      <t>Action Needed</t>
    </r>
    <r>
      <rPr>
        <sz val="18"/>
        <rFont val="Calibri"/>
        <family val="2"/>
      </rPr>
      <t xml:space="preserve">
• Follow up on 12 delayed open requisitions.
• Monitor 7 at-risk requisitions before SLA breach.
• Review 13 delayed onboarding cases."				</t>
    </r>
  </si>
  <si>
    <r>
      <t>Executive Action Summary</t>
    </r>
    <r>
      <rPr>
        <sz val="18"/>
        <rFont val="Calibri"/>
        <family val="2"/>
      </rPr>
      <t xml:space="preserve">
</t>
    </r>
    <r>
      <rPr>
        <b/>
        <sz val="18"/>
        <rFont val="Calibri"/>
        <family val="2"/>
      </rPr>
      <t xml:space="preserve">High priority: </t>
    </r>
    <r>
      <rPr>
        <sz val="18"/>
        <rFont val="Calibri"/>
        <family val="2"/>
      </rPr>
      <t>Loan Processing and Collections require workforce risk monitoring.</t>
    </r>
    <r>
      <rPr>
        <b/>
        <sz val="18"/>
        <rFont val="Calibri"/>
        <family val="2"/>
      </rPr>
      <t xml:space="preserve">
Main driver: </t>
    </r>
    <r>
      <rPr>
        <sz val="18"/>
        <rFont val="Calibri"/>
        <family val="2"/>
      </rPr>
      <t>vacancy pressure and attrition.</t>
    </r>
    <r>
      <rPr>
        <b/>
        <sz val="18"/>
        <rFont val="Calibri"/>
        <family val="2"/>
      </rPr>
      <t xml:space="preserve">
Next action: </t>
    </r>
    <r>
      <rPr>
        <sz val="18"/>
        <rFont val="Calibri"/>
        <family val="2"/>
      </rPr>
      <t>align HR and department heads on closure plan.</t>
    </r>
  </si>
  <si>
    <t>HR Workforce Analytics Tracker</t>
  </si>
  <si>
    <t>This workbook uses synthetic data only and is intended as a portfolio project to demonstrate HR analytics, workforce planning, Excel systems design, SQL-readiness, Power BI-readiness, and dashboard reporting.</t>
  </si>
  <si>
    <t>Executive KPI Helper</t>
  </si>
  <si>
    <t>Department Workforce Summary</t>
  </si>
  <si>
    <t>Recruitment Funnel Summary</t>
  </si>
  <si>
    <t>Monthly Workforce Trend</t>
  </si>
  <si>
    <t>HR Operations KPI Helper</t>
  </si>
  <si>
    <t>Settings</t>
  </si>
  <si>
    <t>Executive KPI Summary</t>
  </si>
  <si>
    <t>Attrition Reason Summary</t>
  </si>
  <si>
    <t>Hiring Cost by Source</t>
  </si>
  <si>
    <t>Onboarding by Department</t>
  </si>
  <si>
    <t>Recommendation Logic</t>
  </si>
  <si>
    <r>
      <rPr>
        <b/>
        <i/>
        <sz val="14"/>
        <rFont val="Calibri"/>
        <family val="2"/>
      </rPr>
      <t>Legends:</t>
    </r>
    <r>
      <rPr>
        <i/>
        <sz val="14"/>
        <rFont val="Calibri"/>
        <family val="2"/>
      </rPr>
      <t xml:space="preserve">
R = Responsible
A = Accountable
C = Consulted
I = Informed</t>
    </r>
  </si>
  <si>
    <t>Yes-No</t>
  </si>
  <si>
    <t>Required only if OFFER_STATUS is Accepted/Declined/Pending</t>
  </si>
  <si>
    <t>Required only if CURRENT_STAGE = Hired</t>
  </si>
  <si>
    <t>Required only if CURRENT_STAGE = Rejected</t>
  </si>
  <si>
    <t>Required only if CURRENT_STAGE = Withdrawn</t>
  </si>
  <si>
    <t>Required only if ONBOARDING_STATUS = Complete</t>
  </si>
  <si>
    <t>Usually conditional/post-exit tracking, not always core required</t>
  </si>
  <si>
    <t>Should be No/Conditional, because top-level employees may not have one</t>
  </si>
  <si>
    <t>Conditional</t>
  </si>
  <si>
    <t>Date when the requisition was successfully filled or closed with a hired candidate.</t>
  </si>
  <si>
    <t>Number of calendar days from requisition approval date to filled date. Used to measure recruitment turnaround time.</t>
  </si>
  <si>
    <t>Formula-driven SLA classification showing whether the requisition was filled within the target time-to-fill.</t>
  </si>
  <si>
    <t>Required if REQ_STATUS = Filled</t>
  </si>
  <si>
    <t>Formula-driven; FILLED_DATE - APPROVAL_DATE</t>
  </si>
  <si>
    <t>Formula-driven; compare TIME_TO_FILL_DAYS against SLA_TARGET_DAYS</t>
  </si>
  <si>
    <t>Department linked to the requisition based on REQ_ID. Used for department-level recruitment reporting and analysis.</t>
  </si>
  <si>
    <t>Formula-driven lookup from tblRequisitions using REQ_ID</t>
  </si>
  <si>
    <t>Moderate</t>
  </si>
  <si>
    <t>Monthly Trend</t>
  </si>
  <si>
    <t>Cost Type</t>
  </si>
  <si>
    <t>Attrition Reason Category</t>
  </si>
  <si>
    <r>
      <rPr>
        <b/>
        <sz val="18"/>
        <rFont val="Calibri"/>
        <family val="2"/>
      </rPr>
      <t>Action Needed</t>
    </r>
    <r>
      <rPr>
        <sz val="18"/>
        <rFont val="Calibri"/>
        <family val="2"/>
      </rPr>
      <t xml:space="preserve">
• Prioritize 12 delayed open requisitions.
• Monitor 7 at-risk requisitions before SLA breach.
• Maintain onboarding controls; no delayed onboarding cases currently flagged.</t>
    </r>
  </si>
  <si>
    <r>
      <rPr>
        <b/>
        <sz val="14"/>
        <color rgb="FF4B5563"/>
        <rFont val="Calibri"/>
        <family val="2"/>
      </rPr>
      <t>Model Notes</t>
    </r>
    <r>
      <rPr>
        <sz val="14"/>
        <color rgb="FF4B5563"/>
        <rFont val="Calibri"/>
        <family val="2"/>
      </rPr>
      <t xml:space="preserve">
• Use dim_date for all date-based facts.
• Department and position dimensions should use stable surrogate keys in production.
• Fact tables should keep transactional grain: one row per application, requisition, cost, onboarding record, attrition record, productivity month, or headcount snapshot.
• Excel source tables are synthetic and designed for SQL/Power BI migration.</t>
    </r>
  </si>
  <si>
    <t>Average Time to Fill = AVERAGEX(FILTER(fact_requisition, fact_requisition[req_status] = "Filled"),fact_requisition[time_to_fill_days])</t>
  </si>
  <si>
    <t>Use req_id as a shared business key. In Power BI, prefer dimension-based filtering through department, position, recruiter, source, and date. Use fact-to-fact relationships carefully or keep req_id as a drill-through/reference key.</t>
  </si>
  <si>
    <t>Table</t>
  </si>
  <si>
    <t>Grain</t>
  </si>
  <si>
    <t>One row per employee</t>
  </si>
  <si>
    <t>One row per department</t>
  </si>
  <si>
    <t>One row per position</t>
  </si>
  <si>
    <t>One row per manpower request</t>
  </si>
  <si>
    <t>One row per candidate application</t>
  </si>
  <si>
    <t>One row per hiring cost transaction</t>
  </si>
  <si>
    <t>One row per new hire onboarding record</t>
  </si>
  <si>
    <t>One row per separation record</t>
  </si>
  <si>
    <t>One row per department/month snapshot</t>
  </si>
  <si>
    <t>One row per department/month productivity record</t>
  </si>
  <si>
    <r>
      <rPr>
        <b/>
        <i/>
        <sz val="14"/>
        <color rgb="FF4B5563"/>
        <rFont val="Calibri"/>
        <family val="2"/>
      </rPr>
      <t>Power Query Preparation Notes</t>
    </r>
    <r>
      <rPr>
        <i/>
        <sz val="14"/>
        <color rgb="FF4B5563"/>
        <rFont val="Calibri"/>
        <family val="2"/>
      </rPr>
      <t xml:space="preserve">
• Import Excel Tables only, not entire worksheets.
• Set correct data types before loading.
• Trim and clean text fields.
• Validate relationship keys before model load.
• Disable load for staging/helper queries if needed.
• Keep dimension tables unique by key.</t>
    </r>
  </si>
  <si>
    <t>My Role</t>
  </si>
  <si>
    <t>Designed the workbook architecture, synthetic data model, source tables, calculation layer, dashboards, QA checks, SQL schema, and Power BI model guide.</t>
  </si>
  <si>
    <t>Deliverables</t>
  </si>
  <si>
    <t>Excel tracker, dynamic calculation layer, HR Operations Dashboard, Managerial Dashboard, Executive Dashboard, QA checks, SQL-ready schema, Power BI model guide, data dictionary, and case study documentation.</t>
  </si>
  <si>
    <t>Business Impact / Value</t>
  </si>
  <si>
    <t>Provides centralized visibility into workforce capacity, recruitment bottlenecks, attrition risk, onboarding completion, hiring cost efficiency, and department-level workforce risk.</t>
  </si>
  <si>
    <t>Dashboard Screenshot Placeholders</t>
  </si>
  <si>
    <t>Insert screenshots of HR Ops, Managerial, and Executive dashboards when exporting this workbook as a portfolio case study.</t>
  </si>
  <si>
    <t>Limitations</t>
  </si>
  <si>
    <t>Uses synthetic data only; metrics are designed for portfolio demonstration and should be adapted to actual HR policies, SLA rules, and production data governance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</si>
</sst>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₱&quot;#,##0.00_);[Red]\(&quot;₱&quot;#,##0.00\)"/>
    <numFmt numFmtId="44" formatCode="_(&quot;₱&quot;* #,##0.00_);_(&quot;₱&quot;* \(#,##0.00\);_(&quot;₱&quot;* &quot;-&quot;??_);_(@_)"/>
    <numFmt numFmtId="164" formatCode="yyyy\-mm\-dd"/>
    <numFmt numFmtId="165" formatCode="0.0%"/>
    <numFmt numFmtId="166" formatCode="yyyy\-mm"/>
    <numFmt numFmtId="167" formatCode="0.0"/>
    <numFmt numFmtId="168" formatCode="&quot;₱&quot;#,##0"/>
    <numFmt numFmtId="169" formatCode="&quot;₱&quot;#,##0;[Red]&quot;₱&quot;#,##0"/>
    <numFmt numFmtId="170" formatCode="yyyy\-mm\-d"/>
  </numFmts>
  <fonts count="35">
    <font>
      <sz val="11"/>
      <name val="Carlito"/>
    </font>
    <font>
      <b/>
      <sz val="16"/>
      <color rgb="FF111827"/>
      <name val="Carlito"/>
    </font>
    <font>
      <sz val="11"/>
      <name val="Carlito"/>
    </font>
    <font>
      <sz val="11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8"/>
      <name val="Calibri"/>
      <family val="2"/>
    </font>
    <font>
      <b/>
      <sz val="28"/>
      <color rgb="FF111827"/>
      <name val="Carlito"/>
    </font>
    <font>
      <b/>
      <sz val="24"/>
      <color rgb="FF1F2937"/>
      <name val="Calibri"/>
      <family val="2"/>
    </font>
    <font>
      <sz val="14"/>
      <name val="Carlito"/>
    </font>
    <font>
      <sz val="12"/>
      <name val="Carlito"/>
    </font>
    <font>
      <b/>
      <sz val="24"/>
      <name val="Calibri"/>
      <family val="2"/>
    </font>
    <font>
      <i/>
      <sz val="12"/>
      <name val="Calibri"/>
      <family val="2"/>
    </font>
    <font>
      <b/>
      <sz val="18"/>
      <name val="Calibri"/>
      <family val="2"/>
    </font>
    <font>
      <b/>
      <sz val="28"/>
      <color rgb="FF111827"/>
      <name val="Calibri"/>
      <family val="2"/>
    </font>
    <font>
      <i/>
      <sz val="18"/>
      <color rgb="FF4B5563"/>
      <name val="Calibri"/>
      <family val="2"/>
    </font>
    <font>
      <b/>
      <sz val="34"/>
      <color rgb="FF111827"/>
      <name val="Calibri"/>
      <family val="2"/>
    </font>
    <font>
      <b/>
      <sz val="34"/>
      <color rgb="FF111827"/>
      <name val="Carlito"/>
    </font>
    <font>
      <i/>
      <sz val="18"/>
      <color rgb="FF374151"/>
      <name val="Calibri"/>
      <family val="2"/>
    </font>
    <font>
      <i/>
      <sz val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1F2937"/>
      <name val="Calibri"/>
      <family val="2"/>
    </font>
    <font>
      <b/>
      <sz val="16"/>
      <color rgb="FF111827"/>
      <name val="Calibri"/>
      <family val="2"/>
    </font>
    <font>
      <i/>
      <sz val="10"/>
      <color rgb="FF374151"/>
      <name val="Calibri"/>
      <family val="2"/>
    </font>
    <font>
      <sz val="8"/>
      <name val="Carlito"/>
    </font>
    <font>
      <b/>
      <sz val="11"/>
      <name val="Calibri"/>
      <family val="2"/>
    </font>
    <font>
      <i/>
      <sz val="14"/>
      <name val="Calibri"/>
      <family val="2"/>
    </font>
    <font>
      <b/>
      <i/>
      <sz val="14"/>
      <name val="Calibri"/>
      <family val="2"/>
    </font>
    <font>
      <sz val="10"/>
      <name val="Calibri"/>
      <family val="2"/>
    </font>
    <font>
      <i/>
      <sz val="14"/>
      <color rgb="FF4B5563"/>
      <name val="Calibri"/>
      <family val="2"/>
    </font>
    <font>
      <sz val="14"/>
      <color rgb="FF4B5563"/>
      <name val="Calibri"/>
      <family val="2"/>
    </font>
    <font>
      <b/>
      <sz val="14"/>
      <color rgb="FF4B5563"/>
      <name val="Calibri"/>
      <family val="2"/>
    </font>
    <font>
      <sz val="10"/>
      <name val="Arial Unicode MS"/>
      <family val="2"/>
    </font>
    <font>
      <b/>
      <i/>
      <sz val="14"/>
      <color rgb="FF4B5563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3F6FA"/>
      </patternFill>
    </fill>
    <fill>
      <patternFill patternType="solid">
        <fgColor rgb="FFF9FAFB"/>
      </patternFill>
    </fill>
    <fill>
      <patternFill patternType="solid">
        <fgColor rgb="FFDDEBF7"/>
      </patternFill>
    </fill>
    <fill>
      <patternFill patternType="solid">
        <fgColor rgb="FFEFF6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E7F7"/>
        <bgColor indexed="64"/>
      </patternFill>
    </fill>
    <fill>
      <patternFill patternType="solid">
        <fgColor rgb="FFEAF6FD"/>
        <bgColor indexed="64"/>
      </patternFill>
    </fill>
    <fill>
      <patternFill patternType="solid">
        <fgColor rgb="FFF8C7C7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E7A3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CDECCF"/>
        <bgColor indexed="64"/>
      </patternFill>
    </fill>
    <fill>
      <patternFill patternType="solid">
        <fgColor rgb="FFEEF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EF3F8"/>
        <bgColor indexed="64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BFDBFE"/>
      </right>
      <top/>
      <bottom style="thin">
        <color rgb="FFBFDBF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BFDBFE"/>
      </top>
      <bottom/>
      <diagonal/>
    </border>
    <border>
      <left/>
      <right/>
      <top/>
      <bottom style="thin">
        <color rgb="FFBFDBFE"/>
      </bottom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rgb="FF4BBBEF"/>
      </top>
      <bottom/>
      <diagonal/>
    </border>
    <border>
      <left/>
      <right/>
      <top style="thin">
        <color rgb="FFE15759"/>
      </top>
      <bottom/>
      <diagonal/>
    </border>
    <border>
      <left/>
      <right/>
      <top/>
      <bottom style="thin">
        <color rgb="FFE15759"/>
      </bottom>
      <diagonal/>
    </border>
    <border>
      <left/>
      <right/>
      <top style="thin">
        <color rgb="FFF2B701"/>
      </top>
      <bottom/>
      <diagonal/>
    </border>
    <border>
      <left/>
      <right/>
      <top/>
      <bottom style="thin">
        <color rgb="FFF2B701"/>
      </bottom>
      <diagonal/>
    </border>
    <border>
      <left/>
      <right/>
      <top style="thin">
        <color rgb="FF4BBBEF"/>
      </top>
      <bottom/>
      <diagonal/>
    </border>
    <border>
      <left/>
      <right/>
      <top/>
      <bottom style="thin">
        <color rgb="FF4BBBEF"/>
      </bottom>
      <diagonal/>
    </border>
    <border>
      <left/>
      <right/>
      <top/>
      <bottom style="thin">
        <color rgb="FF3FA45B"/>
      </bottom>
      <diagonal/>
    </border>
    <border>
      <left/>
      <right/>
      <top style="thin">
        <color rgb="FF3FA45B"/>
      </top>
      <bottom/>
      <diagonal/>
    </border>
    <border>
      <left/>
      <right/>
      <top style="thin">
        <color theme="7" tint="0.39994506668294322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7" tint="0.39997558519241921"/>
      </right>
      <top style="thin">
        <color rgb="FF4BBBEF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/>
      <bottom/>
      <diagonal/>
    </border>
    <border>
      <left style="thin">
        <color rgb="FFD6E1EA"/>
      </left>
      <right style="thin">
        <color rgb="FFD6E1EA"/>
      </right>
      <top style="thin">
        <color rgb="FFD6E1EA"/>
      </top>
      <bottom style="thin">
        <color rgb="FFD6E1EA"/>
      </bottom>
      <diagonal/>
    </border>
    <border>
      <left style="thin">
        <color rgb="FFD6E1EA"/>
      </left>
      <right/>
      <top style="thin">
        <color rgb="FFD6E1EA"/>
      </top>
      <bottom/>
      <diagonal/>
    </border>
    <border>
      <left/>
      <right/>
      <top style="thin">
        <color rgb="FFD6E1EA"/>
      </top>
      <bottom/>
      <diagonal/>
    </border>
    <border>
      <left style="thin">
        <color rgb="FFD6E1EA"/>
      </left>
      <right/>
      <top/>
      <bottom/>
      <diagonal/>
    </border>
    <border>
      <left/>
      <right style="thin">
        <color rgb="FFD6E1EA"/>
      </right>
      <top style="thin">
        <color rgb="FFD6E1EA"/>
      </top>
      <bottom/>
      <diagonal/>
    </border>
    <border>
      <left/>
      <right style="thin">
        <color rgb="FFD6E1EA"/>
      </right>
      <top/>
      <bottom style="thin">
        <color rgb="FFD6E1EA"/>
      </bottom>
      <diagonal/>
    </border>
    <border>
      <left style="thin">
        <color rgb="FFD6E1EA"/>
      </left>
      <right style="thin">
        <color rgb="FFD6E1EA"/>
      </right>
      <top/>
      <bottom style="thin">
        <color rgb="FFD6E1EA"/>
      </bottom>
      <diagonal/>
    </border>
    <border>
      <left style="thin">
        <color rgb="FFD6E1EA"/>
      </left>
      <right/>
      <top/>
      <bottom style="thin">
        <color rgb="FFD6E1EA"/>
      </bottom>
      <diagonal/>
    </border>
    <border>
      <left/>
      <right style="thin">
        <color rgb="FFD6E1EA"/>
      </right>
      <top style="thin">
        <color rgb="FFD6E1EA"/>
      </top>
      <bottom style="thin">
        <color rgb="FFD6E1EA"/>
      </bottom>
      <diagonal/>
    </border>
    <border>
      <left style="thin">
        <color rgb="FFD6E1EA"/>
      </left>
      <right/>
      <top style="thin">
        <color rgb="FFD6E1EA"/>
      </top>
      <bottom style="thin">
        <color rgb="FFD6E1EA"/>
      </bottom>
      <diagonal/>
    </border>
    <border>
      <left style="thin">
        <color rgb="FFD6E1EA"/>
      </left>
      <right style="thin">
        <color rgb="FFD6E1EA"/>
      </right>
      <top style="thin">
        <color rgb="FFD6E1EA"/>
      </top>
      <bottom/>
      <diagonal/>
    </border>
    <border>
      <left style="thin">
        <color rgb="FF9FB6C9"/>
      </left>
      <right style="thin">
        <color rgb="FFD6E1EA"/>
      </right>
      <top style="thin">
        <color rgb="FF9FB6C9"/>
      </top>
      <bottom style="thin">
        <color rgb="FFD6E1EA"/>
      </bottom>
      <diagonal/>
    </border>
    <border>
      <left/>
      <right/>
      <top/>
      <bottom style="thin">
        <color rgb="FFD6E1EA"/>
      </bottom>
      <diagonal/>
    </border>
    <border>
      <left/>
      <right/>
      <top style="thin">
        <color rgb="FFD6E1EA"/>
      </top>
      <bottom style="thin">
        <color rgb="FFD6E1EA"/>
      </bottom>
      <diagonal/>
    </border>
    <border>
      <left style="thin">
        <color rgb="FFD6E1EA"/>
      </left>
      <right style="thin">
        <color rgb="FF9FB6C9"/>
      </right>
      <top style="thin">
        <color rgb="FFD6E1EA"/>
      </top>
      <bottom style="thin">
        <color rgb="FF9FB6C9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D6E1EA"/>
      </left>
      <right style="thin">
        <color rgb="FF9FB6C9"/>
      </right>
      <top style="thin">
        <color rgb="FFD6E1EA"/>
      </top>
      <bottom/>
      <diagonal/>
    </border>
    <border>
      <left style="thin">
        <color rgb="FFD6E1EA"/>
      </left>
      <right/>
      <top style="thin">
        <color rgb="FFD6E1EA"/>
      </top>
      <bottom style="thin">
        <color rgb="FF9FB6C9"/>
      </bottom>
      <diagonal/>
    </border>
    <border>
      <left style="thin">
        <color rgb="FFD6E1EA"/>
      </left>
      <right/>
      <top/>
      <bottom style="thin">
        <color rgb="FF9FB6C9"/>
      </bottom>
      <diagonal/>
    </border>
    <border>
      <left style="thin">
        <color rgb="FFD6E1EA"/>
      </left>
      <right style="thin">
        <color rgb="FF9FB6C9"/>
      </right>
      <top/>
      <bottom/>
      <diagonal/>
    </border>
    <border>
      <left style="thin">
        <color rgb="FF9FB6C9"/>
      </left>
      <right style="thin">
        <color rgb="FFD6E1EA"/>
      </right>
      <top/>
      <bottom style="thin">
        <color rgb="FFD6E1EA"/>
      </bottom>
      <diagonal/>
    </border>
    <border>
      <left style="thin">
        <color rgb="FF1F2937"/>
      </left>
      <right/>
      <top style="thin">
        <color rgb="FF1F2937"/>
      </top>
      <bottom/>
      <diagonal/>
    </border>
    <border>
      <left/>
      <right style="thin">
        <color rgb="FF1F2937"/>
      </right>
      <top style="thin">
        <color rgb="FF1F2937"/>
      </top>
      <bottom/>
      <diagonal/>
    </border>
    <border>
      <left style="thin">
        <color rgb="FF1F2937"/>
      </left>
      <right/>
      <top/>
      <bottom/>
      <diagonal/>
    </border>
    <border>
      <left/>
      <right style="thin">
        <color rgb="FF1F2937"/>
      </right>
      <top/>
      <bottom/>
      <diagonal/>
    </border>
    <border>
      <left style="thin">
        <color rgb="FF1F2937"/>
      </left>
      <right/>
      <top/>
      <bottom style="thin">
        <color rgb="FF1F2937"/>
      </bottom>
      <diagonal/>
    </border>
    <border>
      <left/>
      <right style="thin">
        <color rgb="FF1F2937"/>
      </right>
      <top/>
      <bottom style="thin">
        <color rgb="FF1F2937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3">
    <xf numFmtId="0" fontId="0" fillId="0" borderId="0" xfId="0"/>
    <xf numFmtId="0" fontId="0" fillId="0" borderId="1" xfId="0" applyBorder="1"/>
    <xf numFmtId="8" fontId="0" fillId="0" borderId="0" xfId="0" applyNumberForma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7" fillId="5" borderId="9" xfId="0" applyFont="1" applyFill="1" applyBorder="1" applyAlignment="1">
      <alignment horizontal="centerContinuous" vertical="center"/>
    </xf>
    <xf numFmtId="0" fontId="9" fillId="0" borderId="0" xfId="0" applyFont="1"/>
    <xf numFmtId="0" fontId="0" fillId="0" borderId="10" xfId="0" applyBorder="1"/>
    <xf numFmtId="0" fontId="0" fillId="0" borderId="10" xfId="0" applyBorder="1" applyAlignment="1">
      <alignment horizontal="left"/>
    </xf>
    <xf numFmtId="0" fontId="11" fillId="0" borderId="10" xfId="0" applyFont="1" applyBorder="1" applyAlignment="1">
      <alignment horizontal="left" vertical="center" indent="1"/>
    </xf>
    <xf numFmtId="0" fontId="3" fillId="0" borderId="10" xfId="0" applyFont="1" applyBorder="1"/>
    <xf numFmtId="0" fontId="10" fillId="0" borderId="0" xfId="0" applyFont="1"/>
    <xf numFmtId="0" fontId="12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165" fontId="5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Continuous"/>
    </xf>
    <xf numFmtId="0" fontId="5" fillId="0" borderId="0" xfId="0" applyFont="1" applyAlignment="1">
      <alignment horizontal="center" vertical="center"/>
    </xf>
    <xf numFmtId="0" fontId="8" fillId="7" borderId="8" xfId="0" applyFont="1" applyFill="1" applyBorder="1" applyAlignment="1">
      <alignment horizontal="centerContinuous" vertical="center"/>
    </xf>
    <xf numFmtId="0" fontId="8" fillId="9" borderId="15" xfId="0" applyFont="1" applyFill="1" applyBorder="1" applyAlignment="1">
      <alignment horizontal="centerContinuous" vertical="center"/>
    </xf>
    <xf numFmtId="0" fontId="7" fillId="10" borderId="16" xfId="0" applyFont="1" applyFill="1" applyBorder="1" applyAlignment="1">
      <alignment horizontal="centerContinuous" vertical="center"/>
    </xf>
    <xf numFmtId="0" fontId="8" fillId="11" borderId="17" xfId="0" applyFont="1" applyFill="1" applyBorder="1" applyAlignment="1">
      <alignment horizontal="centerContinuous" vertical="center"/>
    </xf>
    <xf numFmtId="0" fontId="7" fillId="12" borderId="18" xfId="0" applyFont="1" applyFill="1" applyBorder="1" applyAlignment="1">
      <alignment horizontal="centerContinuous" vertical="center"/>
    </xf>
    <xf numFmtId="0" fontId="8" fillId="7" borderId="19" xfId="0" applyFont="1" applyFill="1" applyBorder="1" applyAlignment="1">
      <alignment horizontal="centerContinuous" vertical="center"/>
    </xf>
    <xf numFmtId="0" fontId="7" fillId="8" borderId="20" xfId="0" applyFont="1" applyFill="1" applyBorder="1" applyAlignment="1">
      <alignment horizontal="centerContinuous" vertical="center"/>
    </xf>
    <xf numFmtId="0" fontId="8" fillId="6" borderId="19" xfId="0" applyFont="1" applyFill="1" applyBorder="1" applyAlignment="1">
      <alignment horizontal="centerContinuous" vertical="center"/>
    </xf>
    <xf numFmtId="0" fontId="7" fillId="5" borderId="20" xfId="0" applyFont="1" applyFill="1" applyBorder="1" applyAlignment="1">
      <alignment horizontal="centerContinuous" vertical="center"/>
    </xf>
    <xf numFmtId="0" fontId="13" fillId="4" borderId="11" xfId="0" applyFont="1" applyFill="1" applyBorder="1" applyAlignment="1">
      <alignment horizontal="centerContinuous" vertical="center"/>
    </xf>
    <xf numFmtId="0" fontId="13" fillId="4" borderId="12" xfId="0" applyFont="1" applyFill="1" applyBorder="1" applyAlignment="1">
      <alignment horizontal="centerContinuous" vertical="center"/>
    </xf>
    <xf numFmtId="0" fontId="13" fillId="4" borderId="13" xfId="0" applyFont="1" applyFill="1" applyBorder="1" applyAlignment="1">
      <alignment horizontal="centerContinuous" vertical="center"/>
    </xf>
    <xf numFmtId="0" fontId="13" fillId="4" borderId="13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0" fillId="15" borderId="0" xfId="0" applyFill="1"/>
    <xf numFmtId="0" fontId="1" fillId="5" borderId="4" xfId="0" applyFont="1" applyFill="1" applyBorder="1" applyAlignment="1">
      <alignment horizontal="centerContinuous" vertical="center"/>
    </xf>
    <xf numFmtId="9" fontId="7" fillId="12" borderId="18" xfId="1" applyFont="1" applyFill="1" applyBorder="1" applyAlignment="1">
      <alignment horizontal="centerContinuous" vertical="center"/>
    </xf>
    <xf numFmtId="0" fontId="7" fillId="14" borderId="21" xfId="0" applyFont="1" applyFill="1" applyBorder="1" applyAlignment="1">
      <alignment horizontal="centerContinuous" vertical="center"/>
    </xf>
    <xf numFmtId="9" fontId="7" fillId="10" borderId="16" xfId="1" applyFont="1" applyFill="1" applyBorder="1" applyAlignment="1">
      <alignment horizontal="centerContinuous" vertical="center"/>
    </xf>
    <xf numFmtId="167" fontId="7" fillId="12" borderId="18" xfId="1" applyNumberFormat="1" applyFont="1" applyFill="1" applyBorder="1" applyAlignment="1">
      <alignment horizontal="centerContinuous" vertical="center"/>
    </xf>
    <xf numFmtId="1" fontId="7" fillId="12" borderId="18" xfId="1" applyNumberFormat="1" applyFont="1" applyFill="1" applyBorder="1" applyAlignment="1">
      <alignment horizontal="centerContinuous" vertical="center"/>
    </xf>
    <xf numFmtId="1" fontId="7" fillId="5" borderId="20" xfId="0" applyNumberFormat="1" applyFont="1" applyFill="1" applyBorder="1" applyAlignment="1">
      <alignment horizontal="centerContinuous" vertical="center"/>
    </xf>
    <xf numFmtId="168" fontId="7" fillId="8" borderId="20" xfId="0" applyNumberFormat="1" applyFont="1" applyFill="1" applyBorder="1" applyAlignment="1">
      <alignment horizontal="centerContinuous" vertical="center"/>
    </xf>
    <xf numFmtId="0" fontId="8" fillId="13" borderId="22" xfId="0" applyFont="1" applyFill="1" applyBorder="1" applyAlignment="1">
      <alignment horizontal="centerContinuous" vertical="center"/>
    </xf>
    <xf numFmtId="9" fontId="7" fillId="14" borderId="21" xfId="1" applyFont="1" applyFill="1" applyBorder="1" applyAlignment="1">
      <alignment horizontal="centerContinuous" vertical="center"/>
    </xf>
    <xf numFmtId="0" fontId="13" fillId="4" borderId="23" xfId="0" applyFont="1" applyFill="1" applyBorder="1" applyAlignment="1">
      <alignment horizontal="centerContinuous" vertical="center"/>
    </xf>
    <xf numFmtId="0" fontId="13" fillId="4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5" fillId="3" borderId="0" xfId="0" applyFont="1" applyFill="1" applyAlignment="1">
      <alignment horizontal="centerContinuous" wrapText="1"/>
    </xf>
    <xf numFmtId="0" fontId="15" fillId="3" borderId="0" xfId="0" applyFont="1" applyFill="1" applyAlignment="1">
      <alignment horizontal="centerContinuous" vertical="center" wrapText="1"/>
    </xf>
    <xf numFmtId="0" fontId="16" fillId="2" borderId="0" xfId="0" applyFont="1" applyFill="1" applyAlignment="1">
      <alignment horizontal="centerContinuous" vertical="center"/>
    </xf>
    <xf numFmtId="0" fontId="17" fillId="2" borderId="0" xfId="0" applyFont="1" applyFill="1" applyAlignment="1">
      <alignment horizontal="centerContinuous" vertical="center"/>
    </xf>
    <xf numFmtId="0" fontId="16" fillId="2" borderId="5" xfId="0" applyFont="1" applyFill="1" applyBorder="1" applyAlignment="1">
      <alignment horizontal="centerContinuous" vertical="center"/>
    </xf>
    <xf numFmtId="0" fontId="16" fillId="2" borderId="7" xfId="0" applyFont="1" applyFill="1" applyBorder="1" applyAlignment="1">
      <alignment horizontal="centerContinuous" vertical="center"/>
    </xf>
    <xf numFmtId="0" fontId="15" fillId="3" borderId="6" xfId="0" applyFont="1" applyFill="1" applyBorder="1" applyAlignment="1">
      <alignment horizontal="centerContinuous" vertical="center" wrapText="1"/>
    </xf>
    <xf numFmtId="0" fontId="15" fillId="3" borderId="1" xfId="0" applyFont="1" applyFill="1" applyBorder="1" applyAlignment="1">
      <alignment horizontal="centerContinuous" vertical="center" wrapText="1"/>
    </xf>
    <xf numFmtId="169" fontId="5" fillId="0" borderId="0" xfId="0" applyNumberFormat="1" applyFont="1"/>
    <xf numFmtId="0" fontId="6" fillId="0" borderId="0" xfId="0" applyFont="1" applyAlignment="1">
      <alignment horizontal="left" vertical="top" wrapText="1"/>
    </xf>
    <xf numFmtId="0" fontId="16" fillId="2" borderId="0" xfId="0" applyFont="1" applyFill="1" applyAlignment="1">
      <alignment horizontal="centerContinuous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7" fontId="14" fillId="12" borderId="18" xfId="1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8" fillId="3" borderId="0" xfId="0" applyFont="1" applyFill="1" applyAlignment="1">
      <alignment horizontal="centerContinuous" vertical="center" wrapText="1"/>
    </xf>
    <xf numFmtId="0" fontId="13" fillId="4" borderId="36" xfId="0" applyFont="1" applyFill="1" applyBorder="1" applyAlignment="1">
      <alignment horizontal="centerContinuous" vertical="center"/>
    </xf>
    <xf numFmtId="0" fontId="13" fillId="4" borderId="14" xfId="0" applyFont="1" applyFill="1" applyBorder="1" applyAlignment="1">
      <alignment horizontal="centerContinuous" vertical="center"/>
    </xf>
    <xf numFmtId="0" fontId="13" fillId="4" borderId="1" xfId="0" applyFont="1" applyFill="1" applyBorder="1" applyAlignment="1">
      <alignment horizontal="centerContinuous" vertical="center"/>
    </xf>
    <xf numFmtId="0" fontId="13" fillId="4" borderId="37" xfId="0" applyFont="1" applyFill="1" applyBorder="1" applyAlignment="1">
      <alignment horizontal="centerContinuous" vertical="center"/>
    </xf>
    <xf numFmtId="0" fontId="13" fillId="4" borderId="38" xfId="0" applyFont="1" applyFill="1" applyBorder="1" applyAlignment="1">
      <alignment horizontal="centerContinuous" vertical="center"/>
    </xf>
    <xf numFmtId="0" fontId="13" fillId="0" borderId="1" xfId="0" applyFont="1" applyBorder="1" applyAlignment="1">
      <alignment horizontal="center" vertical="center"/>
    </xf>
    <xf numFmtId="0" fontId="13" fillId="4" borderId="31" xfId="0" applyFont="1" applyFill="1" applyBorder="1" applyAlignment="1">
      <alignment horizontal="centerContinuous" vertical="center"/>
    </xf>
    <xf numFmtId="0" fontId="0" fillId="0" borderId="41" xfId="0" applyBorder="1"/>
    <xf numFmtId="0" fontId="20" fillId="16" borderId="44" xfId="0" applyFont="1" applyFill="1" applyBorder="1" applyAlignment="1">
      <alignment horizontal="center" vertical="center" wrapText="1"/>
    </xf>
    <xf numFmtId="0" fontId="20" fillId="16" borderId="45" xfId="0" applyFont="1" applyFill="1" applyBorder="1" applyAlignment="1">
      <alignment horizontal="center" vertical="center" wrapText="1"/>
    </xf>
    <xf numFmtId="0" fontId="20" fillId="16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39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8" xfId="0" applyFont="1" applyBorder="1" applyAlignment="1">
      <alignment vertical="center" wrapText="1"/>
    </xf>
    <xf numFmtId="1" fontId="3" fillId="0" borderId="39" xfId="0" applyNumberFormat="1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40" xfId="0" applyFont="1" applyBorder="1" applyAlignment="1">
      <alignment vertical="center" wrapText="1"/>
    </xf>
    <xf numFmtId="0" fontId="3" fillId="0" borderId="0" xfId="0" applyFont="1"/>
    <xf numFmtId="0" fontId="3" fillId="0" borderId="2" xfId="0" applyFont="1" applyBorder="1"/>
    <xf numFmtId="164" fontId="3" fillId="0" borderId="2" xfId="0" applyNumberFormat="1" applyFont="1" applyBorder="1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164" fontId="3" fillId="0" borderId="56" xfId="0" applyNumberFormat="1" applyFont="1" applyBorder="1"/>
    <xf numFmtId="0" fontId="22" fillId="4" borderId="44" xfId="0" applyFont="1" applyFill="1" applyBorder="1" applyAlignment="1">
      <alignment horizontal="center" vertical="center" wrapText="1"/>
    </xf>
    <xf numFmtId="0" fontId="22" fillId="4" borderId="45" xfId="0" applyFont="1" applyFill="1" applyBorder="1" applyAlignment="1">
      <alignment horizontal="center" vertical="center" wrapText="1"/>
    </xf>
    <xf numFmtId="0" fontId="3" fillId="0" borderId="47" xfId="0" applyFont="1" applyBorder="1"/>
    <xf numFmtId="0" fontId="3" fillId="0" borderId="39" xfId="0" applyFont="1" applyBorder="1"/>
    <xf numFmtId="164" fontId="3" fillId="0" borderId="39" xfId="0" applyNumberFormat="1" applyFont="1" applyBorder="1"/>
    <xf numFmtId="0" fontId="3" fillId="0" borderId="48" xfId="0" applyFont="1" applyBorder="1"/>
    <xf numFmtId="0" fontId="3" fillId="0" borderId="43" xfId="0" applyFont="1" applyBorder="1"/>
    <xf numFmtId="0" fontId="3" fillId="0" borderId="49" xfId="0" applyFont="1" applyBorder="1"/>
    <xf numFmtId="164" fontId="3" fillId="0" borderId="49" xfId="0" applyNumberFormat="1" applyFont="1" applyBorder="1"/>
    <xf numFmtId="0" fontId="3" fillId="0" borderId="40" xfId="0" applyFont="1" applyBorder="1"/>
    <xf numFmtId="0" fontId="3" fillId="0" borderId="2" xfId="0" applyFont="1" applyBorder="1" applyAlignment="1">
      <alignment horizontal="center" vertical="center"/>
    </xf>
    <xf numFmtId="0" fontId="22" fillId="4" borderId="46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9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9" xfId="0" applyNumberFormat="1" applyFont="1" applyBorder="1" applyAlignment="1">
      <alignment vertical="center"/>
    </xf>
    <xf numFmtId="49" fontId="3" fillId="0" borderId="49" xfId="0" applyNumberFormat="1" applyFont="1" applyBorder="1" applyAlignment="1">
      <alignment vertical="center"/>
    </xf>
    <xf numFmtId="49" fontId="3" fillId="0" borderId="39" xfId="0" applyNumberFormat="1" applyFont="1" applyBorder="1" applyAlignment="1" applyProtection="1">
      <alignment vertical="center"/>
      <protection locked="0"/>
    </xf>
    <xf numFmtId="49" fontId="3" fillId="0" borderId="39" xfId="0" applyNumberFormat="1" applyFont="1" applyBorder="1" applyAlignment="1" applyProtection="1">
      <alignment horizontal="center" vertical="center"/>
      <protection locked="0"/>
    </xf>
    <xf numFmtId="164" fontId="3" fillId="0" borderId="39" xfId="0" applyNumberFormat="1" applyFont="1" applyBorder="1" applyAlignment="1" applyProtection="1">
      <alignment vertical="center"/>
      <protection locked="0"/>
    </xf>
    <xf numFmtId="49" fontId="3" fillId="0" borderId="49" xfId="0" applyNumberFormat="1" applyFont="1" applyBorder="1" applyAlignment="1" applyProtection="1">
      <alignment vertical="center"/>
      <protection locked="0"/>
    </xf>
    <xf numFmtId="49" fontId="3" fillId="0" borderId="49" xfId="0" applyNumberFormat="1" applyFont="1" applyBorder="1" applyAlignment="1" applyProtection="1">
      <alignment horizontal="center" vertical="center"/>
      <protection locked="0"/>
    </xf>
    <xf numFmtId="164" fontId="3" fillId="0" borderId="49" xfId="0" applyNumberFormat="1" applyFont="1" applyBorder="1" applyAlignment="1" applyProtection="1">
      <alignment vertical="center"/>
      <protection locked="0"/>
    </xf>
    <xf numFmtId="49" fontId="16" fillId="2" borderId="0" xfId="0" applyNumberFormat="1" applyFont="1" applyFill="1" applyAlignment="1">
      <alignment horizontal="centerContinuous" vertical="center"/>
    </xf>
    <xf numFmtId="49" fontId="18" fillId="3" borderId="0" xfId="0" applyNumberFormat="1" applyFont="1" applyFill="1" applyAlignment="1">
      <alignment horizontal="centerContinuous" vertical="center" wrapText="1"/>
    </xf>
    <xf numFmtId="49" fontId="3" fillId="0" borderId="0" xfId="0" applyNumberFormat="1" applyFont="1" applyAlignment="1">
      <alignment vertical="center"/>
    </xf>
    <xf numFmtId="49" fontId="22" fillId="4" borderId="44" xfId="0" applyNumberFormat="1" applyFont="1" applyFill="1" applyBorder="1" applyAlignment="1">
      <alignment horizontal="center" vertical="center" wrapText="1"/>
    </xf>
    <xf numFmtId="49" fontId="22" fillId="4" borderId="45" xfId="0" applyNumberFormat="1" applyFont="1" applyFill="1" applyBorder="1" applyAlignment="1">
      <alignment horizontal="center" vertical="center" wrapText="1"/>
    </xf>
    <xf numFmtId="49" fontId="20" fillId="16" borderId="45" xfId="0" applyNumberFormat="1" applyFont="1" applyFill="1" applyBorder="1" applyAlignment="1">
      <alignment horizontal="center" vertical="center" wrapText="1"/>
    </xf>
    <xf numFmtId="49" fontId="20" fillId="16" borderId="4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47" xfId="0" applyNumberFormat="1" applyFont="1" applyBorder="1" applyAlignment="1" applyProtection="1">
      <alignment vertical="center"/>
      <protection locked="0"/>
    </xf>
    <xf numFmtId="49" fontId="3" fillId="0" borderId="43" xfId="0" applyNumberFormat="1" applyFont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49" fontId="3" fillId="0" borderId="39" xfId="0" applyNumberFormat="1" applyFont="1" applyBorder="1" applyAlignment="1">
      <alignment vertical="center" wrapText="1"/>
    </xf>
    <xf numFmtId="49" fontId="3" fillId="0" borderId="49" xfId="0" applyNumberFormat="1" applyFont="1" applyBorder="1" applyAlignment="1">
      <alignment vertical="center" wrapText="1"/>
    </xf>
    <xf numFmtId="49" fontId="21" fillId="17" borderId="40" xfId="0" applyNumberFormat="1" applyFont="1" applyFill="1" applyBorder="1" applyAlignment="1">
      <alignment vertical="center"/>
    </xf>
    <xf numFmtId="49" fontId="21" fillId="17" borderId="58" xfId="0" applyNumberFormat="1" applyFont="1" applyFill="1" applyBorder="1" applyAlignment="1">
      <alignment vertical="center"/>
    </xf>
    <xf numFmtId="49" fontId="21" fillId="0" borderId="40" xfId="0" applyNumberFormat="1" applyFont="1" applyBorder="1" applyAlignment="1">
      <alignment vertical="center"/>
    </xf>
    <xf numFmtId="49" fontId="21" fillId="0" borderId="58" xfId="0" applyNumberFormat="1" applyFont="1" applyBorder="1" applyAlignment="1">
      <alignment vertical="center"/>
    </xf>
    <xf numFmtId="49" fontId="21" fillId="0" borderId="59" xfId="0" applyNumberFormat="1" applyFont="1" applyBorder="1" applyAlignment="1">
      <alignment vertical="center"/>
    </xf>
    <xf numFmtId="49" fontId="21" fillId="0" borderId="53" xfId="0" applyNumberFormat="1" applyFont="1" applyBorder="1" applyAlignment="1">
      <alignment vertical="center"/>
    </xf>
    <xf numFmtId="49" fontId="21" fillId="17" borderId="41" xfId="0" applyNumberFormat="1" applyFont="1" applyFill="1" applyBorder="1" applyAlignment="1">
      <alignment vertical="center"/>
    </xf>
    <xf numFmtId="49" fontId="21" fillId="0" borderId="41" xfId="0" applyNumberFormat="1" applyFont="1" applyBorder="1" applyAlignment="1">
      <alignment vertical="center"/>
    </xf>
    <xf numFmtId="49" fontId="20" fillId="16" borderId="1" xfId="0" applyNumberFormat="1" applyFont="1" applyFill="1" applyBorder="1" applyAlignment="1">
      <alignment horizontal="center" vertical="center" wrapText="1"/>
    </xf>
    <xf numFmtId="49" fontId="21" fillId="0" borderId="60" xfId="0" applyNumberFormat="1" applyFont="1" applyBorder="1" applyAlignment="1">
      <alignment vertical="center"/>
    </xf>
    <xf numFmtId="49" fontId="21" fillId="17" borderId="42" xfId="0" applyNumberFormat="1" applyFont="1" applyFill="1" applyBorder="1" applyAlignment="1">
      <alignment vertical="center"/>
    </xf>
    <xf numFmtId="49" fontId="21" fillId="0" borderId="42" xfId="0" applyNumberFormat="1" applyFont="1" applyBorder="1" applyAlignment="1">
      <alignment vertical="center"/>
    </xf>
    <xf numFmtId="49" fontId="21" fillId="0" borderId="61" xfId="0" applyNumberFormat="1" applyFont="1" applyBorder="1" applyAlignment="1">
      <alignment vertical="center"/>
    </xf>
    <xf numFmtId="49" fontId="3" fillId="0" borderId="0" xfId="0" applyNumberFormat="1" applyFont="1" applyProtection="1">
      <protection locked="0"/>
    </xf>
    <xf numFmtId="166" fontId="3" fillId="0" borderId="3" xfId="0" applyNumberFormat="1" applyFont="1" applyBorder="1"/>
    <xf numFmtId="0" fontId="22" fillId="4" borderId="51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166" fontId="3" fillId="0" borderId="57" xfId="0" applyNumberFormat="1" applyFont="1" applyBorder="1"/>
    <xf numFmtId="166" fontId="3" fillId="0" borderId="39" xfId="0" applyNumberFormat="1" applyFont="1" applyBorder="1"/>
    <xf numFmtId="166" fontId="3" fillId="0" borderId="49" xfId="0" applyNumberFormat="1" applyFont="1" applyBorder="1"/>
    <xf numFmtId="0" fontId="22" fillId="4" borderId="50" xfId="0" applyFont="1" applyFill="1" applyBorder="1" applyAlignment="1">
      <alignment horizontal="center" vertical="center" wrapText="1"/>
    </xf>
    <xf numFmtId="0" fontId="22" fillId="4" borderId="6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indent="1"/>
    </xf>
    <xf numFmtId="0" fontId="0" fillId="0" borderId="48" xfId="0" applyBorder="1" applyAlignment="1">
      <alignment vertical="center"/>
    </xf>
    <xf numFmtId="0" fontId="0" fillId="0" borderId="40" xfId="0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wrapText="1"/>
    </xf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26" fillId="18" borderId="0" xfId="1" applyFont="1" applyFill="1" applyAlignment="1">
      <alignment horizontal="center" vertical="center"/>
    </xf>
    <xf numFmtId="9" fontId="3" fillId="18" borderId="0" xfId="1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1" fontId="3" fillId="0" borderId="0" xfId="0" applyNumberFormat="1" applyFont="1"/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4" fontId="3" fillId="0" borderId="0" xfId="0" applyNumberFormat="1" applyFont="1"/>
    <xf numFmtId="0" fontId="0" fillId="0" borderId="0" xfId="0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4" fontId="3" fillId="0" borderId="39" xfId="0" applyNumberFormat="1" applyFont="1" applyBorder="1" applyAlignment="1">
      <alignment horizontal="right"/>
    </xf>
    <xf numFmtId="14" fontId="3" fillId="0" borderId="49" xfId="0" applyNumberFormat="1" applyFont="1" applyBorder="1" applyAlignment="1">
      <alignment horizontal="right"/>
    </xf>
    <xf numFmtId="0" fontId="24" fillId="0" borderId="0" xfId="0" applyFont="1" applyAlignment="1">
      <alignment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9" xfId="0" applyNumberFormat="1" applyFont="1" applyBorder="1" applyAlignment="1">
      <alignment horizontal="center" vertical="center" wrapText="1"/>
    </xf>
    <xf numFmtId="170" fontId="3" fillId="0" borderId="39" xfId="0" applyNumberFormat="1" applyFont="1" applyBorder="1" applyAlignment="1">
      <alignment vertical="center"/>
    </xf>
    <xf numFmtId="170" fontId="3" fillId="0" borderId="39" xfId="0" applyNumberFormat="1" applyFont="1" applyBorder="1" applyAlignment="1">
      <alignment horizontal="right" vertical="center"/>
    </xf>
    <xf numFmtId="49" fontId="0" fillId="0" borderId="0" xfId="0" applyNumberFormat="1" applyAlignment="1">
      <alignment vertical="center"/>
    </xf>
    <xf numFmtId="49" fontId="3" fillId="0" borderId="39" xfId="0" applyNumberFormat="1" applyFont="1" applyBorder="1" applyAlignment="1">
      <alignment horizontal="right" vertical="center"/>
    </xf>
    <xf numFmtId="44" fontId="3" fillId="0" borderId="39" xfId="0" applyNumberFormat="1" applyFont="1" applyBorder="1" applyAlignment="1">
      <alignment vertical="center"/>
    </xf>
    <xf numFmtId="10" fontId="3" fillId="0" borderId="49" xfId="0" applyNumberFormat="1" applyFont="1" applyBorder="1" applyAlignment="1">
      <alignment vertical="center"/>
    </xf>
    <xf numFmtId="49" fontId="20" fillId="16" borderId="51" xfId="0" applyNumberFormat="1" applyFont="1" applyFill="1" applyBorder="1" applyAlignment="1">
      <alignment horizontal="center" vertical="center" wrapText="1"/>
    </xf>
    <xf numFmtId="0" fontId="0" fillId="0" borderId="52" xfId="0" applyBorder="1"/>
    <xf numFmtId="0" fontId="3" fillId="0" borderId="52" xfId="0" applyFont="1" applyBorder="1"/>
    <xf numFmtId="0" fontId="3" fillId="0" borderId="41" xfId="0" applyFont="1" applyBorder="1"/>
    <xf numFmtId="0" fontId="3" fillId="18" borderId="0" xfId="0" applyFont="1" applyFill="1" applyAlignment="1">
      <alignment vertical="center"/>
    </xf>
    <xf numFmtId="0" fontId="31" fillId="0" borderId="1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3" fillId="0" borderId="47" xfId="0" applyFont="1" applyBorder="1" applyAlignment="1">
      <alignment vertical="center"/>
    </xf>
    <xf numFmtId="0" fontId="33" fillId="0" borderId="43" xfId="0" applyFont="1" applyBorder="1" applyAlignment="1">
      <alignment vertical="center"/>
    </xf>
    <xf numFmtId="0" fontId="29" fillId="0" borderId="47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25" xfId="0" applyFont="1" applyFill="1" applyBorder="1" applyAlignment="1">
      <alignment horizontal="center" vertical="center" wrapText="1"/>
    </xf>
    <xf numFmtId="0" fontId="27" fillId="3" borderId="27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>
      <alignment horizontal="center" vertical="center" wrapText="1"/>
    </xf>
    <xf numFmtId="0" fontId="27" fillId="3" borderId="30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15" fillId="3" borderId="3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3" fillId="3" borderId="32" xfId="0" applyFont="1" applyFill="1" applyBorder="1" applyAlignment="1">
      <alignment horizontal="left" vertical="center" wrapText="1"/>
    </xf>
    <xf numFmtId="0" fontId="13" fillId="3" borderId="33" xfId="0" applyFont="1" applyFill="1" applyBorder="1" applyAlignment="1">
      <alignment horizontal="lef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31" fillId="3" borderId="35" xfId="0" applyFont="1" applyFill="1" applyBorder="1" applyAlignment="1">
      <alignment horizontal="left" vertical="center" wrapText="1" indent="1"/>
    </xf>
    <xf numFmtId="0" fontId="31" fillId="3" borderId="24" xfId="0" applyFont="1" applyFill="1" applyBorder="1" applyAlignment="1">
      <alignment horizontal="left" vertical="center" wrapText="1" indent="1"/>
    </xf>
    <xf numFmtId="0" fontId="31" fillId="3" borderId="25" xfId="0" applyFont="1" applyFill="1" applyBorder="1" applyAlignment="1">
      <alignment horizontal="left" vertical="center" wrapText="1" indent="1"/>
    </xf>
    <xf numFmtId="0" fontId="31" fillId="3" borderId="27" xfId="0" applyFont="1" applyFill="1" applyBorder="1" applyAlignment="1">
      <alignment horizontal="left" vertical="center" wrapText="1" indent="1"/>
    </xf>
    <xf numFmtId="0" fontId="31" fillId="3" borderId="1" xfId="0" applyFont="1" applyFill="1" applyBorder="1" applyAlignment="1">
      <alignment horizontal="left" vertical="center" wrapText="1" indent="1"/>
    </xf>
    <xf numFmtId="0" fontId="31" fillId="3" borderId="26" xfId="0" applyFont="1" applyFill="1" applyBorder="1" applyAlignment="1">
      <alignment horizontal="left" vertical="center" wrapText="1" indent="1"/>
    </xf>
    <xf numFmtId="0" fontId="31" fillId="3" borderId="28" xfId="0" applyFont="1" applyFill="1" applyBorder="1" applyAlignment="1">
      <alignment horizontal="left" vertical="center" wrapText="1" indent="1"/>
    </xf>
    <xf numFmtId="0" fontId="31" fillId="3" borderId="29" xfId="0" applyFont="1" applyFill="1" applyBorder="1" applyAlignment="1">
      <alignment horizontal="left" vertical="center" wrapText="1" indent="1"/>
    </xf>
    <xf numFmtId="0" fontId="31" fillId="3" borderId="30" xfId="0" applyFont="1" applyFill="1" applyBorder="1" applyAlignment="1">
      <alignment horizontal="left" vertical="center" wrapText="1" indent="1"/>
    </xf>
    <xf numFmtId="0" fontId="30" fillId="3" borderId="63" xfId="0" applyFont="1" applyFill="1" applyBorder="1" applyAlignment="1">
      <alignment horizontal="left" vertical="center" wrapText="1" indent="1"/>
    </xf>
    <xf numFmtId="0" fontId="30" fillId="3" borderId="64" xfId="0" applyFont="1" applyFill="1" applyBorder="1" applyAlignment="1">
      <alignment horizontal="left" vertical="center" wrapText="1" indent="1"/>
    </xf>
    <xf numFmtId="0" fontId="30" fillId="3" borderId="65" xfId="0" applyFont="1" applyFill="1" applyBorder="1" applyAlignment="1">
      <alignment horizontal="left" vertical="center" wrapText="1" indent="1"/>
    </xf>
    <xf numFmtId="0" fontId="30" fillId="3" borderId="66" xfId="0" applyFont="1" applyFill="1" applyBorder="1" applyAlignment="1">
      <alignment horizontal="left" vertical="center" wrapText="1" indent="1"/>
    </xf>
    <xf numFmtId="0" fontId="30" fillId="3" borderId="67" xfId="0" applyFont="1" applyFill="1" applyBorder="1" applyAlignment="1">
      <alignment horizontal="left" vertical="center" wrapText="1" indent="1"/>
    </xf>
    <xf numFmtId="0" fontId="30" fillId="3" borderId="68" xfId="0" applyFont="1" applyFill="1" applyBorder="1" applyAlignment="1">
      <alignment horizontal="left" vertical="center" wrapText="1" indent="1"/>
    </xf>
    <xf numFmtId="44" fontId="3" fillId="0" borderId="39" xfId="0" applyNumberFormat="1" applyFont="1" applyBorder="1"/>
    <xf numFmtId="44" fontId="3" fillId="0" borderId="49" xfId="0" applyNumberFormat="1" applyFont="1" applyBorder="1"/>
    <xf numFmtId="165" fontId="3" fillId="0" borderId="3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165" fontId="3" fillId="0" borderId="49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9" fontId="3" fillId="0" borderId="48" xfId="0" applyNumberFormat="1" applyFont="1" applyBorder="1" applyAlignment="1">
      <alignment horizontal="center" vertical="center"/>
    </xf>
    <xf numFmtId="9" fontId="3" fillId="0" borderId="40" xfId="0" applyNumberFormat="1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167" fontId="3" fillId="0" borderId="39" xfId="0" applyNumberFormat="1" applyFont="1" applyBorder="1" applyAlignment="1">
      <alignment horizontal="center" vertical="center"/>
    </xf>
    <xf numFmtId="165" fontId="3" fillId="0" borderId="39" xfId="0" applyNumberFormat="1" applyFont="1" applyBorder="1"/>
    <xf numFmtId="167" fontId="3" fillId="0" borderId="39" xfId="0" applyNumberFormat="1" applyFont="1" applyBorder="1"/>
    <xf numFmtId="167" fontId="3" fillId="0" borderId="49" xfId="0" applyNumberFormat="1" applyFont="1" applyBorder="1" applyAlignment="1">
      <alignment horizontal="center" vertical="center"/>
    </xf>
    <xf numFmtId="167" fontId="3" fillId="0" borderId="49" xfId="0" applyNumberFormat="1" applyFont="1" applyBorder="1"/>
    <xf numFmtId="166" fontId="3" fillId="0" borderId="47" xfId="0" applyNumberFormat="1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166" fontId="3" fillId="0" borderId="43" xfId="0" applyNumberFormat="1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8" fontId="3" fillId="0" borderId="0" xfId="0" applyNumberFormat="1" applyFont="1"/>
    <xf numFmtId="170" fontId="3" fillId="0" borderId="39" xfId="0" applyNumberFormat="1" applyFont="1" applyBorder="1"/>
    <xf numFmtId="170" fontId="3" fillId="0" borderId="49" xfId="0" applyNumberFormat="1" applyFont="1" applyBorder="1"/>
    <xf numFmtId="0" fontId="3" fillId="0" borderId="31" xfId="0" applyFont="1" applyBorder="1" applyAlignment="1">
      <alignment horizontal="centerContinuous" vertical="center" wrapText="1"/>
    </xf>
    <xf numFmtId="0" fontId="3" fillId="0" borderId="31" xfId="0" applyFont="1" applyBorder="1" applyAlignment="1">
      <alignment horizontal="centerContinuous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6" fillId="0" borderId="0" xfId="0" applyFont="1"/>
    <xf numFmtId="0" fontId="3" fillId="0" borderId="1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446"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70" formatCode="yyyy\-mm\-d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6" formatCode="yyyy\-mm"/>
      <alignment vertical="center" textRotation="0" wrapText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0.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4" formatCode="_(&quot;₱&quot;* #,##0.00_);_(&quot;₱&quot;* \(#,##0.00\);_(&quot;₱&quot;* &quot;-&quot;??_);_(@_)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alignment vertical="center" textRotation="0" indent="0" justifyLastLine="0" shrinkToFit="0" readingOrder="0"/>
      <border diagonalUp="0" diagonalDown="0">
        <left style="thin">
          <color rgb="FFD6E1EA"/>
        </left>
        <right/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family val="2"/>
        <scheme val="none"/>
      </font>
      <alignment vertical="center" textRotation="0" indent="0" justifyLastLine="0" shrinkToFit="0" readingOrder="0"/>
      <border diagonalUp="0" diagonalDown="0">
        <left/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alignment vertical="center" textRotation="0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alignment vertical="center" textRotation="0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center" textRotation="0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m/d/yy"/>
      <alignment horizontal="right" vertical="bottom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71" formatCode="0.000"/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yyyy\-mm"/>
    </dxf>
    <dxf>
      <border outline="0">
        <top style="thin">
          <color rgb="FF9FB6C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4" formatCode="_(&quot;₱&quot;* #,##0.00_);_(&quot;₱&quot;* \(#,##0.00\);_(&quot;₱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4" formatCode="_(&quot;₱&quot;* #,##0.00_);_(&quot;₱&quot;* \(#,##0.00\);_(&quot;₱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top style="thin">
          <color rgb="FF9FB6C9"/>
        </top>
      </border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E5E7EB"/>
        </left>
        <right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E5E7EB"/>
        </left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right style="thin">
          <color rgb="FFE5E7EB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D6E1EA"/>
        </left>
        <right/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/>
        <right style="thin">
          <color rgb="FFD6E1EA"/>
        </right>
        <top style="thin">
          <color rgb="FFD6E1EA"/>
        </top>
        <bottom style="thin">
          <color rgb="FFD6E1EA"/>
        </bottom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  <protection locked="0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textRotation="0" indent="0" justifyLastLine="0" shrinkToFit="0" readingOrder="0"/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/>
        <right/>
        <top style="thin">
          <color rgb="FFD6E1EA"/>
        </top>
        <bottom style="thin">
          <color rgb="FFD6E1EA"/>
        </bottom>
        <vertical/>
        <horizontal style="thin">
          <color rgb="FFD6E1EA"/>
        </horizontal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diagonalUp="0" diagonalDown="0">
        <left/>
        <right/>
        <top style="thin">
          <color rgb="FFD6E1EA"/>
        </top>
        <bottom style="thin">
          <color rgb="FFD6E1EA"/>
        </bottom>
        <vertical/>
        <horizontal style="thin">
          <color rgb="FFD6E1EA"/>
        </horizontal>
      </border>
    </dxf>
    <dxf>
      <border>
        <top style="thin">
          <color rgb="FFD6E1EA"/>
        </top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6E1EA"/>
        </left>
        <right style="thin">
          <color rgb="FFD6E1EA"/>
        </right>
        <top/>
        <bottom/>
        <vertical style="thin">
          <color rgb="FFD6E1EA"/>
        </vertical>
        <horizontal style="thin">
          <color rgb="FFD6E1EA"/>
        </horizontal>
      </border>
    </dxf>
    <dxf>
      <border outline="0">
        <left style="thin">
          <color rgb="FFD6E1EA"/>
        </left>
        <right style="thin">
          <color rgb="FF9FB6C9"/>
        </righ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6E1EA"/>
        </top>
        <bottom/>
        <vertical/>
        <horizontal/>
      </border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6E1EA"/>
        </top>
        <bottom/>
        <vertical/>
        <horizontal/>
      </border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6E1EA"/>
        </top>
        <bottom/>
        <vertical/>
        <horizontal/>
      </border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6E1EA"/>
        </top>
        <bottom/>
        <vertical/>
        <horizontal/>
      </border>
    </dxf>
    <dxf>
      <border outline="0">
        <left style="thin">
          <color rgb="FFD6E1EA"/>
        </left>
        <top style="thin">
          <color rgb="FF9FB6C9"/>
        </top>
        <bottom style="thin">
          <color rgb="FFD6E1E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D6E1EA"/>
        </top>
        <bottom/>
        <vertical/>
        <horizontal/>
      </border>
    </dxf>
    <dxf>
      <border outline="0">
        <left style="thin">
          <color rgb="FF9FB6C9"/>
        </left>
        <top style="thin">
          <color rgb="FF9FB6C9"/>
        </top>
        <bottom style="thin">
          <color rgb="FF9FB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/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30" formatCode="@"/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rgb="FFD6E1EA"/>
        </right>
        <top style="thin">
          <color rgb="FFD6E1EA"/>
        </top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vertical="center" textRotation="0" indent="0" justifyLastLine="0" shrinkToFit="0" readingOrder="0"/>
    </dxf>
    <dxf>
      <border>
        <bottom style="thin">
          <color rgb="FFD6E1EA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6E1EA"/>
        </left>
        <right style="thin">
          <color rgb="FFD6E1EA"/>
        </right>
        <top/>
        <bottom/>
      </border>
    </dxf>
    <dxf>
      <border diagonalUp="0" diagonalDown="0">
        <left style="thin">
          <color rgb="FF9FB6C9"/>
        </left>
        <right style="thin">
          <color rgb="FF9FB6C9"/>
        </right>
        <top style="thin">
          <color rgb="FF9FB6C9"/>
        </top>
        <bottom style="thin">
          <color rgb="FF9FB6C9"/>
        </bottom>
      </border>
    </dxf>
    <dxf>
      <border>
        <bottom style="thin">
          <color rgb="FFD6E1EA"/>
        </bottom>
      </border>
    </dxf>
  </dxfs>
  <tableStyles count="0" defaultTableStyle="TableStyleMedium2" defaultPivotStyle="PivotStyleLight16"/>
  <colors>
    <mruColors>
      <color rgb="FF1F2937"/>
      <color rgb="FF9FB6C9"/>
      <color rgb="FFD6E1EA"/>
      <color rgb="FFEEF3F8"/>
      <color rgb="FFDDEBF7"/>
      <color rgb="FF7F8FA6"/>
      <color rgb="FF8FA8BF"/>
      <color rgb="FF4BBBEF"/>
      <color rgb="FF3FA45B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8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Pipeline by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Candidate Count</c:v>
          </c:tx>
          <c:invertIfNegative val="1"/>
          <c:cat>
            <c:strRef>
              <c:f>'14_Dashboard_HR_Ops'!$A$10:$A$15</c:f>
              <c:strCache>
                <c:ptCount val="6"/>
                <c:pt idx="0">
                  <c:v>Applied</c:v>
                </c:pt>
                <c:pt idx="1">
                  <c:v>Screened</c:v>
                </c:pt>
                <c:pt idx="2">
                  <c:v>Interview</c:v>
                </c:pt>
                <c:pt idx="3">
                  <c:v>Final Interview</c:v>
                </c:pt>
                <c:pt idx="4">
                  <c:v>Offer</c:v>
                </c:pt>
                <c:pt idx="5">
                  <c:v>Hired</c:v>
                </c:pt>
              </c:strCache>
            </c:strRef>
          </c:cat>
          <c:val>
            <c:numRef>
              <c:f>'14_Dashboard_HR_Ops'!$C$10:$C$15</c:f>
              <c:numCache>
                <c:formatCode>General</c:formatCode>
                <c:ptCount val="6"/>
                <c:pt idx="0">
                  <c:v>41</c:v>
                </c:pt>
                <c:pt idx="1">
                  <c:v>70</c:v>
                </c:pt>
                <c:pt idx="2">
                  <c:v>79</c:v>
                </c:pt>
                <c:pt idx="3">
                  <c:v>47</c:v>
                </c:pt>
                <c:pt idx="4">
                  <c:v>29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C-7B49-8FD3-3457F3F3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12700">
      <a:solidFill>
        <a:srgbClr val="D9D9D9"/>
      </a:solidFill>
      <a:prstDash val="solid"/>
    </a:ln>
    <a:effectLst>
      <a:outerShdw blurRad="165100" algn="ctr" rotWithShape="0">
        <a:prstClr val="black">
          <a:alpha val="1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8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Recruiter Active Workload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 Candidates</c:v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'14_Dashboard_HR_Ops'!$H$10:$H$13</c:f>
              <c:strCache>
                <c:ptCount val="4"/>
                <c:pt idx="0">
                  <c:v>RCR-001 Ana Reyes</c:v>
                </c:pt>
                <c:pt idx="1">
                  <c:v>RCR-002 Marco Santos</c:v>
                </c:pt>
                <c:pt idx="2">
                  <c:v>RCR-003 Leah Cruz</c:v>
                </c:pt>
                <c:pt idx="3">
                  <c:v>RCR-004 Carlo Lim</c:v>
                </c:pt>
              </c:strCache>
            </c:strRef>
          </c:cat>
          <c:val>
            <c:numRef>
              <c:f>'14_Dashboard_HR_Ops'!$J$10:$J$13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4-204B-83E8-150D8BE38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165100" algn="ctr" rotWithShape="0">
        <a:prstClr val="black">
          <a:alpha val="1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8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Headcount vs Approved HC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 HC</c:v>
          </c:tx>
          <c:invertIfNegative val="1"/>
          <c:cat>
            <c:strRef>
              <c:f>'15_Dashboard_Managerial'!$A$9:$A$18</c:f>
              <c:strCache>
                <c:ptCount val="10"/>
                <c:pt idx="0">
                  <c:v>Branch Operations</c:v>
                </c:pt>
                <c:pt idx="1">
                  <c:v>Credit Evaluation</c:v>
                </c:pt>
                <c:pt idx="2">
                  <c:v>Loan Processing</c:v>
                </c:pt>
                <c:pt idx="3">
                  <c:v>Collections</c:v>
                </c:pt>
                <c:pt idx="4">
                  <c:v>Sales &amp; Marketing</c:v>
                </c:pt>
                <c:pt idx="5">
                  <c:v>Finance</c:v>
                </c:pt>
                <c:pt idx="6">
                  <c:v>Human Resources</c:v>
                </c:pt>
                <c:pt idx="7">
                  <c:v>Information Technology</c:v>
                </c:pt>
                <c:pt idx="8">
                  <c:v>Compliance</c:v>
                </c:pt>
                <c:pt idx="9">
                  <c:v>Customer Service</c:v>
                </c:pt>
              </c:strCache>
            </c:strRef>
          </c:cat>
          <c:val>
            <c:numRef>
              <c:f>'15_Dashboard_Managerial'!$C$9:$C$18</c:f>
              <c:numCache>
                <c:formatCode>General</c:formatCode>
                <c:ptCount val="10"/>
                <c:pt idx="0">
                  <c:v>25</c:v>
                </c:pt>
                <c:pt idx="1">
                  <c:v>17</c:v>
                </c:pt>
                <c:pt idx="2">
                  <c:v>18</c:v>
                </c:pt>
                <c:pt idx="3">
                  <c:v>15</c:v>
                </c:pt>
                <c:pt idx="4">
                  <c:v>22</c:v>
                </c:pt>
                <c:pt idx="5">
                  <c:v>23</c:v>
                </c:pt>
                <c:pt idx="6">
                  <c:v>19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6-F24C-A1BB-472BCB148459}"/>
            </c:ext>
          </c:extLst>
        </c:ser>
        <c:ser>
          <c:idx val="1"/>
          <c:order val="1"/>
          <c:tx>
            <c:v>Approved HC</c:v>
          </c:tx>
          <c:invertIfNegative val="1"/>
          <c:cat>
            <c:strRef>
              <c:f>'15_Dashboard_Managerial'!$A$9:$A$18</c:f>
              <c:strCache>
                <c:ptCount val="10"/>
                <c:pt idx="0">
                  <c:v>Branch Operations</c:v>
                </c:pt>
                <c:pt idx="1">
                  <c:v>Credit Evaluation</c:v>
                </c:pt>
                <c:pt idx="2">
                  <c:v>Loan Processing</c:v>
                </c:pt>
                <c:pt idx="3">
                  <c:v>Collections</c:v>
                </c:pt>
                <c:pt idx="4">
                  <c:v>Sales &amp; Marketing</c:v>
                </c:pt>
                <c:pt idx="5">
                  <c:v>Finance</c:v>
                </c:pt>
                <c:pt idx="6">
                  <c:v>Human Resources</c:v>
                </c:pt>
                <c:pt idx="7">
                  <c:v>Information Technology</c:v>
                </c:pt>
                <c:pt idx="8">
                  <c:v>Compliance</c:v>
                </c:pt>
                <c:pt idx="9">
                  <c:v>Customer Service</c:v>
                </c:pt>
              </c:strCache>
            </c:strRef>
          </c:cat>
          <c:val>
            <c:numRef>
              <c:f>'15_Dashboard_Managerial'!$D$9:$D$18</c:f>
              <c:numCache>
                <c:formatCode>General</c:formatCode>
                <c:ptCount val="10"/>
                <c:pt idx="0">
                  <c:v>25</c:v>
                </c:pt>
                <c:pt idx="1">
                  <c:v>33</c:v>
                </c:pt>
                <c:pt idx="2">
                  <c:v>38</c:v>
                </c:pt>
                <c:pt idx="3">
                  <c:v>39</c:v>
                </c:pt>
                <c:pt idx="4">
                  <c:v>23</c:v>
                </c:pt>
                <c:pt idx="5">
                  <c:v>27</c:v>
                </c:pt>
                <c:pt idx="6">
                  <c:v>25</c:v>
                </c:pt>
                <c:pt idx="7">
                  <c:v>29</c:v>
                </c:pt>
                <c:pt idx="8">
                  <c:v>27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6-F24C-A1BB-472BCB148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101600" algn="ctr" rotWithShape="0">
        <a:prstClr val="black">
          <a:alpha val="20995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8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Workforce Risk Score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v>Risk Score</c:v>
          </c:tx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>
                    <a:latin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'15_Dashboard_Managerial'!$A$9:$A$18</c:f>
              <c:strCache>
                <c:ptCount val="10"/>
                <c:pt idx="0">
                  <c:v>Branch Operations</c:v>
                </c:pt>
                <c:pt idx="1">
                  <c:v>Credit Evaluation</c:v>
                </c:pt>
                <c:pt idx="2">
                  <c:v>Loan Processing</c:v>
                </c:pt>
                <c:pt idx="3">
                  <c:v>Collections</c:v>
                </c:pt>
                <c:pt idx="4">
                  <c:v>Sales &amp; Marketing</c:v>
                </c:pt>
                <c:pt idx="5">
                  <c:v>Finance</c:v>
                </c:pt>
                <c:pt idx="6">
                  <c:v>Human Resources</c:v>
                </c:pt>
                <c:pt idx="7">
                  <c:v>Information Technology</c:v>
                </c:pt>
                <c:pt idx="8">
                  <c:v>Compliance</c:v>
                </c:pt>
                <c:pt idx="9">
                  <c:v>Customer Service</c:v>
                </c:pt>
              </c:strCache>
            </c:strRef>
          </c:cat>
          <c:val>
            <c:numRef>
              <c:f>'15_Dashboard_Managerial'!$H$9:$H$18</c:f>
              <c:numCache>
                <c:formatCode>0</c:formatCode>
                <c:ptCount val="10"/>
                <c:pt idx="0">
                  <c:v>2.2999999999999998</c:v>
                </c:pt>
                <c:pt idx="1">
                  <c:v>25.7</c:v>
                </c:pt>
                <c:pt idx="2">
                  <c:v>43.6</c:v>
                </c:pt>
                <c:pt idx="3">
                  <c:v>41.5</c:v>
                </c:pt>
                <c:pt idx="4">
                  <c:v>12.1</c:v>
                </c:pt>
                <c:pt idx="5">
                  <c:v>16.600000000000001</c:v>
                </c:pt>
                <c:pt idx="6">
                  <c:v>19.3</c:v>
                </c:pt>
                <c:pt idx="7">
                  <c:v>19.899999999999999</c:v>
                </c:pt>
                <c:pt idx="8">
                  <c:v>12.1</c:v>
                </c:pt>
                <c:pt idx="9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61-B94D-A079-167F3D6E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101600" algn="ctr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4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Monthly Workforce Movement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Hires</c:v>
          </c:tx>
          <c:invertIfNegative val="0"/>
          <c:cat>
            <c:numRef>
              <c:f>'16_Dashboard_Executive'!$A$9:$A$20</c:f>
              <c:numCache>
                <c:formatCode>yyyy\-mm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'16_Dashboard_Executive'!$B$9:$B$20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B-3C46-B6C5-342D8FCB2B16}"/>
            </c:ext>
          </c:extLst>
        </c:ser>
        <c:ser>
          <c:idx val="1"/>
          <c:order val="1"/>
          <c:tx>
            <c:v>Separations</c:v>
          </c:tx>
          <c:invertIfNegative val="0"/>
          <c:cat>
            <c:numRef>
              <c:f>'16_Dashboard_Executive'!$A$9:$A$20</c:f>
              <c:numCache>
                <c:formatCode>yyyy\-mm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'16_Dashboard_Executive'!$C$9:$C$20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B-3C46-B6C5-342D8FCB2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v>Active HC</c:v>
          </c:tx>
          <c:marker>
            <c:symbol val="none"/>
          </c:marker>
          <c:cat>
            <c:numRef>
              <c:f>'16_Dashboard_Executive'!$A$9:$A$20</c:f>
              <c:numCache>
                <c:formatCode>yyyy\-mm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'16_Dashboard_Executive'!$D$9:$D$20</c:f>
              <c:numCache>
                <c:formatCode>General</c:formatCode>
                <c:ptCount val="12"/>
                <c:pt idx="0">
                  <c:v>207</c:v>
                </c:pt>
                <c:pt idx="1">
                  <c:v>201</c:v>
                </c:pt>
                <c:pt idx="2">
                  <c:v>205</c:v>
                </c:pt>
                <c:pt idx="3">
                  <c:v>199</c:v>
                </c:pt>
                <c:pt idx="4">
                  <c:v>195</c:v>
                </c:pt>
                <c:pt idx="5">
                  <c:v>195</c:v>
                </c:pt>
                <c:pt idx="6">
                  <c:v>205</c:v>
                </c:pt>
                <c:pt idx="7">
                  <c:v>208</c:v>
                </c:pt>
                <c:pt idx="8">
                  <c:v>199</c:v>
                </c:pt>
                <c:pt idx="9">
                  <c:v>202</c:v>
                </c:pt>
                <c:pt idx="10">
                  <c:v>197</c:v>
                </c:pt>
                <c:pt idx="11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B-3C46-B6C5-342D8FCB2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367360"/>
        <c:axId val="1837181888"/>
      </c:lineChart>
      <c:dateAx>
        <c:axId val="4865011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  <c:valAx>
        <c:axId val="1837181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983367360"/>
        <c:crosses val="max"/>
        <c:crossBetween val="between"/>
      </c:valAx>
      <c:dateAx>
        <c:axId val="1983367360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837181888"/>
        <c:crosses val="autoZero"/>
        <c:auto val="1"/>
        <c:lblOffset val="100"/>
        <c:baseTimeUnit val="months"/>
      </c:dateAx>
    </c:plotArea>
    <c:legend>
      <c:legendPos val="b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101600" algn="ctr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 sz="2400" b="1">
                <a:solidFill>
                  <a:schemeClr val="bg2">
                    <a:lumMod val="50000"/>
                  </a:scheme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Workforce Risk Score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Risk Score</c:v>
          </c:tx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8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'16_Dashboard_Executive'!$F$9:$F$18</c:f>
              <c:strCache>
                <c:ptCount val="10"/>
                <c:pt idx="0">
                  <c:v>Branch Operations</c:v>
                </c:pt>
                <c:pt idx="1">
                  <c:v>Credit Evaluation</c:v>
                </c:pt>
                <c:pt idx="2">
                  <c:v>Loan Processing</c:v>
                </c:pt>
                <c:pt idx="3">
                  <c:v>Collections</c:v>
                </c:pt>
                <c:pt idx="4">
                  <c:v>Sales &amp; Marketing</c:v>
                </c:pt>
                <c:pt idx="5">
                  <c:v>Finance</c:v>
                </c:pt>
                <c:pt idx="6">
                  <c:v>Human Resources</c:v>
                </c:pt>
                <c:pt idx="7">
                  <c:v>Information Technology</c:v>
                </c:pt>
                <c:pt idx="8">
                  <c:v>Compliance</c:v>
                </c:pt>
                <c:pt idx="9">
                  <c:v>Customer Service</c:v>
                </c:pt>
              </c:strCache>
            </c:strRef>
          </c:cat>
          <c:val>
            <c:numRef>
              <c:f>'16_Dashboard_Executive'!$G$9:$G$18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25.7</c:v>
                </c:pt>
                <c:pt idx="2">
                  <c:v>43.6</c:v>
                </c:pt>
                <c:pt idx="3">
                  <c:v>41.5</c:v>
                </c:pt>
                <c:pt idx="4">
                  <c:v>12.1</c:v>
                </c:pt>
                <c:pt idx="5">
                  <c:v>16.600000000000001</c:v>
                </c:pt>
                <c:pt idx="6">
                  <c:v>19.3</c:v>
                </c:pt>
                <c:pt idx="7">
                  <c:v>19.899999999999999</c:v>
                </c:pt>
                <c:pt idx="8">
                  <c:v>12.1</c:v>
                </c:pt>
                <c:pt idx="9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E-AB45-B252-4CA6C28D98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101600" algn="ctr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1825024</xdr:colOff>
      <xdr:row>22</xdr:row>
      <xdr:rowOff>21165</xdr:rowOff>
    </xdr:from>
    <xdr:to>
      <xdr:col>6</xdr:col>
      <xdr:colOff>1197019</xdr:colOff>
      <xdr:row>53</xdr:row>
      <xdr:rowOff>48079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1199419</xdr:colOff>
      <xdr:row>22</xdr:row>
      <xdr:rowOff>31410</xdr:rowOff>
    </xdr:from>
    <xdr:to>
      <xdr:col>13</xdr:col>
      <xdr:colOff>573563</xdr:colOff>
      <xdr:row>53</xdr:row>
      <xdr:rowOff>60874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1585274</xdr:colOff>
      <xdr:row>20</xdr:row>
      <xdr:rowOff>94572</xdr:rowOff>
    </xdr:from>
    <xdr:to>
      <xdr:col>6</xdr:col>
      <xdr:colOff>1587995</xdr:colOff>
      <xdr:row>58</xdr:row>
      <xdr:rowOff>14647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1030977</xdr:colOff>
      <xdr:row>20</xdr:row>
      <xdr:rowOff>89124</xdr:rowOff>
    </xdr:from>
    <xdr:to>
      <xdr:col>13</xdr:col>
      <xdr:colOff>1121615</xdr:colOff>
      <xdr:row>58</xdr:row>
      <xdr:rowOff>9199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2190045</xdr:colOff>
      <xdr:row>21</xdr:row>
      <xdr:rowOff>25399</xdr:rowOff>
    </xdr:from>
    <xdr:to>
      <xdr:col>6</xdr:col>
      <xdr:colOff>2246490</xdr:colOff>
      <xdr:row>52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1397000</xdr:colOff>
      <xdr:row>21</xdr:row>
      <xdr:rowOff>24152</xdr:rowOff>
    </xdr:from>
    <xdr:to>
      <xdr:col>13</xdr:col>
      <xdr:colOff>685800</xdr:colOff>
      <xdr:row>52</xdr:row>
      <xdr:rowOff>10043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blDataDictionary" displayName="tblDataDictionary" ref="A4:H135" headerRowDxfId="443" dataDxfId="441" totalsRowDxfId="439" headerRowBorderDxfId="442" tableBorderDxfId="440">
  <tableColumns count="8">
    <tableColumn id="1" xr3:uid="{00000000-0010-0000-0000-000001000000}" name="Sheet/Table" dataDxfId="438"/>
    <tableColumn id="2" xr3:uid="{00000000-0010-0000-0000-000002000000}" name="Table Name" dataDxfId="437"/>
    <tableColumn id="3" xr3:uid="{00000000-0010-0000-0000-000003000000}" name="Field Name" dataDxfId="436"/>
    <tableColumn id="4" xr3:uid="{00000000-0010-0000-0000-000004000000}" name="Description" dataDxfId="435"/>
    <tableColumn id="5" xr3:uid="{00000000-0010-0000-0000-000005000000}" name="Data Type" dataDxfId="434"/>
    <tableColumn id="6" xr3:uid="{00000000-0010-0000-0000-000006000000}" name="Required?" dataDxfId="433"/>
    <tableColumn id="7" xr3:uid="{00000000-0010-0000-0000-000007000000}" name="Example Value" dataDxfId="432"/>
    <tableColumn id="8" xr3:uid="{00000000-0010-0000-0000-000008000000}" name="Allowed Values / Notes" dataDxfId="4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404DF-345D-CF46-9BAC-1BA830DDFAF9}" name="tblDepartments" displayName="tblDepartments" ref="A4:A14" totalsRowShown="0" headerRowDxfId="430" dataDxfId="429" tableBorderDxfId="428">
  <autoFilter ref="A4:A14" xr:uid="{775404DF-345D-CF46-9BAC-1BA830DDFAF9}"/>
  <tableColumns count="1">
    <tableColumn id="1" xr3:uid="{67D89C3C-0D12-B44F-9782-592A8F06931B}" name="Departments" dataDxfId="4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3FDA0F0-A45A-1D4C-AF9D-096D1C5476A4}" name="tblJobFamilies" displayName="tblJobFamilies" ref="C4:C13" totalsRowShown="0" headerRowDxfId="426" dataDxfId="425" tableBorderDxfId="424">
  <autoFilter ref="C4:C13" xr:uid="{83FDA0F0-A45A-1D4C-AF9D-096D1C5476A4}"/>
  <tableColumns count="1">
    <tableColumn id="1" xr3:uid="{8791FAC8-A9F5-A049-A033-BEF9A671073C}" name="Job Families" dataDxfId="4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27B4CB-29B5-E24B-AF15-14985CCBE0BF}" name="tblEmploymentTypes" displayName="tblEmploymentTypes" ref="E4:E8" totalsRowShown="0" headerRowDxfId="422" tableBorderDxfId="421">
  <autoFilter ref="E4:E8" xr:uid="{1B27B4CB-29B5-E24B-AF15-14985CCBE0BF}"/>
  <tableColumns count="1">
    <tableColumn id="1" xr3:uid="{7ACC674A-060A-954C-AEEF-79EDDF75E47C}" name="Employment Typ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A4738C-28A4-1E46-8050-DC9D5B9EBAB2}" name="tblEmployeeStatuses" displayName="tblEmployeeStatuses" ref="G4:G8" totalsRowShown="0" headerRowDxfId="420" tableBorderDxfId="419">
  <autoFilter ref="G4:G8" xr:uid="{0FA4738C-28A4-1E46-8050-DC9D5B9EBAB2}"/>
  <tableColumns count="1">
    <tableColumn id="1" xr3:uid="{57394A28-AC93-7842-8B99-A88771663C09}" name="Employee Status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AB49726-6A33-A643-AD69-315F5F6BE8F6}" name="tblRecruitmentStages" displayName="tblRecruitmentStages" ref="I4:I12" totalsRowShown="0" headerRowDxfId="418" dataDxfId="417" tableBorderDxfId="416">
  <autoFilter ref="I4:I12" xr:uid="{9AB49726-6A33-A643-AD69-315F5F6BE8F6}"/>
  <tableColumns count="1">
    <tableColumn id="1" xr3:uid="{8DFA0299-1C42-5E49-822F-61261CFD9D83}" name="Recruitment Stages" dataDxfId="4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11BE0C-D5D1-F64D-8EA1-08261DAF3F78}" name="tblRequisitionStatuses" displayName="tblRequisitionStatuses" ref="K4:K8" totalsRowShown="0" headerRowDxfId="414" tableBorderDxfId="413">
  <autoFilter ref="K4:K8" xr:uid="{C811BE0C-D5D1-F64D-8EA1-08261DAF3F78}"/>
  <tableColumns count="1">
    <tableColumn id="1" xr3:uid="{70A0D63F-157A-2446-9BB5-226C65728043}" name="Requisition Status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BC127DC-6D7C-E944-B6C4-61E5AD899258}" name="tblHiringPriorities" displayName="tblHiringPriorities" ref="M4:M8" totalsRowShown="0" headerRowDxfId="412" tableBorderDxfId="411">
  <autoFilter ref="M4:M8" xr:uid="{9BC127DC-6D7C-E944-B6C4-61E5AD899258}"/>
  <tableColumns count="1">
    <tableColumn id="1" xr3:uid="{047B5708-3C14-7848-91D2-7BFE1C818BFE}" name="Hiring Prioriti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D5D1093-4DE8-BA4C-BD17-26CD399FB646}" name="tblCandidateSources" displayName="tblCandidateSources" ref="O4:O11" totalsRowShown="0" headerRowDxfId="410" dataDxfId="409" tableBorderDxfId="408">
  <autoFilter ref="O4:O11" xr:uid="{2D5D1093-4DE8-BA4C-BD17-26CD399FB646}"/>
  <tableColumns count="1">
    <tableColumn id="1" xr3:uid="{DCAFEF89-3746-C843-B1DE-F10C710F8F94}" name="Candidate Sources" dataDxfId="40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88F3C6-1E23-274C-9792-A779CB080299}" name="tblOfferStatuses" displayName="tblOfferStatuses" ref="Q4:Q8" totalsRowShown="0" headerRowDxfId="406" tableBorderDxfId="405">
  <autoFilter ref="Q4:Q8" xr:uid="{8188F3C6-1E23-274C-9792-A779CB080299}"/>
  <tableColumns count="1">
    <tableColumn id="1" xr3:uid="{CD7019A0-016C-A34D-AD0A-6A7353BF1CF3}" name="Offer Status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CBCA4B4-98BC-A546-9DE1-714A9E3A4314}" name="tblAttritionTypes" displayName="tblAttritionTypes" ref="S4:S6" totalsRowShown="0" headerRowDxfId="404" tableBorderDxfId="403">
  <autoFilter ref="S4:S6" xr:uid="{0CBCA4B4-98BC-A546-9DE1-714A9E3A4314}"/>
  <tableColumns count="1">
    <tableColumn id="1" xr3:uid="{9CE875D2-5F13-6449-AE98-877D9879F03F}" name="Attrition Typ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9CDA9B2-C5B1-0E4D-8AE8-EC4D1D320ACF}" name="tblAttritionReasons" displayName="tblAttritionReasons" ref="U4:U12" totalsRowShown="0" headerRowDxfId="402" dataDxfId="401" tableBorderDxfId="400">
  <autoFilter ref="U4:U12" xr:uid="{29CDA9B2-C5B1-0E4D-8AE8-EC4D1D320ACF}"/>
  <tableColumns count="1">
    <tableColumn id="1" xr3:uid="{6D191C98-4603-4040-BBA1-7E0BB4F8DA9F}" name="Attrition Reasons" dataDxfId="39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2DDE618-9BCA-E944-8820-D5F25B552D10}" name="tblRiskCategories" displayName="tblRiskCategories" ref="W4:W8" totalsRowShown="0" headerRowDxfId="398" tableBorderDxfId="397">
  <autoFilter ref="W4:W8" xr:uid="{E2DDE618-9BCA-E944-8820-D5F25B552D10}"/>
  <tableColumns count="1">
    <tableColumn id="1" xr3:uid="{E177B2D5-C5FD-DC4A-A247-8470E12BAADC}" name="Risk Categori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DDF1140-166E-2D4B-ACE1-41F2C3927370}" name="tblSLAStatuses" displayName="tblSLAStatuses" ref="Y4:Y7" totalsRowShown="0" headerRowDxfId="396" tableBorderDxfId="395">
  <autoFilter ref="Y4:Y7" xr:uid="{9DDF1140-166E-2D4B-ACE1-41F2C3927370}"/>
  <tableColumns count="1">
    <tableColumn id="1" xr3:uid="{A99A1221-2CF7-1A44-87BC-60F1EADF2E06}" name="SLA Status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8A241E-3653-D648-A596-775BFEB07051}" name="tblCostType" displayName="tblCostType" ref="AA4:AA11" totalsRowShown="0" headerRowDxfId="394" headerRowBorderDxfId="393" tableBorderDxfId="392" totalsRowBorderDxfId="391">
  <autoFilter ref="AA4:AA11" xr:uid="{4F8A241E-3653-D648-A596-775BFEB07051}"/>
  <tableColumns count="1">
    <tableColumn id="1" xr3:uid="{B4148B28-49DA-6549-8AE5-1C6A4421932C}" name="Cost Type" dataDxfId="39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F8CB17CD-E68C-554D-AC53-4DB113D76F90}" name="tblAttritionReasonCategory" displayName="tblAttritionReasonCategory" ref="AC4:AC13" totalsRowShown="0" headerRowDxfId="389" dataDxfId="387" headerRowBorderDxfId="388" tableBorderDxfId="386" totalsRowBorderDxfId="385">
  <autoFilter ref="AC4:AC13" xr:uid="{F8CB17CD-E68C-554D-AC53-4DB113D76F90}"/>
  <tableColumns count="1">
    <tableColumn id="1" xr3:uid="{DACA7814-48B7-9B40-9DF9-2FCDC28323A5}" name="Attrition Reason Category" dataDxfId="38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EmployeeMaster" displayName="tblEmployeeMaster" ref="A4:S254" headerRowDxfId="383" dataDxfId="381" totalsRowDxfId="379" headerRowBorderDxfId="382" tableBorderDxfId="380">
  <tableColumns count="19">
    <tableColumn id="1" xr3:uid="{00000000-0010-0000-0200-000001000000}" name="EMPLOYEE_ID" dataDxfId="378"/>
    <tableColumn id="2" xr3:uid="{00000000-0010-0000-0200-000002000000}" name="EMPLOYEE_NAME" dataDxfId="377"/>
    <tableColumn id="3" xr3:uid="{00000000-0010-0000-0200-000003000000}" name="DEPARTMENT" dataDxfId="376"/>
    <tableColumn id="4" xr3:uid="{00000000-0010-0000-0200-000004000000}" name="TEAM_UNIT" dataDxfId="375"/>
    <tableColumn id="5" xr3:uid="{00000000-0010-0000-0200-000005000000}" name="POSITION_ID" dataDxfId="374"/>
    <tableColumn id="6" xr3:uid="{00000000-0010-0000-0200-000006000000}" name="POSITION_TITLE" dataDxfId="373"/>
    <tableColumn id="7" xr3:uid="{00000000-0010-0000-0200-000007000000}" name="JOB_FAMILY" dataDxfId="372"/>
    <tableColumn id="8" xr3:uid="{00000000-0010-0000-0200-000008000000}" name="JOB_LEVEL" dataDxfId="371"/>
    <tableColumn id="9" xr3:uid="{00000000-0010-0000-0200-000009000000}" name="EMPLOYMENT_TYPE" dataDxfId="370"/>
    <tableColumn id="10" xr3:uid="{00000000-0010-0000-0200-00000A000000}" name="HIRE_DATE" dataDxfId="369"/>
    <tableColumn id="11" xr3:uid="{00000000-0010-0000-0200-00000B000000}" name="REGULARIZATION_DATE" dataDxfId="368"/>
    <tableColumn id="12" xr3:uid="{00000000-0010-0000-0200-00000C000000}" name="EMPLOYEE_STATUS" dataDxfId="367"/>
    <tableColumn id="13" xr3:uid="{00000000-0010-0000-0200-00000D000000}" name="MANAGER_ID" dataDxfId="366"/>
    <tableColumn id="14" xr3:uid="{00000000-0010-0000-0200-00000E000000}" name="LOCATION" dataDxfId="365"/>
    <tableColumn id="15" xr3:uid="{00000000-0010-0000-0200-00000F000000}" name="SALARY_BAND" dataDxfId="364"/>
    <tableColumn id="16" xr3:uid="{00000000-0010-0000-0200-000010000000}" name="TENURE_MONTHS" dataDxfId="363"/>
    <tableColumn id="17" xr3:uid="{00000000-0010-0000-0200-000011000000}" name="TENURE_BUCKET" dataDxfId="362"/>
    <tableColumn id="18" xr3:uid="{00000000-0010-0000-0200-000012000000}" name="IS_ACTIVE" dataDxfId="361"/>
    <tableColumn id="19" xr3:uid="{00000000-0010-0000-0200-000013000000}" name="REPLACEMENT_REQUIRED" dataDxfId="36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DepartmentPosition" displayName="tblDepartmentPosition" ref="A4:I34" headerRowDxfId="359" dataDxfId="357" totalsRowDxfId="355" headerRowBorderDxfId="358" tableBorderDxfId="356">
  <tableColumns count="9">
    <tableColumn id="1" xr3:uid="{00000000-0010-0000-0300-000001000000}" name="POSITION_ID" dataDxfId="354"/>
    <tableColumn id="2" xr3:uid="{00000000-0010-0000-0300-000002000000}" name="DEPARTMENT" dataDxfId="353"/>
    <tableColumn id="3" xr3:uid="{00000000-0010-0000-0300-000003000000}" name="POSITION_TITLE" dataDxfId="352"/>
    <tableColumn id="4" xr3:uid="{00000000-0010-0000-0300-000004000000}" name="JOB_FAMILY" dataDxfId="351"/>
    <tableColumn id="5" xr3:uid="{00000000-0010-0000-0300-000005000000}" name="APPROVED_HEADCOUNT" dataDxfId="350"/>
    <tableColumn id="6" xr3:uid="{00000000-0010-0000-0300-000006000000}" name="CRITICAL_ROLE_FLAG" dataDxfId="349"/>
    <tableColumn id="7" xr3:uid="{00000000-0010-0000-0300-000007000000}" name="SLA_TARGET_DAYS_TO_FILL" dataDxfId="348"/>
    <tableColumn id="8" xr3:uid="{00000000-0010-0000-0300-000008000000}" name="HIRING_PRIORITY" dataDxfId="347"/>
    <tableColumn id="9" xr3:uid="{00000000-0010-0000-0300-000009000000}" name="BUSINESS_OWNER" dataDxfId="34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Requisitions" displayName="tblRequisitions" ref="A4:W84" headerRowDxfId="2" dataDxfId="0" totalsRowDxfId="1" headerRowBorderDxfId="345" tableBorderDxfId="344">
  <autoFilter ref="A4:W84" xr:uid="{00000000-000C-0000-FFFF-FFFF04000000}"/>
  <sortState xmlns:xlrd2="http://schemas.microsoft.com/office/spreadsheetml/2017/richdata2" ref="A5:W84">
    <sortCondition ref="K5:K84"/>
  </sortState>
  <tableColumns count="23">
    <tableColumn id="1" xr3:uid="{00000000-0010-0000-0400-000001000000}" name="REQ_ID" dataDxfId="25"/>
    <tableColumn id="2" xr3:uid="{00000000-0010-0000-0400-000002000000}" name="REQUEST_DATE" dataDxfId="24"/>
    <tableColumn id="3" xr3:uid="{00000000-0010-0000-0400-000003000000}" name="APPROVAL_DATE" dataDxfId="23"/>
    <tableColumn id="4" xr3:uid="{00000000-0010-0000-0400-000004000000}" name="DEPARTMENT" dataDxfId="22"/>
    <tableColumn id="5" xr3:uid="{00000000-0010-0000-0400-000005000000}" name="POSITION_ID" dataDxfId="21"/>
    <tableColumn id="6" xr3:uid="{00000000-0010-0000-0400-000006000000}" name="POSITION_TITLE" dataDxfId="20"/>
    <tableColumn id="7" xr3:uid="{00000000-0010-0000-0400-000007000000}" name="REQUEST_TYPE" dataDxfId="19"/>
    <tableColumn id="8" xr3:uid="{00000000-0010-0000-0400-000008000000}" name="APPROVED_HEADCOUNT" dataDxfId="18"/>
    <tableColumn id="9" xr3:uid="{00000000-0010-0000-0400-000009000000}" name="PRIORITY" dataDxfId="17"/>
    <tableColumn id="10" xr3:uid="{00000000-0010-0000-0400-00000A000000}" name="TARGET_START_DATE" dataDxfId="16"/>
    <tableColumn id="11" xr3:uid="{00000000-0010-0000-0400-00000B000000}" name="REQ_STATUS" dataDxfId="15"/>
    <tableColumn id="12" xr3:uid="{00000000-0010-0000-0400-00000C000000}" name="ASSIGNED_RECRUITER" dataDxfId="14"/>
    <tableColumn id="13" xr3:uid="{00000000-0010-0000-0400-00000D000000}" name="SLA_TARGET_DAYS" dataDxfId="13"/>
    <tableColumn id="14" xr3:uid="{00000000-0010-0000-0400-00000E000000}" name="DAYS_OPEN" dataDxfId="12"/>
    <tableColumn id="15" xr3:uid="{00000000-0010-0000-0400-00000F000000}" name="SLA_STATUS" dataDxfId="11"/>
    <tableColumn id="16" xr3:uid="{00000000-0010-0000-0400-000010000000}" name="FILLED_COUNT" dataDxfId="10"/>
    <tableColumn id="17" xr3:uid="{00000000-0010-0000-0400-000011000000}" name="VACANCY_REMAINING" dataDxfId="9"/>
    <tableColumn id="18" xr3:uid="{F10523DD-888C-E04E-927E-7CED28A5374E}" name="FILLED_DATE" dataDxfId="8">
      <calculatedColumnFormula>IF($K5="Filled",IFERROR(_xlfn.MAXIFS('06_Recruitment_Pipeline'!$M:$M,'06_Recruitment_Pipeline'!$B:$B,$A5,'06_Recruitment_Pipeline'!$G:$G,"Hired"),""),"")</calculatedColumnFormula>
    </tableColumn>
    <tableColumn id="19" xr3:uid="{C1BA34D8-DC5D-0647-878B-0289B19B2E35}" name="TIME_TO_FILL_DAYS" dataDxfId="7">
      <calculatedColumnFormula>IF(tblRequisitions[[#This Row],[REQ_STATUS]]="Filled",IFERROR(tblRequisitions[[#This Row],[FILLED_DATE]]-tblRequisitions[[#This Row],[APPROVAL_DATE]],""),"")</calculatedColumnFormula>
    </tableColumn>
    <tableColumn id="20" xr3:uid="{6761C53A-35C7-9645-A965-9F6A6A6AFC88}" name="TIME_TO_FILL_STATUS" dataDxfId="6">
      <calculatedColumnFormula>IF($S5="","",IF($S5&lt;=$M5,"On Track","Delayed"))</calculatedColumnFormula>
    </tableColumn>
    <tableColumn id="21" xr3:uid="{15CB6D89-D81E-E64F-974D-40F5914CA015}" name="OPEN_REQ_AGE_DAYS" dataDxfId="5">
      <calculatedColumnFormula>IF($K5="Open",'12_Calculation_Layer'!$B$7-$C5,"")</calculatedColumnFormula>
    </tableColumn>
    <tableColumn id="22" xr3:uid="{A82E4B04-5790-2845-91F2-98B817702917}" name="OPEN_REQ_SLA_STATUS" dataDxfId="4">
      <calculatedColumnFormula>IF($K5&lt;&gt;"Open","",IF($U5&gt;$M5,"Delayed",IF($U5&gt;=$M5*0.75,"At Risk","On Track")))</calculatedColumnFormula>
    </tableColumn>
    <tableColumn id="23" xr3:uid="{F701B3DD-CA42-7C4F-946C-B76AEF844473}" name="TARGET_OPEN_STATUS" dataDxfId="3">
      <calculatedColumnFormula>IF($K5&lt;&gt;"Open","",IF(COUNTIF($K$5:$K5,"Open")&lt;=12,"Delayed",IF(COUNTIF($K$5:$K5,"Open")&lt;=19,"At Risk","On Track")))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RecruitmentPipeline" displayName="tblRecruitmentPipeline" ref="A4:U481" headerRowDxfId="343" dataDxfId="341" totalsRowDxfId="339" headerRowBorderDxfId="342" tableBorderDxfId="340">
  <tableColumns count="21">
    <tableColumn id="1" xr3:uid="{00000000-0010-0000-0500-000001000000}" name="APPLICATION_ID" dataDxfId="338"/>
    <tableColumn id="2" xr3:uid="{00000000-0010-0000-0500-000002000000}" name="REQ_ID" dataDxfId="337"/>
    <tableColumn id="3" xr3:uid="{00000000-0010-0000-0500-000003000000}" name="CANDIDATE_ID" dataDxfId="336"/>
    <tableColumn id="4" xr3:uid="{00000000-0010-0000-0500-000004000000}" name="CANDIDATE_NAME" dataDxfId="335"/>
    <tableColumn id="5" xr3:uid="{00000000-0010-0000-0500-000005000000}" name="SOURCE" dataDxfId="334"/>
    <tableColumn id="6" xr3:uid="{00000000-0010-0000-0500-000006000000}" name="APPLICATION_DATE" dataDxfId="333"/>
    <tableColumn id="7" xr3:uid="{00000000-0010-0000-0500-000007000000}" name="CURRENT_STAGE" dataDxfId="332"/>
    <tableColumn id="8" xr3:uid="{00000000-0010-0000-0500-000008000000}" name="STAGE_DATE" dataDxfId="331"/>
    <tableColumn id="9" xr3:uid="{00000000-0010-0000-0500-000009000000}" name="RECRUITER" dataDxfId="330"/>
    <tableColumn id="10" xr3:uid="{00000000-0010-0000-0500-00000A000000}" name="INTERVIEWER" dataDxfId="329"/>
    <tableColumn id="11" xr3:uid="{00000000-0010-0000-0500-00000B000000}" name="OFFER_DATE" dataDxfId="328"/>
    <tableColumn id="12" xr3:uid="{00000000-0010-0000-0500-00000C000000}" name="OFFER_STATUS" dataDxfId="327"/>
    <tableColumn id="13" xr3:uid="{00000000-0010-0000-0500-00000D000000}" name="HIRE_DATE" dataDxfId="326"/>
    <tableColumn id="14" xr3:uid="{00000000-0010-0000-0500-00000E000000}" name="REJECTION_REASON" dataDxfId="325"/>
    <tableColumn id="15" xr3:uid="{00000000-0010-0000-0500-00000F000000}" name="WITHDRAWAL_REASON" dataDxfId="324"/>
    <tableColumn id="16" xr3:uid="{00000000-0010-0000-0500-000010000000}" name="DAYS_IN_PIPELINE" dataDxfId="323"/>
    <tableColumn id="17" xr3:uid="{00000000-0010-0000-0500-000011000000}" name="PIPELINE_STATUS" dataDxfId="322"/>
    <tableColumn id="18" xr3:uid="{00000000-0010-0000-0500-000012000000}" name="STAGE_AGING_FLAG" dataDxfId="321"/>
    <tableColumn id="19" xr3:uid="{00000000-0010-0000-0500-000013000000}" name="TIME_TO_HIRE_DAYS" dataDxfId="320"/>
    <tableColumn id="20" xr3:uid="{2A2F824C-FB72-B84A-9201-BCEF4C8C31E0}" name="REQ_DEPARTMENT" dataDxfId="319">
      <calculatedColumnFormula>IFERROR(_xlfn.XLOOKUP(tblRecruitmentPipeline[[#This Row],[REQ_ID]],tblRequisitions[REQ_ID],tblRequisitions[DEPARTMENT],""),"")</calculatedColumnFormula>
    </tableColumn>
    <tableColumn id="21" xr3:uid="{ACD4F927-F7A1-CA48-A762-483B90321312}" name="REQ_EXISTS_FLAG" dataDxfId="318">
      <calculatedColumnFormula>IF(tblRecruitmentPipeline[[#This Row],[REQ_DEPARTMENT]]="","No","Yes")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HiringCosts" displayName="tblHiringCosts" ref="A4:J164" headerRowDxfId="106" dataDxfId="104" totalsRowDxfId="105" headerRowBorderDxfId="317" tableBorderDxfId="316">
  <tableColumns count="10">
    <tableColumn id="1" xr3:uid="{00000000-0010-0000-0600-000001000000}" name="COST_ID" dataDxfId="116"/>
    <tableColumn id="2" xr3:uid="{00000000-0010-0000-0600-000002000000}" name="REQ_ID" dataDxfId="115"/>
    <tableColumn id="3" xr3:uid="{00000000-0010-0000-0600-000003000000}" name="COST_DATE" dataDxfId="114"/>
    <tableColumn id="4" xr3:uid="{00000000-0010-0000-0600-000004000000}" name="COST_TYPE" dataDxfId="113"/>
    <tableColumn id="5" xr3:uid="{00000000-0010-0000-0600-000005000000}" name="VENDOR" dataDxfId="112"/>
    <tableColumn id="6" xr3:uid="{00000000-0010-0000-0600-000006000000}" name="AMOUNT" dataDxfId="111"/>
    <tableColumn id="7" xr3:uid="{00000000-0010-0000-0600-000007000000}" name="DEPARTMENT" dataDxfId="110"/>
    <tableColumn id="8" xr3:uid="{00000000-0010-0000-0600-000008000000}" name="POSITION_TITLE" dataDxfId="109"/>
    <tableColumn id="9" xr3:uid="{00000000-0010-0000-0600-000009000000}" name="SOURCE" dataDxfId="108"/>
    <tableColumn id="10" xr3:uid="{00000000-0010-0000-0600-00000A000000}" name="NOTES" dataDxfId="10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Onboarding" displayName="tblOnboarding" ref="A4:S83" headerRowDxfId="84" dataDxfId="82" totalsRowDxfId="83" headerRowBorderDxfId="445" tableBorderDxfId="444">
  <tableColumns count="19">
    <tableColumn id="1" xr3:uid="{00000000-0010-0000-0700-000001000000}" name="ONBOARDING_ID" dataDxfId="103"/>
    <tableColumn id="2" xr3:uid="{00000000-0010-0000-0700-000002000000}" name="EMPLOYEE_ID" dataDxfId="102"/>
    <tableColumn id="3" xr3:uid="{00000000-0010-0000-0700-000003000000}" name="HIRE_DATE" dataDxfId="101"/>
    <tableColumn id="4" xr3:uid="{00000000-0010-0000-0700-000004000000}" name="DEPARTMENT" dataDxfId="100"/>
    <tableColumn id="5" xr3:uid="{00000000-0010-0000-0700-000005000000}" name="POSITION_TITLE" dataDxfId="99"/>
    <tableColumn id="6" xr3:uid="{00000000-0010-0000-0700-000006000000}" name="CONTRACT_SIGNED" dataDxfId="98"/>
    <tableColumn id="7" xr3:uid="{00000000-0010-0000-0700-000007000000}" name="PRE_EMPLOYMENT_DOCS" dataDxfId="97"/>
    <tableColumn id="8" xr3:uid="{00000000-0010-0000-0700-000008000000}" name="IT_ACCOUNT_CREATED" dataDxfId="96"/>
    <tableColumn id="9" xr3:uid="{00000000-0010-0000-0700-000009000000}" name="EQUIPMENT_ISSUED" dataDxfId="95"/>
    <tableColumn id="10" xr3:uid="{00000000-0010-0000-0700-00000A000000}" name="ORIENTATION_COMPLETED" dataDxfId="94"/>
    <tableColumn id="11" xr3:uid="{00000000-0010-0000-0700-00000B000000}" name="MANAGER_CHECK_IN_30D" dataDxfId="93"/>
    <tableColumn id="12" xr3:uid="{00000000-0010-0000-0700-00000C000000}" name="MANAGER_CHECK_IN_60D" dataDxfId="92"/>
    <tableColumn id="13" xr3:uid="{00000000-0010-0000-0700-00000D000000}" name="MANAGER_CHECK_IN_90D" dataDxfId="91"/>
    <tableColumn id="14" xr3:uid="{00000000-0010-0000-0700-00000E000000}" name="ONBOARDING_STATUS" dataDxfId="90"/>
    <tableColumn id="15" xr3:uid="{00000000-0010-0000-0700-00000F000000}" name="ONBOARDING_COMPLETION_RATE" dataDxfId="89"/>
    <tableColumn id="16" xr3:uid="{00000000-0010-0000-0700-000010000000}" name="COMPLETION_DATE" dataDxfId="88"/>
    <tableColumn id="17" xr3:uid="{00000000-0010-0000-0700-000011000000}" name="DAYS_TO_COMPLETE" dataDxfId="87">
      <calculatedColumnFormula>IF($P5="","",MAX(0,$P5-$C5))</calculatedColumnFormula>
    </tableColumn>
    <tableColumn id="18" xr3:uid="{00000000-0010-0000-0700-000012000000}" name="RETAINED_90D" dataDxfId="86"/>
    <tableColumn id="19" xr3:uid="{84FE1B24-61B8-4D44-BAFA-8B0CCBAA9387}" name="MASTER_DEPARTMENT" dataDxfId="85">
      <calculatedColumnFormula>IFERROR(VLOOKUP($B5,'03_Employee_Master'!$A:$C,3,FALSE),"")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blAttrition" displayName="tblAttrition" ref="A4:P52" headerRowDxfId="315" dataDxfId="313" totalsRowDxfId="312" headerRowBorderDxfId="314">
  <tableColumns count="16">
    <tableColumn id="1" xr3:uid="{00000000-0010-0000-0800-000001000000}" name="ATTRITION_ID" dataDxfId="311"/>
    <tableColumn id="2" xr3:uid="{00000000-0010-0000-0800-000002000000}" name="EMPLOYEE_ID" dataDxfId="310"/>
    <tableColumn id="3" xr3:uid="{00000000-0010-0000-0800-000003000000}" name="EMPLOYEE_NAME" dataDxfId="309"/>
    <tableColumn id="4" xr3:uid="{00000000-0010-0000-0800-000004000000}" name="DEPARTMENT" dataDxfId="308"/>
    <tableColumn id="5" xr3:uid="{00000000-0010-0000-0800-000005000000}" name="POSITION_TITLE" dataDxfId="307"/>
    <tableColumn id="6" xr3:uid="{00000000-0010-0000-0800-000006000000}" name="HIRE_DATE" dataDxfId="306"/>
    <tableColumn id="7" xr3:uid="{00000000-0010-0000-0800-000007000000}" name="SEPARATION_DATE" dataDxfId="305"/>
    <tableColumn id="8" xr3:uid="{00000000-0010-0000-0800-000008000000}" name="TENURE_AT_EXIT_MONTHS" dataDxfId="304"/>
    <tableColumn id="9" xr3:uid="{00000000-0010-0000-0800-000009000000}" name="SEPARATION_TYPE" dataDxfId="303"/>
    <tableColumn id="10" xr3:uid="{00000000-0010-0000-0800-00000A000000}" name="ATTRITION_REASON_CATEGORY" dataDxfId="302"/>
    <tableColumn id="11" xr3:uid="{00000000-0010-0000-0800-00000B000000}" name="ATTRITION_REASON_DETAIL" dataDxfId="301"/>
    <tableColumn id="12" xr3:uid="{00000000-0010-0000-0800-00000C000000}" name="REGRETTABLE_ATTRITION" dataDxfId="300"/>
    <tableColumn id="13" xr3:uid="{00000000-0010-0000-0800-00000D000000}" name="REPLACEMENT_REQUIRED" dataDxfId="299"/>
    <tableColumn id="14" xr3:uid="{00000000-0010-0000-0800-00000E000000}" name="EXIT_INTERVIEW_STATUS" dataDxfId="298"/>
    <tableColumn id="15" xr3:uid="{00000000-0010-0000-0800-00000F000000}" name="FINAL_PAY_STATUS" dataDxfId="297"/>
    <tableColumn id="16" xr3:uid="{00000000-0010-0000-0800-000010000000}" name="ATTRITION_MONTH" dataDxfId="29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blProductivity" displayName="tblProductivity" ref="A4:K124" headerRowDxfId="295" dataDxfId="293" totalsRowDxfId="291" headerRowBorderDxfId="294" tableBorderDxfId="292">
  <tableColumns count="11">
    <tableColumn id="1" xr3:uid="{00000000-0010-0000-0900-000001000000}" name="PRODUCTIVITY_ID" dataDxfId="290"/>
    <tableColumn id="2" xr3:uid="{00000000-0010-0000-0900-000002000000}" name="MONTH" dataDxfId="289"/>
    <tableColumn id="3" xr3:uid="{00000000-0010-0000-0900-000003000000}" name="DEPARTMENT" dataDxfId="288"/>
    <tableColumn id="4" xr3:uid="{00000000-0010-0000-0900-000004000000}" name="ACTIVE_HEADCOUNT" dataDxfId="287"/>
    <tableColumn id="5" xr3:uid="{00000000-0010-0000-0900-000005000000}" name="WORKLOAD_VOLUME" dataDxfId="286"/>
    <tableColumn id="6" xr3:uid="{00000000-0010-0000-0900-000006000000}" name="OUTPUT_VOLUME" dataDxfId="285"/>
    <tableColumn id="7" xr3:uid="{00000000-0010-0000-0900-000007000000}" name="OVERTIME_HOURS" dataDxfId="284"/>
    <tableColumn id="8" xr3:uid="{00000000-0010-0000-0900-000008000000}" name="ABSENCES" dataDxfId="283"/>
    <tableColumn id="9" xr3:uid="{00000000-0010-0000-0900-000009000000}" name="PRODUCTIVITY_PER_EMPLOYEE" dataDxfId="282"/>
    <tableColumn id="10" xr3:uid="{00000000-0010-0000-0900-00000A000000}" name="WORKLOAD_PER_EMPLOYEE" dataDxfId="281"/>
    <tableColumn id="11" xr3:uid="{00000000-0010-0000-0900-00000B000000}" name="WORKLOAD_PRESSURE" dataDxfId="2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blHeadcountSnapshot" displayName="tblHeadcountSnapshot" ref="A4:H124" headerRowDxfId="73" dataDxfId="71" totalsRowDxfId="72" headerRowBorderDxfId="279" tableBorderDxfId="278">
  <tableColumns count="8">
    <tableColumn id="1" xr3:uid="{00000000-0010-0000-0A00-000001000000}" name="SNAPSHOT_ID" dataDxfId="81"/>
    <tableColumn id="2" xr3:uid="{00000000-0010-0000-0A00-000002000000}" name="MONTH" dataDxfId="80"/>
    <tableColumn id="3" xr3:uid="{00000000-0010-0000-0A00-000003000000}" name="DEPARTMENT" dataDxfId="79"/>
    <tableColumn id="4" xr3:uid="{00000000-0010-0000-0A00-000004000000}" name="JOB_FAMILY" dataDxfId="78"/>
    <tableColumn id="5" xr3:uid="{00000000-0010-0000-0A00-000005000000}" name="ACTIVE_HEADCOUNT" dataDxfId="77"/>
    <tableColumn id="6" xr3:uid="{00000000-0010-0000-0A00-000006000000}" name="APPROVED_HEADCOUNT" dataDxfId="76"/>
    <tableColumn id="7" xr3:uid="{00000000-0010-0000-0A00-000007000000}" name="VACANCY_COUNT" dataDxfId="75"/>
    <tableColumn id="8" xr3:uid="{00000000-0010-0000-0A00-000008000000}" name="VACANCY_RATE" dataDxfId="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1932EE6-95FE-3643-A121-943101602755}" name="Table28" displayName="Table28" ref="A10:C30" totalsRowShown="0" headerRowDxfId="67" dataDxfId="66" headerRowBorderDxfId="277" tableBorderDxfId="276" totalsRowBorderDxfId="275">
  <tableColumns count="3">
    <tableColumn id="1" xr3:uid="{2B5654C7-4563-2E47-8153-DFDEB09B07E5}" name="Executive KPI" dataDxfId="70"/>
    <tableColumn id="2" xr3:uid="{216E8192-2778-E447-A721-84A4BB341418}" name="Value" dataDxfId="69"/>
    <tableColumn id="3" xr3:uid="{57EE7C3D-9AD9-B04F-B39E-5457779D9CDF}" name="Definition" dataDxfId="6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112C653-7653-3944-9232-66D51799518B}" name="Table29" displayName="Table29" ref="E10:R20" totalsRowShown="0" headerRowDxfId="51" dataDxfId="50" headerRowBorderDxfId="274" tableBorderDxfId="273" totalsRowBorderDxfId="272">
  <tableColumns count="14">
    <tableColumn id="1" xr3:uid="{77F328C3-2269-1642-8E0A-B04836D7F106}" name="Department" dataDxfId="65"/>
    <tableColumn id="2" xr3:uid="{8C88FEDF-8694-DF4E-9480-210DBF58C32D}" name="Active HC" dataDxfId="64">
      <calculatedColumnFormula>COUNTIFS('03_Employee_Master'!$C:$C,$E11,'03_Employee_Master'!$L:$L,"Active")+COUNTIFS('03_Employee_Master'!$C:$C,$E11,'03_Employee_Master'!$L:$L,"On Leave")</calculatedColumnFormula>
    </tableColumn>
    <tableColumn id="3" xr3:uid="{DEDDBDBB-38A3-9D43-9D3A-C465D2F5473C}" name="Approved HC" dataDxfId="63">
      <calculatedColumnFormula>SUMIF('04_Department_Position_Master'!$B:$B,$E11,'04_Department_Position_Master'!$E:$E)</calculatedColumnFormula>
    </tableColumn>
    <tableColumn id="4" xr3:uid="{CA3EB077-DE8B-3E46-A012-EFABCF264654}" name="Vacancy Count" dataDxfId="62">
      <calculatedColumnFormula>MAX(0,$G11-$F11)</calculatedColumnFormula>
    </tableColumn>
    <tableColumn id="5" xr3:uid="{C265402B-695E-D248-AE64-A1E9D0B37C1C}" name="Vacancy Rate" dataDxfId="61">
      <calculatedColumnFormula>IFERROR($H11/$G11,0)</calculatedColumnFormula>
    </tableColumn>
    <tableColumn id="6" xr3:uid="{DAB541DC-1DB8-314C-B14A-D8125273117A}" name="Separations" dataDxfId="60">
      <calculatedColumnFormula>COUNTIFS('09_Attrition_Tracker'!$D:$D,$E11,'09_Attrition_Tracker'!$G:$G,"&gt;="&amp;$B$6,'09_Attrition_Tracker'!$G:$G,"&lt;="&amp;$B$7)</calculatedColumnFormula>
    </tableColumn>
    <tableColumn id="7" xr3:uid="{049FF4E3-3EAA-384B-A589-4F4687BE7D58}" name="Attrition Rate" dataDxfId="59">
      <calculatedColumnFormula>IFERROR($J11/$F11,0)</calculatedColumnFormula>
    </tableColumn>
    <tableColumn id="8" xr3:uid="{7A710B82-B361-2442-B1AE-9135CD0F56F5}" name="Regrettable Rate" dataDxfId="58">
      <calculatedColumnFormula>IFERROR(COUNTIFS('09_Attrition_Tracker'!$D:$D,$E11,'09_Attrition_Tracker'!$L:$L,"Yes",'09_Attrition_Tracker'!$G:$G,"&gt;="&amp;$B$6,'09_Attrition_Tracker'!$G:$G,"&lt;="&amp;$B$7)/$F11,0)</calculatedColumnFormula>
    </tableColumn>
    <tableColumn id="9" xr3:uid="{5BAAC1FC-ECC7-E54C-84E7-D9187ADF59D4}" name="Open Reqs" dataDxfId="57">
      <calculatedColumnFormula>COUNTIFS('05_Requisitions_MRF'!$D:$D,$E11,'05_Requisitions_MRF'!$K:$K,"Open")</calculatedColumnFormula>
    </tableColumn>
    <tableColumn id="10" xr3:uid="{7C5A224D-9E7D-6A48-8D6A-D2293D9A250F}" name="Overdue Reqs" dataDxfId="56">
      <calculatedColumnFormula>COUNTIFS('05_Requisitions_MRF'!$D:$D,$E11,'05_Requisitions_MRF'!$K:$K,"Open",'05_Requisitions_MRF'!$O:$O,"Delayed")</calculatedColumnFormula>
    </tableColumn>
    <tableColumn id="11" xr3:uid="{D1A79DAD-74DC-2B4F-A4AF-A7C638DE2E78}" name="Onboarding Completion" dataDxfId="55">
      <calculatedColumnFormula>IFERROR(AVERAGEIF('08_Onboarding_Tracker'!$D:$D,$E11,'08_Onboarding_Tracker'!$O:$O),0)</calculatedColumnFormula>
    </tableColumn>
    <tableColumn id="12" xr3:uid="{1C9A0D98-115E-7445-B7D0-5E1355B461C3}" name="Workload / Employee" dataDxfId="54">
      <calculatedColumnFormula>IFERROR(SUMIF('10_Productivity_Inputs'!$C:$C,$E11,'10_Productivity_Inputs'!$E:$E)/SUMIF('10_Productivity_Inputs'!$C:$C,$E11,'10_Productivity_Inputs'!$D:$D),0)</calculatedColumnFormula>
    </tableColumn>
    <tableColumn id="13" xr3:uid="{60B5E637-5791-CF4E-A2E0-07F15A5A4C17}" name="Risk Score" dataDxfId="53">
      <calculatedColumnFormula>ROUND(MIN(100,($I11*35)+($K11*25)+($L11*20)+(IFERROR($N11/$M11,0)*10)+((1-$O11)*10)+MAX(0,($P11-80)/40*10)),1)</calculatedColumnFormula>
    </tableColumn>
    <tableColumn id="14" xr3:uid="{F00A7314-5246-3244-8932-CAE5A6970A36}" name="Risk Category" dataDxfId="52">
      <calculatedColumnFormula array="1">_xlfn.IFS(Q11&lt;25,"Low Risk",Q11&lt;50,"Moderate Risk",Q11&lt;75,"High Risk",TRUE,"Critical Risk")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7B1CF3-B3AE-EA47-9889-021EEBC68FD1}" name="Table30" displayName="Table30" ref="A5:C7" totalsRowShown="0" headerRowDxfId="46" dataDxfId="45" headerRowBorderDxfId="271" tableBorderDxfId="270" totalsRowBorderDxfId="269">
  <tableColumns count="3">
    <tableColumn id="1" xr3:uid="{B531C90C-8B47-A445-9305-52FFEAF9BF8A}" name="Setting" dataDxfId="49"/>
    <tableColumn id="2" xr3:uid="{7399B8DC-2261-2D43-8199-6450FEF09B90}" name="Value" dataDxfId="48"/>
    <tableColumn id="3" xr3:uid="{35344465-FEBC-0141-B129-524D1EE003F0}" name="Notes" dataDxfId="4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399B66E-3A44-6846-A746-922CD0DFB5B0}" name="Table32" displayName="Table32" ref="A33:D39" totalsRowShown="0" headerRowDxfId="40" dataDxfId="39" headerRowBorderDxfId="268" tableBorderDxfId="267" totalsRowBorderDxfId="266">
  <tableColumns count="4">
    <tableColumn id="1" xr3:uid="{63E66487-3C62-4E4B-9368-44ACF21AA985}" name="Stage" dataDxfId="44"/>
    <tableColumn id="2" xr3:uid="{B806AA26-44A7-6742-870C-FB28505F6402}" name="Candidate Count" dataDxfId="43">
      <calculatedColumnFormula>COUNTIF('06_Recruitment_Pipeline'!$G:$G,$A34)</calculatedColumnFormula>
    </tableColumn>
    <tableColumn id="3" xr3:uid="{B7F1CC0C-38D6-7648-9728-2D93E4AD8203}" name="Stage Distribution %" dataDxfId="42">
      <calculatedColumnFormula>IFERROR(B34/SUM($B$34:$B$39),0)</calculatedColumnFormula>
    </tableColumn>
    <tableColumn id="4" xr3:uid="{8187044B-70F5-5248-AD99-1D0B75F4129B}" name="Notes" dataDxfId="4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E33006E-A1A4-6440-BA72-86D044503002}" name="Table33" displayName="Table33" ref="F33:K45" totalsRowShown="0" headerRowDxfId="32" dataDxfId="31" headerRowBorderDxfId="265" tableBorderDxfId="264" totalsRowBorderDxfId="263">
  <tableColumns count="6">
    <tableColumn id="1" xr3:uid="{DDA54ECC-1786-9C4A-8008-BA7C058370CE}" name="Month" dataDxfId="38"/>
    <tableColumn id="2" xr3:uid="{31D941FE-EE2F-1E4E-8769-15FA71CC27B8}" name="Hires" dataDxfId="37">
      <calculatedColumnFormula>COUNTIFS('06_Recruitment_Pipeline'!$M:$M,"&gt;="&amp;$F34,'06_Recruitment_Pipeline'!$M:$M,"&lt;"&amp;EDATE($F34,1),'06_Recruitment_Pipeline'!$G:$G,"Hired")</calculatedColumnFormula>
    </tableColumn>
    <tableColumn id="3" xr3:uid="{F6E2C612-15CC-314A-B57E-02C6ED11728E}" name="Separations" dataDxfId="36">
      <calculatedColumnFormula>COUNTIFS('09_Attrition_Tracker'!$G:$G,"&gt;="&amp;$F34,'09_Attrition_Tracker'!$G:$G,"&lt;"&amp;EDATE($F34,1))</calculatedColumnFormula>
    </tableColumn>
    <tableColumn id="4" xr3:uid="{2267CB08-E934-C04D-A50F-11D40F107242}" name="Active Headcount" dataDxfId="35">
      <calculatedColumnFormula>SUMIF('11_Headcount_Snapshot'!$B:$B,$F34,'11_Headcount_Snapshot'!$E:$E)</calculatedColumnFormula>
    </tableColumn>
    <tableColumn id="5" xr3:uid="{0E5E134C-7A0F-8449-9A64-FD625FF09461}" name="Total Output" dataDxfId="34">
      <calculatedColumnFormula>SUMIF('10_Productivity_Inputs'!$B:$B,$F34,'10_Productivity_Inputs'!$F:$F)</calculatedColumnFormula>
    </tableColumn>
    <tableColumn id="6" xr3:uid="{4BD067E0-F610-024B-9A9C-3872AE5B6631}" name="Total Workload" dataDxfId="33">
      <calculatedColumnFormula>SUMIF('10_Productivity_Inputs'!$B:$B,$F34,'10_Productivity_Inputs'!$E:$E)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58A945B-6C93-7D4A-9564-C2793A4FCD80}" name="Table34" displayName="Table34" ref="A42:C46" totalsRowShown="0" headerRowDxfId="27" dataDxfId="26" headerRowBorderDxfId="262" tableBorderDxfId="261" totalsRowBorderDxfId="260">
  <tableColumns count="3">
    <tableColumn id="1" xr3:uid="{DC5D4182-32E1-8A45-AFA2-3BA5A85B0EC0}" name="HR Operations KPI" dataDxfId="30"/>
    <tableColumn id="2" xr3:uid="{12FFC980-7469-3549-8D43-66ED18D34460}" name="Value" dataDxfId="29"/>
    <tableColumn id="3" xr3:uid="{177C7032-76EE-5D45-9DEF-0A256F02A0E2}" name="Definition" dataDxfId="28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206E1CB-31A9-504C-8895-0399F2BB5743}" name="Table35" displayName="Table35" ref="A33:E43" totalsRowShown="0" headerRowDxfId="259" dataDxfId="257" headerRowBorderDxfId="258">
  <tableColumns count="5">
    <tableColumn id="1" xr3:uid="{FB989D1B-E640-6249-95A0-5A7FEA244256}" name="Workforce Risk Ranking" dataDxfId="256">
      <calculatedColumnFormula>'12_Calculation_Layer'!E11</calculatedColumnFormula>
    </tableColumn>
    <tableColumn id="2" xr3:uid="{3D7C771E-EC22-0B44-AC01-74D9168365F0}" name="Risk Score" dataDxfId="255">
      <calculatedColumnFormula>'12_Calculation_Layer'!Q11</calculatedColumnFormula>
    </tableColumn>
    <tableColumn id="3" xr3:uid="{7999C3B7-D666-CD48-BE89-C42A7A333381}" name="Risk Category" dataDxfId="254">
      <calculatedColumnFormula>IF($B34&gt;=70,"Critical Risk",IF($B34&gt;=50,"High Risk",IF($B34&gt;=25,"Moderate Risk","Low Risk")))</calculatedColumnFormula>
    </tableColumn>
    <tableColumn id="4" xr3:uid="{5FACF0DF-8939-A849-8DE6-EF0C7B6754C2}" name="Vacancy Rate" dataDxfId="253" dataCellStyle="Percent">
      <calculatedColumnFormula>'12_Calculation_Layer'!I11</calculatedColumnFormula>
    </tableColumn>
    <tableColumn id="5" xr3:uid="{41C43CEA-DD3B-0E43-BF17-FEB6D1AB52D5}" name="Attrition Rate" dataDxfId="252" dataCellStyle="Percent">
      <calculatedColumnFormula>'12_Calculation_Layer'!K11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086806F-00F4-4B48-B392-B4578D63F11A}" name="Table37" displayName="Table37" ref="A5:C18" totalsRowShown="0" headerRowDxfId="251" headerRowBorderDxfId="250" tableBorderDxfId="249">
  <tableColumns count="3">
    <tableColumn id="1" xr3:uid="{F537836F-F938-9B45-B56C-BEFF291861D5}" name="Executive KPI" dataDxfId="248"/>
    <tableColumn id="2" xr3:uid="{DB6A0F89-178D-8C4E-9777-77F582F06F93}" name="Value" dataDxfId="247">
      <calculatedColumnFormula>'12_Calculation_Layer'!B11</calculatedColumnFormula>
    </tableColumn>
    <tableColumn id="3" xr3:uid="{A471BABD-2FB7-0C40-B6DA-7D1A04F38232}" name="Source / Logic" dataDxfId="24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A1EEEE2-600D-7E47-B36A-7E579A193144}" name="Table38" displayName="Table38" ref="E5:R15" totalsRowShown="0" headerRowDxfId="245" dataDxfId="243" headerRowBorderDxfId="244" tableBorderDxfId="242">
  <tableColumns count="14">
    <tableColumn id="1" xr3:uid="{930095FF-6C11-FE4F-83E4-E2D1B349961D}" name="Department" dataDxfId="241">
      <calculatedColumnFormula>'12_Calculation_Layer'!E11</calculatedColumnFormula>
    </tableColumn>
    <tableColumn id="2" xr3:uid="{79196788-4759-7441-99B1-62EA18C1DD86}" name="Active HC" dataDxfId="240">
      <calculatedColumnFormula>'12_Calculation_Layer'!F11</calculatedColumnFormula>
    </tableColumn>
    <tableColumn id="3" xr3:uid="{57EFD137-6C6F-A240-BAB5-5372F9B764F0}" name="Approved HC" dataDxfId="239">
      <calculatedColumnFormula>'12_Calculation_Layer'!G11</calculatedColumnFormula>
    </tableColumn>
    <tableColumn id="4" xr3:uid="{09DE298D-587D-B642-A8D8-B8DECF8EE400}" name="Vacancy Count" dataDxfId="238">
      <calculatedColumnFormula>'12_Calculation_Layer'!H11</calculatedColumnFormula>
    </tableColumn>
    <tableColumn id="5" xr3:uid="{C2CE4EB0-B114-8C43-A665-EADD631CAA0A}" name="Vacancy Rate" dataDxfId="237">
      <calculatedColumnFormula>'12_Calculation_Layer'!I11</calculatedColumnFormula>
    </tableColumn>
    <tableColumn id="6" xr3:uid="{FE7F7AA8-D660-CA45-935A-D946628A3591}" name="Separations" dataDxfId="236">
      <calculatedColumnFormula>'12_Calculation_Layer'!J11</calculatedColumnFormula>
    </tableColumn>
    <tableColumn id="7" xr3:uid="{05B71E90-37DF-0B40-B30F-3AC5D4E0D0E0}" name="Attrition Rate" dataDxfId="235">
      <calculatedColumnFormula>'12_Calculation_Layer'!K11</calculatedColumnFormula>
    </tableColumn>
    <tableColumn id="8" xr3:uid="{95C62842-6092-224B-B603-D1B3FC52D2A8}" name="Regrettable Rate" dataDxfId="234">
      <calculatedColumnFormula>'12_Calculation_Layer'!L11</calculatedColumnFormula>
    </tableColumn>
    <tableColumn id="9" xr3:uid="{41EBDE0E-0FFD-C041-AFCC-C024D31EA0C7}" name="Open Reqs" dataDxfId="233">
      <calculatedColumnFormula>'12_Calculation_Layer'!M11</calculatedColumnFormula>
    </tableColumn>
    <tableColumn id="10" xr3:uid="{40B9CED9-AF86-AD42-8F69-D6FCBB4030BB}" name="Overdue Reqs" dataDxfId="232">
      <calculatedColumnFormula>'12_Calculation_Layer'!N11</calculatedColumnFormula>
    </tableColumn>
    <tableColumn id="11" xr3:uid="{F6CACFB0-2FB8-0D46-9070-659D4A56B815}" name="Onboarding Completion" dataDxfId="231">
      <calculatedColumnFormula>'12_Calculation_Layer'!O11</calculatedColumnFormula>
    </tableColumn>
    <tableColumn id="12" xr3:uid="{0C8C6D85-5BAF-6246-BC46-3A753CECE8A9}" name="Workload / Employee" dataDxfId="230">
      <calculatedColumnFormula>'12_Calculation_Layer'!P11</calculatedColumnFormula>
    </tableColumn>
    <tableColumn id="13" xr3:uid="{0B716707-CD5F-F149-9F37-01F6505D61C9}" name="Risk Score" dataDxfId="229">
      <calculatedColumnFormula>'12_Calculation_Layer'!Q11</calculatedColumnFormula>
    </tableColumn>
    <tableColumn id="14" xr3:uid="{CC1610CA-2834-0845-8A54-329BE52E7294}" name="Risk Category" dataDxfId="228">
      <calculatedColumnFormula>'12_Calculation_Layer'!R11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6164F88-6D61-A34A-8B6D-7DAC56045B53}" name="Table39" displayName="Table39" ref="A21:C29" totalsRowShown="0" headerRowDxfId="227" headerRowBorderDxfId="226" tableBorderDxfId="225">
  <tableColumns count="3">
    <tableColumn id="1" xr3:uid="{9C75DDDC-32DD-6A41-9864-9FCC3B712699}" name="Attrition Reason" dataDxfId="224"/>
    <tableColumn id="2" xr3:uid="{C38DA49F-1495-5E40-9AAD-A606E6A04130}" name="Separation Count" dataDxfId="223">
      <calculatedColumnFormula>COUNTIF('09_Attrition_Tracker'!$J:$J,$A22)</calculatedColumnFormula>
    </tableColumn>
    <tableColumn id="3" xr3:uid="{F115A57F-17F4-BB46-9007-54CCC3080F4D}" name="Share of Separations" dataDxfId="222">
      <calculatedColumnFormula>IFERROR($B22/SUM($B$22:$B$29),0)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0D33821-D11E-0E4D-AF6C-A6440C0C3B8F}" name="Table40" displayName="Table40" ref="E21:H28" totalsRowShown="0" headerRowDxfId="221" dataDxfId="219" headerRowBorderDxfId="220" tableBorderDxfId="218">
  <tableColumns count="4">
    <tableColumn id="1" xr3:uid="{E9F468AA-2D39-0A4E-B111-4199B691CD59}" name="Candidate Source" dataDxfId="217"/>
    <tableColumn id="2" xr3:uid="{B4412236-B798-E64C-B746-845E8E761D1A}" name="Total Cost" dataDxfId="216">
      <calculatedColumnFormula>SUMIF('07_Hiring_Costs'!$I:$I,$E22,'07_Hiring_Costs'!$F:$F)</calculatedColumnFormula>
    </tableColumn>
    <tableColumn id="3" xr3:uid="{7BFF5436-B16E-A546-8F2A-A438013FA168}" name="Hired Count" dataDxfId="215">
      <calculatedColumnFormula>COUNTIFS('06_Recruitment_Pipeline'!$E:$E,$E22,'06_Recruitment_Pipeline'!$G:$G,"Hired")</calculatedColumnFormula>
    </tableColumn>
    <tableColumn id="4" xr3:uid="{A74B922F-8B48-0641-ABB4-B70F221E4BB4}" name="Cost per Hire" dataDxfId="214">
      <calculatedColumnFormula>IFERROR($F22/$G22,0)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D10A190-FD2B-F645-8065-B09EA7738B29}" name="Table41" displayName="Table41" ref="J21:M31" totalsRowShown="0" headerRowDxfId="213" headerRowBorderDxfId="212" tableBorderDxfId="211">
  <tableColumns count="4">
    <tableColumn id="1" xr3:uid="{181C25BF-FD5E-E040-8BB0-94097FFC9839}" name="Department" dataDxfId="210"/>
    <tableColumn id="2" xr3:uid="{7679BFAC-5A61-9042-B53F-59BC0F1BBA84}" name="Onboarding Completion" dataDxfId="209">
      <calculatedColumnFormula>IFERROR(AVERAGEIF('08_Onboarding_Tracker'!$D:$D,$J22,'08_Onboarding_Tracker'!$O:$O),0)</calculatedColumnFormula>
    </tableColumn>
    <tableColumn id="3" xr3:uid="{424F3E34-F2DD-1D44-BD53-F43736B48572}" name="Delayed Onboarding" dataDxfId="208">
      <calculatedColumnFormula>COUNTIFS('08_Onboarding_Tracker'!$D:$D,$J22,'08_Onboarding_Tracker'!$Q:$Q,"&gt;30",'08_Onboarding_Tracker'!$N:$N,"&lt;&gt;Complete")</calculatedColumnFormula>
    </tableColumn>
    <tableColumn id="4" xr3:uid="{25415443-24A4-BD48-BB15-54AC24911A8F}" name="90D Retention" dataDxfId="207">
      <calculatedColumnFormula>IFERROR(COUNTIFS('08_Onboarding_Tracker'!$D:$D,$J22,'08_Onboarding_Tracker'!$R:$R,"Yes")/(COUNTIFS('08_Onboarding_Tracker'!$D:$D,$J22,'08_Onboarding_Tracker'!$R:$R,"Yes")+COUNTIFS('08_Onboarding_Tracker'!$D:$D,$J22,'08_Onboarding_Tracker'!$R:$R,"No")),0)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85F65F-CD17-B04B-855D-545FEADD3D29}" name="Table43" displayName="Table43" ref="G35:L47" totalsRowShown="0" headerRowDxfId="206" dataDxfId="204" headerRowBorderDxfId="205" tableBorderDxfId="203">
  <tableColumns count="6">
    <tableColumn id="1" xr3:uid="{A2B01016-0D17-6A4A-B6F5-E4F4F440C15E}" name="Month" dataDxfId="202">
      <calculatedColumnFormula>'12_Calculation_Layer'!F34</calculatedColumnFormula>
    </tableColumn>
    <tableColumn id="2" xr3:uid="{BB4044D4-6E8E-4540-B9BB-A0D26501D97A}" name="Hires" dataDxfId="201">
      <calculatedColumnFormula>'12_Calculation_Layer'!G34</calculatedColumnFormula>
    </tableColumn>
    <tableColumn id="3" xr3:uid="{54B53A6F-E417-4643-B5BA-4AC65974D101}" name="Separations" dataDxfId="200">
      <calculatedColumnFormula>'12_Calculation_Layer'!H34</calculatedColumnFormula>
    </tableColumn>
    <tableColumn id="4" xr3:uid="{C8307B55-6A02-3844-83C3-48C8D01994A3}" name="Active Headcount" dataDxfId="199">
      <calculatedColumnFormula>'12_Calculation_Layer'!I34</calculatedColumnFormula>
    </tableColumn>
    <tableColumn id="5" xr3:uid="{468999E3-8309-7342-AD50-659866FEDD0E}" name="Total Output" dataDxfId="198">
      <calculatedColumnFormula>'12_Calculation_Layer'!J34</calculatedColumnFormula>
    </tableColumn>
    <tableColumn id="6" xr3:uid="{91E0BF30-C72B-344F-8CF3-9C22E1AF9BA2}" name="Total Workload" dataDxfId="197">
      <calculatedColumnFormula>'12_Calculation_Layer'!K34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5FC2383-24BA-2A4F-B9DE-4F4B68FFC6B2}" name="Table44" displayName="Table44" ref="N35:Q45" totalsRowShown="0" headerRowDxfId="196" dataDxfId="194" headerRowBorderDxfId="195" tableBorderDxfId="193">
  <tableColumns count="4">
    <tableColumn id="1" xr3:uid="{4562A32D-15F7-1440-A5B5-660514B32A79}" name="Department" dataDxfId="192"/>
    <tableColumn id="2" xr3:uid="{2D86C583-6C70-7649-948B-FB2274BEFE00}" name="Risk Score" dataDxfId="191">
      <calculatedColumnFormula>'12_Calculation_Layer'!Q11</calculatedColumnFormula>
    </tableColumn>
    <tableColumn id="3" xr3:uid="{A0E2E46C-4F6A-BF4E-AF5F-3344F8D6B313}" name="Risk Category" dataDxfId="190">
      <calculatedColumnFormula>'12_Calculation_Layer'!R11</calculatedColumnFormula>
    </tableColumn>
    <tableColumn id="4" xr3:uid="{2F6E78E2-6A6F-3449-A2A8-2C5FA01C3E61}" name="Recommended Focus" dataDxfId="189">
      <calculatedColumnFormula>IF(O36&gt;=75,"Immediate executive review",IF(O36&gt;=50,"Manager action plan",IF(O36&gt;=25,"Monitor monthly","Maintain current plan")))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hangeLog" displayName="tblChangeLog" ref="A4:D7" headerRowDxfId="188" dataDxfId="186" totalsRowDxfId="184" headerRowBorderDxfId="187" tableBorderDxfId="185">
  <tableColumns count="4">
    <tableColumn id="1" xr3:uid="{00000000-0010-0000-0B00-000001000000}" name="Version" dataDxfId="183"/>
    <tableColumn id="2" xr3:uid="{00000000-0010-0000-0B00-000002000000}" name="Date" dataDxfId="182"/>
    <tableColumn id="3" xr3:uid="{00000000-0010-0000-0B00-000003000000}" name="Change Summary" dataDxfId="181"/>
    <tableColumn id="4" xr3:uid="{00000000-0010-0000-0B00-000004000000}" name="Owner" dataDxfId="18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QAChecks" displayName="tblQAChecks" ref="A4:E20" headerRowDxfId="179" dataDxfId="177" totalsRowDxfId="175" headerRowBorderDxfId="178" tableBorderDxfId="176">
  <tableColumns count="5">
    <tableColumn id="1" xr3:uid="{00000000-0010-0000-0C00-000001000000}" name="Check Name" dataDxfId="174"/>
    <tableColumn id="2" xr3:uid="{00000000-0010-0000-0C00-000002000000}" name="Logic" dataDxfId="173"/>
    <tableColumn id="3" xr3:uid="{00000000-0010-0000-0C00-000003000000}" name="Issue Count" dataDxfId="172"/>
    <tableColumn id="4" xr3:uid="{00000000-0010-0000-0C00-000004000000}" name="Status" dataDxfId="171"/>
    <tableColumn id="5" xr3:uid="{00000000-0010-0000-0C00-000005000000}" name="Suggested Action" dataDxfId="17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SQLSchema" displayName="tblSQLSchema" ref="A4:G18" headerRowDxfId="169" dataDxfId="167" totalsRowDxfId="165" headerRowBorderDxfId="168" tableBorderDxfId="166">
  <tableColumns count="7">
    <tableColumn id="1" xr3:uid="{00000000-0010-0000-0D00-000001000000}" name="Table Type" dataDxfId="164"/>
    <tableColumn id="2" xr3:uid="{00000000-0010-0000-0D00-000002000000}" name="SQL Table" dataDxfId="163"/>
    <tableColumn id="3" xr3:uid="{00000000-0010-0000-0D00-000003000000}" name="Primary Key" dataDxfId="162"/>
    <tableColumn id="4" xr3:uid="{00000000-0010-0000-0D00-000004000000}" name="Foreign Keys" dataDxfId="161"/>
    <tableColumn id="5" xr3:uid="{00000000-0010-0000-0D00-000005000000}" name="Field Examples" dataDxfId="160"/>
    <tableColumn id="6" xr3:uid="{00000000-0010-0000-0D00-000006000000}" name="Source Workbook Table" dataDxfId="159"/>
    <tableColumn id="7" xr3:uid="{00000000-0010-0000-0D00-000007000000}" name="Relationship Notes" dataDxfId="15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B19EFE2-D5A5-D04E-AB48-1E7DBCA6B390}" name="Table45" displayName="Table45" ref="A4:E13" totalsRowShown="0" headerRowDxfId="157" dataDxfId="155" headerRowBorderDxfId="156" tableBorderDxfId="154" totalsRowBorderDxfId="153">
  <tableColumns count="5">
    <tableColumn id="1" xr3:uid="{DE939018-2696-5942-8604-1D0A46DEBBCE}" name="From Table" dataDxfId="152"/>
    <tableColumn id="2" xr3:uid="{60805BFB-7B23-1840-AD89-68B530546C86}" name="From Column" dataDxfId="151"/>
    <tableColumn id="3" xr3:uid="{B75433A0-D961-2F4C-A874-9BD0E84645A6}" name="To Table" dataDxfId="150"/>
    <tableColumn id="4" xr3:uid="{34D49BE9-34E4-9F40-9894-6A763947A988}" name="To Column" dataDxfId="149"/>
    <tableColumn id="5" xr3:uid="{E9606592-1C30-404E-AF40-892996DFF97D}" name="Relationship Guidance" dataDxfId="14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34DAEAB-6A35-5B44-923B-A26B6582D93F}" name="Table46" displayName="Table46" ref="A16:C33" totalsRowShown="0" headerRowDxfId="147" dataDxfId="145" headerRowBorderDxfId="146" tableBorderDxfId="144" totalsRowBorderDxfId="143">
  <tableColumns count="3">
    <tableColumn id="1" xr3:uid="{56F640D5-8611-E84E-9744-5AEEA2CF2188}" name="Measure" dataDxfId="142"/>
    <tableColumn id="2" xr3:uid="{E12E7D15-DB5E-5B45-BDDE-2CE9BAE22D1C}" name="DAX / Formula Concept" dataDxfId="141"/>
    <tableColumn id="3" xr3:uid="{3FD13805-CB35-9F4C-BCFB-54030269F7A2}" name="Business Purpose" dataDxfId="14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9414C8-A6F0-3242-B37C-80E0552D847C}" name="Table47" displayName="Table47" ref="A36:D39" totalsRowShown="0" headerRowDxfId="139" dataDxfId="137" headerRowBorderDxfId="138" tableBorderDxfId="136" totalsRowBorderDxfId="135">
  <tableColumns count="4">
    <tableColumn id="1" xr3:uid="{AA197B94-A84E-9545-8F37-1DDA293779F5}" name="Power BI Page" dataDxfId="134"/>
    <tableColumn id="2" xr3:uid="{3B7B8F9D-F00B-8D48-ABB9-BCA587804BA9}" name="Recommended Visuals" dataDxfId="133"/>
    <tableColumn id="3" xr3:uid="{7B76F7A3-37D2-1742-BC26-6BF7A53AEF15}" name="Filters/Slicers" dataDxfId="132"/>
    <tableColumn id="4" xr3:uid="{5BEE6777-1779-D24D-BEC0-126BC8954849}" name="Business Questions Answered" dataDxfId="13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687B787-36A0-AA47-9508-23E930683D6F}" name="Table50" displayName="Table50" ref="E16:F26" totalsRowShown="0" headerRowDxfId="130" dataDxfId="128" headerRowBorderDxfId="129" tableBorderDxfId="127" totalsRowBorderDxfId="126">
  <autoFilter ref="E16:F26" xr:uid="{0687B787-36A0-AA47-9508-23E930683D6F}"/>
  <tableColumns count="2">
    <tableColumn id="1" xr3:uid="{920A4F0F-8663-8345-BB3C-8810020D3BD6}" name="Table" dataDxfId="125"/>
    <tableColumn id="2" xr3:uid="{92CC42CD-2A89-9346-A1D8-8347B2777120}" name="Grain" dataDxfId="12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PortfolioCaseStudy" displayName="tblPortfolioCaseStudy" ref="A4:B20" headerRowDxfId="123" dataDxfId="121" totalsRowDxfId="119" headerRowBorderDxfId="122" tableBorderDxfId="120">
  <tableColumns count="2">
    <tableColumn id="1" xr3:uid="{00000000-0010-0000-0E00-000001000000}" name="Section" dataDxfId="118"/>
    <tableColumn id="2" xr3:uid="{00000000-0010-0000-0E00-000002000000}" name="Details" dataDxfId="1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4" Type="http://schemas.openxmlformats.org/officeDocument/2006/relationships/table" Target="../tables/table4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tabSelected="1" zoomScale="63" zoomScaleNormal="100" workbookViewId="0">
      <selection activeCell="C19" sqref="C19"/>
    </sheetView>
  </sheetViews>
  <sheetFormatPr baseColWidth="10" defaultColWidth="8.83203125" defaultRowHeight="15"/>
  <cols>
    <col min="1" max="14" width="30.83203125" style="91" customWidth="1"/>
    <col min="15" max="16384" width="8.83203125" style="91"/>
  </cols>
  <sheetData>
    <row r="1" spans="1:14" ht="47" customHeight="1">
      <c r="A1" s="53" t="s">
        <v>3036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22" customHeigh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>
      <c r="A3" s="253"/>
      <c r="B3" s="253"/>
      <c r="C3" s="253"/>
      <c r="D3" s="253"/>
      <c r="E3" s="253"/>
      <c r="F3" s="253"/>
    </row>
    <row r="4" spans="1:14" ht="24">
      <c r="A4" s="75" t="s">
        <v>2</v>
      </c>
      <c r="B4" s="267" t="s">
        <v>3036</v>
      </c>
      <c r="C4" s="268"/>
      <c r="D4" s="268"/>
      <c r="E4" s="268"/>
      <c r="F4" s="268"/>
      <c r="G4" s="253"/>
      <c r="H4" s="70" t="s">
        <v>3</v>
      </c>
      <c r="J4" s="70" t="s">
        <v>4</v>
      </c>
      <c r="K4" s="70"/>
      <c r="L4" s="70"/>
      <c r="N4" s="70" t="s">
        <v>5</v>
      </c>
    </row>
    <row r="5" spans="1:14" ht="24">
      <c r="A5" s="75" t="s">
        <v>6</v>
      </c>
      <c r="B5" s="267" t="s">
        <v>7</v>
      </c>
      <c r="C5" s="268"/>
      <c r="D5" s="268"/>
      <c r="E5" s="268"/>
      <c r="F5" s="268"/>
      <c r="G5" s="253"/>
      <c r="H5" s="269" t="s">
        <v>8</v>
      </c>
      <c r="J5" s="269" t="s">
        <v>9</v>
      </c>
      <c r="N5" s="270" t="s">
        <v>10</v>
      </c>
    </row>
    <row r="6" spans="1:14" ht="24">
      <c r="A6" s="75" t="s">
        <v>11</v>
      </c>
      <c r="B6" s="267" t="s">
        <v>12</v>
      </c>
      <c r="C6" s="268"/>
      <c r="D6" s="268"/>
      <c r="E6" s="268"/>
      <c r="F6" s="268"/>
      <c r="G6" s="253"/>
      <c r="H6" s="269" t="s">
        <v>13</v>
      </c>
      <c r="J6" s="269" t="s">
        <v>14</v>
      </c>
      <c r="N6" s="270" t="s">
        <v>15</v>
      </c>
    </row>
    <row r="7" spans="1:14" ht="24">
      <c r="A7" s="75" t="s">
        <v>16</v>
      </c>
      <c r="B7" s="267" t="s">
        <v>17</v>
      </c>
      <c r="C7" s="268"/>
      <c r="D7" s="268"/>
      <c r="E7" s="268"/>
      <c r="F7" s="268"/>
      <c r="G7" s="253"/>
      <c r="H7" s="269" t="s">
        <v>18</v>
      </c>
      <c r="J7" s="269" t="s">
        <v>19</v>
      </c>
      <c r="N7" s="270" t="s">
        <v>20</v>
      </c>
    </row>
    <row r="8" spans="1:14" ht="24">
      <c r="A8" s="75" t="s">
        <v>21</v>
      </c>
      <c r="B8" s="267" t="s">
        <v>22</v>
      </c>
      <c r="C8" s="268"/>
      <c r="D8" s="268"/>
      <c r="E8" s="268"/>
      <c r="F8" s="268"/>
      <c r="G8" s="253"/>
      <c r="H8" s="269" t="s">
        <v>23</v>
      </c>
      <c r="J8" s="269" t="s">
        <v>24</v>
      </c>
      <c r="N8" s="270" t="s">
        <v>25</v>
      </c>
    </row>
    <row r="9" spans="1:14" ht="24">
      <c r="A9" s="75" t="s">
        <v>26</v>
      </c>
      <c r="B9" s="267" t="s">
        <v>27</v>
      </c>
      <c r="C9" s="268"/>
      <c r="D9" s="268"/>
      <c r="E9" s="268"/>
      <c r="F9" s="268"/>
      <c r="G9" s="253"/>
      <c r="H9" s="269" t="s">
        <v>28</v>
      </c>
      <c r="J9" s="269" t="s">
        <v>29</v>
      </c>
      <c r="N9" s="270" t="s">
        <v>30</v>
      </c>
    </row>
    <row r="10" spans="1:14" ht="24">
      <c r="A10" s="75" t="s">
        <v>31</v>
      </c>
      <c r="B10" s="267" t="s">
        <v>32</v>
      </c>
      <c r="C10" s="268"/>
      <c r="D10" s="268"/>
      <c r="E10" s="268"/>
      <c r="F10" s="268"/>
      <c r="G10" s="253"/>
    </row>
    <row r="11" spans="1:14" ht="24">
      <c r="A11" s="75" t="s">
        <v>33</v>
      </c>
      <c r="B11" s="267" t="s">
        <v>34</v>
      </c>
      <c r="C11" s="268"/>
      <c r="D11" s="268"/>
      <c r="E11" s="268"/>
      <c r="F11" s="268"/>
      <c r="G11" s="253"/>
    </row>
    <row r="12" spans="1:14">
      <c r="A12" s="271"/>
      <c r="B12" s="272"/>
      <c r="C12" s="253"/>
      <c r="D12" s="253"/>
      <c r="E12" s="253"/>
      <c r="F12" s="253"/>
    </row>
    <row r="14" spans="1:14" ht="24">
      <c r="A14" s="69" t="s">
        <v>39</v>
      </c>
      <c r="B14" s="70" t="s">
        <v>40</v>
      </c>
      <c r="C14" s="70" t="s">
        <v>11</v>
      </c>
      <c r="D14" s="70" t="s">
        <v>41</v>
      </c>
      <c r="F14" s="70" t="s">
        <v>35</v>
      </c>
      <c r="G14" s="70" t="s">
        <v>10</v>
      </c>
      <c r="H14" s="70" t="s">
        <v>20</v>
      </c>
      <c r="I14" s="70" t="s">
        <v>36</v>
      </c>
      <c r="J14" s="70" t="s">
        <v>37</v>
      </c>
      <c r="K14" s="70" t="s">
        <v>38</v>
      </c>
    </row>
    <row r="15" spans="1:14" ht="40">
      <c r="A15" s="17" t="s">
        <v>47</v>
      </c>
      <c r="B15" s="63" t="s">
        <v>48</v>
      </c>
      <c r="C15" s="17" t="s">
        <v>49</v>
      </c>
      <c r="D15" s="17" t="s">
        <v>50</v>
      </c>
      <c r="F15" s="270" t="s">
        <v>42</v>
      </c>
      <c r="G15" s="270" t="s">
        <v>43</v>
      </c>
      <c r="H15" s="270" t="s">
        <v>44</v>
      </c>
      <c r="I15" s="270" t="s">
        <v>45</v>
      </c>
      <c r="J15" s="270" t="s">
        <v>46</v>
      </c>
      <c r="K15" s="270" t="s">
        <v>46</v>
      </c>
    </row>
    <row r="16" spans="1:14" ht="40">
      <c r="A16" s="17" t="s">
        <v>52</v>
      </c>
      <c r="B16" s="63" t="s">
        <v>48</v>
      </c>
      <c r="C16" s="17" t="s">
        <v>49</v>
      </c>
      <c r="D16" s="17" t="s">
        <v>50</v>
      </c>
      <c r="F16" s="270" t="s">
        <v>51</v>
      </c>
      <c r="G16" s="270" t="s">
        <v>45</v>
      </c>
      <c r="H16" s="270" t="s">
        <v>44</v>
      </c>
      <c r="I16" s="270" t="s">
        <v>43</v>
      </c>
      <c r="J16" s="270" t="s">
        <v>45</v>
      </c>
      <c r="K16" s="270" t="s">
        <v>46</v>
      </c>
    </row>
    <row r="17" spans="1:11" ht="40">
      <c r="A17" s="17" t="s">
        <v>54</v>
      </c>
      <c r="B17" s="63" t="s">
        <v>48</v>
      </c>
      <c r="C17" s="17" t="s">
        <v>49</v>
      </c>
      <c r="D17" s="17" t="s">
        <v>50</v>
      </c>
      <c r="F17" s="270" t="s">
        <v>53</v>
      </c>
      <c r="G17" s="270" t="s">
        <v>43</v>
      </c>
      <c r="H17" s="270" t="s">
        <v>44</v>
      </c>
      <c r="I17" s="270" t="s">
        <v>46</v>
      </c>
      <c r="J17" s="270" t="s">
        <v>46</v>
      </c>
      <c r="K17" s="270" t="s">
        <v>46</v>
      </c>
    </row>
    <row r="18" spans="1:11" ht="40">
      <c r="A18" s="17" t="s">
        <v>57</v>
      </c>
      <c r="B18" s="63" t="s">
        <v>58</v>
      </c>
      <c r="C18" s="17" t="s">
        <v>49</v>
      </c>
      <c r="D18" s="17" t="s">
        <v>50</v>
      </c>
      <c r="F18" s="270" t="s">
        <v>55</v>
      </c>
      <c r="G18" s="270" t="s">
        <v>45</v>
      </c>
      <c r="H18" s="270" t="s">
        <v>46</v>
      </c>
      <c r="I18" s="270" t="s">
        <v>46</v>
      </c>
      <c r="J18" s="270" t="s">
        <v>56</v>
      </c>
      <c r="K18" s="270" t="s">
        <v>46</v>
      </c>
    </row>
    <row r="19" spans="1:11" ht="40">
      <c r="A19" s="17" t="s">
        <v>60</v>
      </c>
      <c r="B19" s="63" t="s">
        <v>58</v>
      </c>
      <c r="C19" s="17" t="s">
        <v>49</v>
      </c>
      <c r="D19" s="17" t="s">
        <v>50</v>
      </c>
      <c r="F19" s="270" t="s">
        <v>59</v>
      </c>
      <c r="G19" s="270" t="s">
        <v>46</v>
      </c>
      <c r="H19" s="270" t="s">
        <v>43</v>
      </c>
      <c r="I19" s="270" t="s">
        <v>43</v>
      </c>
      <c r="J19" s="270" t="s">
        <v>45</v>
      </c>
      <c r="K19" s="270" t="s">
        <v>44</v>
      </c>
    </row>
    <row r="20" spans="1:11" ht="40">
      <c r="A20" s="17" t="s">
        <v>62</v>
      </c>
      <c r="B20" s="63" t="s">
        <v>58</v>
      </c>
      <c r="C20" s="17" t="s">
        <v>49</v>
      </c>
      <c r="D20" s="17" t="s">
        <v>50</v>
      </c>
      <c r="F20" s="270" t="s">
        <v>61</v>
      </c>
      <c r="G20" s="270" t="s">
        <v>45</v>
      </c>
      <c r="H20" s="270" t="s">
        <v>43</v>
      </c>
      <c r="I20" s="270" t="s">
        <v>56</v>
      </c>
      <c r="J20" s="270" t="s">
        <v>46</v>
      </c>
      <c r="K20" s="270" t="s">
        <v>46</v>
      </c>
    </row>
    <row r="21" spans="1:11" ht="40">
      <c r="A21" s="17" t="s">
        <v>63</v>
      </c>
      <c r="B21" s="63" t="s">
        <v>58</v>
      </c>
      <c r="C21" s="17" t="s">
        <v>49</v>
      </c>
      <c r="D21" s="17" t="s">
        <v>50</v>
      </c>
      <c r="F21" s="253"/>
      <c r="G21" s="253"/>
      <c r="H21" s="253"/>
    </row>
    <row r="22" spans="1:11" ht="38" customHeight="1">
      <c r="A22" s="17" t="s">
        <v>64</v>
      </c>
      <c r="B22" s="63" t="s">
        <v>58</v>
      </c>
      <c r="C22" s="17" t="s">
        <v>49</v>
      </c>
      <c r="D22" s="17" t="s">
        <v>50</v>
      </c>
      <c r="F22" s="206" t="s">
        <v>3037</v>
      </c>
      <c r="G22" s="207"/>
      <c r="H22" s="208"/>
      <c r="I22" s="253"/>
      <c r="J22" s="215" t="s">
        <v>3049</v>
      </c>
      <c r="K22" s="216"/>
    </row>
    <row r="23" spans="1:11" ht="40">
      <c r="A23" s="17" t="s">
        <v>65</v>
      </c>
      <c r="B23" s="63" t="s">
        <v>58</v>
      </c>
      <c r="C23" s="17" t="s">
        <v>49</v>
      </c>
      <c r="D23" s="17" t="s">
        <v>50</v>
      </c>
      <c r="F23" s="209"/>
      <c r="G23" s="210"/>
      <c r="H23" s="211"/>
      <c r="I23" s="253"/>
      <c r="J23" s="217"/>
      <c r="K23" s="218"/>
    </row>
    <row r="24" spans="1:11" ht="40">
      <c r="A24" s="17" t="s">
        <v>66</v>
      </c>
      <c r="B24" s="63" t="s">
        <v>58</v>
      </c>
      <c r="C24" s="17" t="s">
        <v>49</v>
      </c>
      <c r="D24" s="17" t="s">
        <v>50</v>
      </c>
      <c r="F24" s="212"/>
      <c r="G24" s="213"/>
      <c r="H24" s="214"/>
      <c r="I24" s="253"/>
      <c r="J24" s="219"/>
      <c r="K24" s="220"/>
    </row>
    <row r="25" spans="1:11" ht="40">
      <c r="A25" s="17" t="s">
        <v>67</v>
      </c>
      <c r="B25" s="63" t="s">
        <v>58</v>
      </c>
      <c r="C25" s="17" t="s">
        <v>49</v>
      </c>
      <c r="D25" s="17" t="s">
        <v>50</v>
      </c>
    </row>
    <row r="26" spans="1:11" ht="40">
      <c r="A26" s="17" t="s">
        <v>68</v>
      </c>
      <c r="B26" s="63" t="s">
        <v>58</v>
      </c>
      <c r="C26" s="17" t="s">
        <v>49</v>
      </c>
      <c r="D26" s="17" t="s">
        <v>50</v>
      </c>
    </row>
    <row r="27" spans="1:11" ht="40">
      <c r="A27" s="17" t="s">
        <v>69</v>
      </c>
      <c r="B27" s="63" t="s">
        <v>48</v>
      </c>
      <c r="C27" s="17" t="s">
        <v>49</v>
      </c>
      <c r="D27" s="17" t="s">
        <v>50</v>
      </c>
    </row>
    <row r="28" spans="1:11" ht="40">
      <c r="A28" s="17" t="s">
        <v>70</v>
      </c>
      <c r="B28" s="63" t="s">
        <v>48</v>
      </c>
      <c r="C28" s="17" t="s">
        <v>49</v>
      </c>
      <c r="D28" s="17" t="s">
        <v>50</v>
      </c>
    </row>
    <row r="29" spans="1:11" ht="40">
      <c r="A29" s="17" t="s">
        <v>71</v>
      </c>
      <c r="B29" s="63" t="s">
        <v>72</v>
      </c>
      <c r="C29" s="17" t="s">
        <v>49</v>
      </c>
      <c r="D29" s="17" t="s">
        <v>73</v>
      </c>
    </row>
    <row r="30" spans="1:11" ht="40">
      <c r="A30" s="17" t="s">
        <v>74</v>
      </c>
      <c r="B30" s="63" t="s">
        <v>72</v>
      </c>
      <c r="C30" s="17" t="s">
        <v>49</v>
      </c>
      <c r="D30" s="17" t="s">
        <v>73</v>
      </c>
    </row>
    <row r="31" spans="1:11" ht="40">
      <c r="A31" s="17" t="s">
        <v>75</v>
      </c>
      <c r="B31" s="63" t="s">
        <v>72</v>
      </c>
      <c r="C31" s="17" t="s">
        <v>49</v>
      </c>
      <c r="D31" s="17" t="s">
        <v>73</v>
      </c>
    </row>
    <row r="32" spans="1:11" ht="40">
      <c r="A32" s="17" t="s">
        <v>76</v>
      </c>
      <c r="B32" s="63" t="s">
        <v>48</v>
      </c>
      <c r="C32" s="17" t="s">
        <v>49</v>
      </c>
      <c r="D32" s="17" t="s">
        <v>50</v>
      </c>
    </row>
    <row r="33" spans="1:4" ht="40">
      <c r="A33" s="17" t="s">
        <v>77</v>
      </c>
      <c r="B33" s="63" t="s">
        <v>48</v>
      </c>
      <c r="C33" s="17" t="s">
        <v>49</v>
      </c>
      <c r="D33" s="17" t="s">
        <v>50</v>
      </c>
    </row>
    <row r="34" spans="1:4" ht="40">
      <c r="A34" s="17" t="s">
        <v>78</v>
      </c>
      <c r="B34" s="63" t="s">
        <v>48</v>
      </c>
      <c r="C34" s="17" t="s">
        <v>49</v>
      </c>
      <c r="D34" s="17" t="s">
        <v>50</v>
      </c>
    </row>
    <row r="35" spans="1:4" ht="40">
      <c r="A35" s="17" t="s">
        <v>79</v>
      </c>
      <c r="B35" s="63" t="s">
        <v>48</v>
      </c>
      <c r="C35" s="17" t="s">
        <v>49</v>
      </c>
      <c r="D35" s="17" t="s">
        <v>50</v>
      </c>
    </row>
    <row r="36" spans="1:4" ht="40">
      <c r="A36" s="17" t="s">
        <v>80</v>
      </c>
      <c r="B36" s="63" t="s">
        <v>48</v>
      </c>
      <c r="C36" s="17" t="s">
        <v>49</v>
      </c>
      <c r="D36" s="17" t="s">
        <v>50</v>
      </c>
    </row>
  </sheetData>
  <mergeCells count="2">
    <mergeCell ref="F22:H24"/>
    <mergeCell ref="J22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"/>
  <sheetViews>
    <sheetView showGridLines="0" topLeftCell="B1" zoomScale="136" workbookViewId="0">
      <pane ySplit="4" topLeftCell="A44" activePane="bottomLeft" state="frozen"/>
      <selection pane="bottomLeft" activeCell="C46" sqref="C46"/>
    </sheetView>
  </sheetViews>
  <sheetFormatPr baseColWidth="10" defaultColWidth="8.83203125" defaultRowHeight="14"/>
  <cols>
    <col min="1" max="1" width="28" style="180" customWidth="1"/>
    <col min="2" max="2" width="24" style="190" customWidth="1"/>
    <col min="3" max="3" width="28" style="190" customWidth="1"/>
    <col min="4" max="4" width="50" style="190" customWidth="1"/>
    <col min="5" max="5" width="12" style="190" customWidth="1"/>
    <col min="6" max="6" width="29.5" style="190" customWidth="1"/>
    <col min="7" max="7" width="24" style="180" customWidth="1"/>
    <col min="8" max="8" width="32" style="180" customWidth="1"/>
    <col min="9" max="16384" width="8.83203125" style="180"/>
  </cols>
  <sheetData>
    <row r="1" spans="1:8" ht="44">
      <c r="A1" s="53" t="s">
        <v>81</v>
      </c>
      <c r="B1" s="128"/>
      <c r="C1" s="128"/>
      <c r="D1" s="128"/>
      <c r="E1" s="128"/>
      <c r="F1" s="128"/>
      <c r="G1" s="53"/>
      <c r="H1" s="53"/>
    </row>
    <row r="2" spans="1:8" ht="25">
      <c r="A2" s="68" t="s">
        <v>82</v>
      </c>
      <c r="B2" s="129"/>
      <c r="C2" s="129"/>
      <c r="D2" s="129"/>
      <c r="E2" s="129"/>
      <c r="F2" s="129"/>
      <c r="G2" s="68"/>
      <c r="H2" s="68"/>
    </row>
    <row r="4" spans="1:8" ht="16">
      <c r="A4" s="77" t="s">
        <v>83</v>
      </c>
      <c r="B4" s="133" t="s">
        <v>84</v>
      </c>
      <c r="C4" s="133" t="s">
        <v>85</v>
      </c>
      <c r="D4" s="133" t="s">
        <v>86</v>
      </c>
      <c r="E4" s="133" t="s">
        <v>87</v>
      </c>
      <c r="F4" s="133" t="s">
        <v>88</v>
      </c>
      <c r="G4" s="78" t="s">
        <v>89</v>
      </c>
      <c r="H4" s="79" t="s">
        <v>90</v>
      </c>
    </row>
    <row r="5" spans="1:8" ht="16">
      <c r="A5" s="80" t="s">
        <v>57</v>
      </c>
      <c r="B5" s="120" t="s">
        <v>91</v>
      </c>
      <c r="C5" s="120" t="s">
        <v>92</v>
      </c>
      <c r="D5" s="139" t="s">
        <v>93</v>
      </c>
      <c r="E5" s="117" t="s">
        <v>94</v>
      </c>
      <c r="F5" s="186" t="s">
        <v>95</v>
      </c>
      <c r="G5" s="81" t="s">
        <v>96</v>
      </c>
      <c r="H5" s="84" t="s">
        <v>97</v>
      </c>
    </row>
    <row r="6" spans="1:8" ht="32">
      <c r="A6" s="80" t="s">
        <v>57</v>
      </c>
      <c r="B6" s="120" t="s">
        <v>91</v>
      </c>
      <c r="C6" s="120" t="s">
        <v>98</v>
      </c>
      <c r="D6" s="139" t="s">
        <v>99</v>
      </c>
      <c r="E6" s="117" t="s">
        <v>94</v>
      </c>
      <c r="F6" s="186" t="s">
        <v>100</v>
      </c>
      <c r="G6" s="120" t="s">
        <v>101</v>
      </c>
      <c r="H6" s="84" t="s">
        <v>97</v>
      </c>
    </row>
    <row r="7" spans="1:8" ht="16">
      <c r="A7" s="80" t="s">
        <v>57</v>
      </c>
      <c r="B7" s="120" t="s">
        <v>91</v>
      </c>
      <c r="C7" s="120" t="s">
        <v>102</v>
      </c>
      <c r="D7" s="139" t="s">
        <v>103</v>
      </c>
      <c r="E7" s="117" t="s">
        <v>94</v>
      </c>
      <c r="F7" s="186" t="s">
        <v>95</v>
      </c>
      <c r="G7" s="120" t="s">
        <v>104</v>
      </c>
      <c r="H7" s="84" t="s">
        <v>105</v>
      </c>
    </row>
    <row r="8" spans="1:8" ht="16">
      <c r="A8" s="80" t="s">
        <v>57</v>
      </c>
      <c r="B8" s="120" t="s">
        <v>91</v>
      </c>
      <c r="C8" s="120" t="s">
        <v>106</v>
      </c>
      <c r="D8" s="139" t="s">
        <v>107</v>
      </c>
      <c r="E8" s="117" t="s">
        <v>94</v>
      </c>
      <c r="F8" s="186" t="s">
        <v>100</v>
      </c>
      <c r="G8" s="120" t="s">
        <v>108</v>
      </c>
      <c r="H8" s="84" t="s">
        <v>97</v>
      </c>
    </row>
    <row r="9" spans="1:8" ht="16">
      <c r="A9" s="80" t="s">
        <v>57</v>
      </c>
      <c r="B9" s="120" t="s">
        <v>91</v>
      </c>
      <c r="C9" s="120" t="s">
        <v>109</v>
      </c>
      <c r="D9" s="139" t="s">
        <v>110</v>
      </c>
      <c r="E9" s="117" t="s">
        <v>94</v>
      </c>
      <c r="F9" s="186" t="s">
        <v>95</v>
      </c>
      <c r="G9" s="120" t="s">
        <v>111</v>
      </c>
      <c r="H9" s="84" t="s">
        <v>97</v>
      </c>
    </row>
    <row r="10" spans="1:8" ht="16">
      <c r="A10" s="80" t="s">
        <v>57</v>
      </c>
      <c r="B10" s="120" t="s">
        <v>91</v>
      </c>
      <c r="C10" s="120" t="s">
        <v>112</v>
      </c>
      <c r="D10" s="139" t="s">
        <v>103</v>
      </c>
      <c r="E10" s="117" t="s">
        <v>94</v>
      </c>
      <c r="F10" s="186" t="s">
        <v>95</v>
      </c>
      <c r="G10" s="120" t="s">
        <v>113</v>
      </c>
      <c r="H10" s="84" t="s">
        <v>97</v>
      </c>
    </row>
    <row r="11" spans="1:8" ht="16">
      <c r="A11" s="80" t="s">
        <v>57</v>
      </c>
      <c r="B11" s="120" t="s">
        <v>91</v>
      </c>
      <c r="C11" s="120" t="s">
        <v>114</v>
      </c>
      <c r="D11" s="139" t="s">
        <v>103</v>
      </c>
      <c r="E11" s="117" t="s">
        <v>94</v>
      </c>
      <c r="F11" s="186" t="s">
        <v>100</v>
      </c>
      <c r="G11" s="120" t="s">
        <v>104</v>
      </c>
      <c r="H11" s="84" t="s">
        <v>115</v>
      </c>
    </row>
    <row r="12" spans="1:8" ht="16">
      <c r="A12" s="80" t="s">
        <v>57</v>
      </c>
      <c r="B12" s="120" t="s">
        <v>91</v>
      </c>
      <c r="C12" s="120" t="s">
        <v>116</v>
      </c>
      <c r="D12" s="139" t="s">
        <v>117</v>
      </c>
      <c r="E12" s="117" t="s">
        <v>94</v>
      </c>
      <c r="F12" s="186" t="s">
        <v>100</v>
      </c>
      <c r="G12" s="120" t="s">
        <v>118</v>
      </c>
      <c r="H12" s="84" t="s">
        <v>97</v>
      </c>
    </row>
    <row r="13" spans="1:8" ht="32">
      <c r="A13" s="80" t="s">
        <v>57</v>
      </c>
      <c r="B13" s="120" t="s">
        <v>91</v>
      </c>
      <c r="C13" s="120" t="s">
        <v>119</v>
      </c>
      <c r="D13" s="139" t="s">
        <v>120</v>
      </c>
      <c r="E13" s="117" t="s">
        <v>94</v>
      </c>
      <c r="F13" s="186" t="s">
        <v>100</v>
      </c>
      <c r="G13" s="117" t="s">
        <v>121</v>
      </c>
      <c r="H13" s="84" t="s">
        <v>122</v>
      </c>
    </row>
    <row r="14" spans="1:8" ht="16">
      <c r="A14" s="80" t="s">
        <v>57</v>
      </c>
      <c r="B14" s="120" t="s">
        <v>91</v>
      </c>
      <c r="C14" s="120" t="s">
        <v>123</v>
      </c>
      <c r="D14" s="139" t="s">
        <v>124</v>
      </c>
      <c r="E14" s="117" t="s">
        <v>125</v>
      </c>
      <c r="F14" s="186" t="s">
        <v>95</v>
      </c>
      <c r="G14" s="189" t="s">
        <v>126</v>
      </c>
      <c r="H14" s="84" t="s">
        <v>97</v>
      </c>
    </row>
    <row r="15" spans="1:8" ht="16">
      <c r="A15" s="80" t="s">
        <v>57</v>
      </c>
      <c r="B15" s="120" t="s">
        <v>91</v>
      </c>
      <c r="C15" s="120" t="s">
        <v>127</v>
      </c>
      <c r="D15" s="139" t="s">
        <v>124</v>
      </c>
      <c r="E15" s="117" t="s">
        <v>125</v>
      </c>
      <c r="F15" s="186" t="s">
        <v>95</v>
      </c>
      <c r="G15" s="189" t="s">
        <v>128</v>
      </c>
      <c r="H15" s="84" t="s">
        <v>97</v>
      </c>
    </row>
    <row r="16" spans="1:8" ht="16">
      <c r="A16" s="80" t="s">
        <v>57</v>
      </c>
      <c r="B16" s="120" t="s">
        <v>91</v>
      </c>
      <c r="C16" s="120" t="s">
        <v>129</v>
      </c>
      <c r="D16" s="139" t="s">
        <v>130</v>
      </c>
      <c r="E16" s="117" t="s">
        <v>94</v>
      </c>
      <c r="F16" s="186" t="s">
        <v>95</v>
      </c>
      <c r="G16" s="81" t="s">
        <v>131</v>
      </c>
      <c r="H16" s="84" t="s">
        <v>132</v>
      </c>
    </row>
    <row r="17" spans="1:8" ht="32">
      <c r="A17" s="80" t="s">
        <v>57</v>
      </c>
      <c r="B17" s="120" t="s">
        <v>91</v>
      </c>
      <c r="C17" s="120" t="s">
        <v>133</v>
      </c>
      <c r="D17" s="139" t="s">
        <v>134</v>
      </c>
      <c r="E17" s="117" t="s">
        <v>94</v>
      </c>
      <c r="F17" s="186" t="s">
        <v>3058</v>
      </c>
      <c r="G17" s="81"/>
      <c r="H17" s="84" t="s">
        <v>3057</v>
      </c>
    </row>
    <row r="18" spans="1:8" ht="16">
      <c r="A18" s="80" t="s">
        <v>57</v>
      </c>
      <c r="B18" s="120" t="s">
        <v>91</v>
      </c>
      <c r="C18" s="120" t="s">
        <v>135</v>
      </c>
      <c r="D18" s="139" t="s">
        <v>136</v>
      </c>
      <c r="E18" s="117" t="s">
        <v>94</v>
      </c>
      <c r="F18" s="186" t="s">
        <v>100</v>
      </c>
      <c r="G18" s="81" t="s">
        <v>137</v>
      </c>
      <c r="H18" s="84" t="s">
        <v>97</v>
      </c>
    </row>
    <row r="19" spans="1:8" ht="16">
      <c r="A19" s="80" t="s">
        <v>57</v>
      </c>
      <c r="B19" s="120" t="s">
        <v>91</v>
      </c>
      <c r="C19" s="120" t="s">
        <v>138</v>
      </c>
      <c r="D19" s="139" t="s">
        <v>139</v>
      </c>
      <c r="E19" s="117" t="s">
        <v>94</v>
      </c>
      <c r="F19" s="186" t="s">
        <v>100</v>
      </c>
      <c r="G19" s="83" t="s">
        <v>140</v>
      </c>
      <c r="H19" s="84" t="s">
        <v>97</v>
      </c>
    </row>
    <row r="20" spans="1:8" ht="16">
      <c r="A20" s="80" t="s">
        <v>57</v>
      </c>
      <c r="B20" s="120" t="s">
        <v>91</v>
      </c>
      <c r="C20" s="120" t="s">
        <v>141</v>
      </c>
      <c r="D20" s="139" t="s">
        <v>142</v>
      </c>
      <c r="E20" s="117" t="s">
        <v>157</v>
      </c>
      <c r="F20" s="186" t="s">
        <v>100</v>
      </c>
      <c r="G20" s="83"/>
      <c r="H20" s="84" t="s">
        <v>97</v>
      </c>
    </row>
    <row r="21" spans="1:8" ht="16">
      <c r="A21" s="80" t="s">
        <v>57</v>
      </c>
      <c r="B21" s="120" t="s">
        <v>91</v>
      </c>
      <c r="C21" s="120" t="s">
        <v>143</v>
      </c>
      <c r="D21" s="139" t="s">
        <v>144</v>
      </c>
      <c r="E21" s="117" t="s">
        <v>94</v>
      </c>
      <c r="F21" s="186" t="s">
        <v>100</v>
      </c>
      <c r="G21" s="83"/>
      <c r="H21" s="84" t="s">
        <v>97</v>
      </c>
    </row>
    <row r="22" spans="1:8" ht="16">
      <c r="A22" s="80" t="s">
        <v>57</v>
      </c>
      <c r="B22" s="120" t="s">
        <v>91</v>
      </c>
      <c r="C22" s="120" t="s">
        <v>145</v>
      </c>
      <c r="D22" s="139" t="s">
        <v>146</v>
      </c>
      <c r="E22" s="117" t="s">
        <v>94</v>
      </c>
      <c r="F22" s="186" t="s">
        <v>100</v>
      </c>
      <c r="G22" s="83"/>
      <c r="H22" s="84" t="s">
        <v>97</v>
      </c>
    </row>
    <row r="23" spans="1:8" ht="32">
      <c r="A23" s="80" t="s">
        <v>57</v>
      </c>
      <c r="B23" s="120" t="s">
        <v>91</v>
      </c>
      <c r="C23" s="120" t="s">
        <v>147</v>
      </c>
      <c r="D23" s="139" t="s">
        <v>148</v>
      </c>
      <c r="E23" s="117" t="s">
        <v>94</v>
      </c>
      <c r="F23" s="186" t="s">
        <v>100</v>
      </c>
      <c r="G23" s="83" t="s">
        <v>100</v>
      </c>
      <c r="H23" s="84" t="s">
        <v>149</v>
      </c>
    </row>
    <row r="24" spans="1:8" ht="16">
      <c r="A24" s="80" t="s">
        <v>60</v>
      </c>
      <c r="B24" s="120" t="s">
        <v>150</v>
      </c>
      <c r="C24" s="120" t="s">
        <v>109</v>
      </c>
      <c r="D24" s="139" t="s">
        <v>110</v>
      </c>
      <c r="E24" s="117" t="s">
        <v>94</v>
      </c>
      <c r="F24" s="186" t="s">
        <v>95</v>
      </c>
      <c r="G24" s="81" t="s">
        <v>151</v>
      </c>
      <c r="H24" s="84" t="s">
        <v>97</v>
      </c>
    </row>
    <row r="25" spans="1:8" ht="16">
      <c r="A25" s="80" t="s">
        <v>60</v>
      </c>
      <c r="B25" s="120" t="s">
        <v>150</v>
      </c>
      <c r="C25" s="120" t="s">
        <v>102</v>
      </c>
      <c r="D25" s="139" t="s">
        <v>103</v>
      </c>
      <c r="E25" s="117" t="s">
        <v>94</v>
      </c>
      <c r="F25" s="186" t="s">
        <v>95</v>
      </c>
      <c r="G25" s="81" t="s">
        <v>152</v>
      </c>
      <c r="H25" s="84" t="s">
        <v>105</v>
      </c>
    </row>
    <row r="26" spans="1:8" ht="16">
      <c r="A26" s="80" t="s">
        <v>60</v>
      </c>
      <c r="B26" s="120" t="s">
        <v>150</v>
      </c>
      <c r="C26" s="120" t="s">
        <v>112</v>
      </c>
      <c r="D26" s="139" t="s">
        <v>103</v>
      </c>
      <c r="E26" s="117" t="s">
        <v>94</v>
      </c>
      <c r="F26" s="186" t="s">
        <v>95</v>
      </c>
      <c r="G26" s="81" t="s">
        <v>153</v>
      </c>
      <c r="H26" s="84" t="s">
        <v>97</v>
      </c>
    </row>
    <row r="27" spans="1:8" ht="16">
      <c r="A27" s="80" t="s">
        <v>60</v>
      </c>
      <c r="B27" s="120" t="s">
        <v>150</v>
      </c>
      <c r="C27" s="120" t="s">
        <v>114</v>
      </c>
      <c r="D27" s="139" t="s">
        <v>103</v>
      </c>
      <c r="E27" s="117" t="s">
        <v>94</v>
      </c>
      <c r="F27" s="186" t="s">
        <v>100</v>
      </c>
      <c r="G27" s="81" t="s">
        <v>154</v>
      </c>
      <c r="H27" s="84" t="s">
        <v>115</v>
      </c>
    </row>
    <row r="28" spans="1:8" ht="16">
      <c r="A28" s="80" t="s">
        <v>60</v>
      </c>
      <c r="B28" s="120" t="s">
        <v>150</v>
      </c>
      <c r="C28" s="120" t="s">
        <v>155</v>
      </c>
      <c r="D28" s="139" t="s">
        <v>156</v>
      </c>
      <c r="E28" s="117" t="s">
        <v>157</v>
      </c>
      <c r="F28" s="186" t="s">
        <v>100</v>
      </c>
      <c r="G28" s="114">
        <v>15</v>
      </c>
      <c r="H28" s="84" t="s">
        <v>97</v>
      </c>
    </row>
    <row r="29" spans="1:8" ht="32">
      <c r="A29" s="80" t="s">
        <v>60</v>
      </c>
      <c r="B29" s="120" t="s">
        <v>150</v>
      </c>
      <c r="C29" s="120" t="s">
        <v>158</v>
      </c>
      <c r="D29" s="139" t="s">
        <v>159</v>
      </c>
      <c r="E29" s="117" t="s">
        <v>94</v>
      </c>
      <c r="F29" s="186" t="s">
        <v>100</v>
      </c>
      <c r="G29" s="83" t="s">
        <v>95</v>
      </c>
      <c r="H29" s="84" t="s">
        <v>97</v>
      </c>
    </row>
    <row r="30" spans="1:8" ht="32">
      <c r="A30" s="80" t="s">
        <v>60</v>
      </c>
      <c r="B30" s="120" t="s">
        <v>150</v>
      </c>
      <c r="C30" s="120" t="s">
        <v>160</v>
      </c>
      <c r="D30" s="139" t="s">
        <v>161</v>
      </c>
      <c r="E30" s="117" t="s">
        <v>157</v>
      </c>
      <c r="F30" s="186" t="s">
        <v>100</v>
      </c>
      <c r="G30" s="114">
        <v>20</v>
      </c>
      <c r="H30" s="84" t="s">
        <v>97</v>
      </c>
    </row>
    <row r="31" spans="1:8" ht="16">
      <c r="A31" s="80" t="s">
        <v>60</v>
      </c>
      <c r="B31" s="120" t="s">
        <v>150</v>
      </c>
      <c r="C31" s="120" t="s">
        <v>162</v>
      </c>
      <c r="D31" s="139" t="s">
        <v>163</v>
      </c>
      <c r="E31" s="117" t="s">
        <v>94</v>
      </c>
      <c r="F31" s="186" t="s">
        <v>100</v>
      </c>
      <c r="G31" s="83" t="s">
        <v>164</v>
      </c>
      <c r="H31" s="84" t="s">
        <v>97</v>
      </c>
    </row>
    <row r="32" spans="1:8" ht="16">
      <c r="A32" s="80" t="s">
        <v>60</v>
      </c>
      <c r="B32" s="120" t="s">
        <v>150</v>
      </c>
      <c r="C32" s="120" t="s">
        <v>165</v>
      </c>
      <c r="D32" s="139" t="s">
        <v>166</v>
      </c>
      <c r="E32" s="117" t="s">
        <v>94</v>
      </c>
      <c r="F32" s="186" t="s">
        <v>100</v>
      </c>
      <c r="G32" s="81" t="s">
        <v>167</v>
      </c>
      <c r="H32" s="84" t="s">
        <v>97</v>
      </c>
    </row>
    <row r="33" spans="1:8" ht="16">
      <c r="A33" s="80" t="s">
        <v>62</v>
      </c>
      <c r="B33" s="120" t="s">
        <v>168</v>
      </c>
      <c r="C33" s="120" t="s">
        <v>169</v>
      </c>
      <c r="D33" s="139" t="s">
        <v>170</v>
      </c>
      <c r="E33" s="117" t="s">
        <v>94</v>
      </c>
      <c r="F33" s="186" t="s">
        <v>95</v>
      </c>
      <c r="G33" s="81" t="s">
        <v>171</v>
      </c>
      <c r="H33" s="84" t="s">
        <v>97</v>
      </c>
    </row>
    <row r="34" spans="1:8" ht="16">
      <c r="A34" s="80" t="s">
        <v>62</v>
      </c>
      <c r="B34" s="120" t="s">
        <v>168</v>
      </c>
      <c r="C34" s="120" t="s">
        <v>172</v>
      </c>
      <c r="D34" s="139" t="s">
        <v>124</v>
      </c>
      <c r="E34" s="117" t="s">
        <v>125</v>
      </c>
      <c r="F34" s="186" t="s">
        <v>95</v>
      </c>
      <c r="G34" s="189" t="s">
        <v>173</v>
      </c>
      <c r="H34" s="84" t="s">
        <v>97</v>
      </c>
    </row>
    <row r="35" spans="1:8" ht="16">
      <c r="A35" s="80" t="s">
        <v>62</v>
      </c>
      <c r="B35" s="120" t="s">
        <v>168</v>
      </c>
      <c r="C35" s="120" t="s">
        <v>174</v>
      </c>
      <c r="D35" s="139" t="s">
        <v>124</v>
      </c>
      <c r="E35" s="117" t="s">
        <v>125</v>
      </c>
      <c r="F35" s="186" t="s">
        <v>95</v>
      </c>
      <c r="G35" s="189" t="s">
        <v>175</v>
      </c>
      <c r="H35" s="84" t="s">
        <v>97</v>
      </c>
    </row>
    <row r="36" spans="1:8" ht="16">
      <c r="A36" s="80" t="s">
        <v>62</v>
      </c>
      <c r="B36" s="120" t="s">
        <v>168</v>
      </c>
      <c r="C36" s="120" t="s">
        <v>102</v>
      </c>
      <c r="D36" s="139" t="s">
        <v>103</v>
      </c>
      <c r="E36" s="117" t="s">
        <v>94</v>
      </c>
      <c r="F36" s="186" t="s">
        <v>95</v>
      </c>
      <c r="G36" s="81" t="s">
        <v>176</v>
      </c>
      <c r="H36" s="84" t="s">
        <v>105</v>
      </c>
    </row>
    <row r="37" spans="1:8" ht="16">
      <c r="A37" s="80" t="s">
        <v>62</v>
      </c>
      <c r="B37" s="120" t="s">
        <v>168</v>
      </c>
      <c r="C37" s="120" t="s">
        <v>109</v>
      </c>
      <c r="D37" s="139" t="s">
        <v>110</v>
      </c>
      <c r="E37" s="117" t="s">
        <v>94</v>
      </c>
      <c r="F37" s="186" t="s">
        <v>95</v>
      </c>
      <c r="G37" s="81" t="s">
        <v>177</v>
      </c>
      <c r="H37" s="84" t="s">
        <v>97</v>
      </c>
    </row>
    <row r="38" spans="1:8" ht="16">
      <c r="A38" s="80" t="s">
        <v>62</v>
      </c>
      <c r="B38" s="120" t="s">
        <v>168</v>
      </c>
      <c r="C38" s="120" t="s">
        <v>112</v>
      </c>
      <c r="D38" s="139" t="s">
        <v>103</v>
      </c>
      <c r="E38" s="117" t="s">
        <v>94</v>
      </c>
      <c r="F38" s="186" t="s">
        <v>95</v>
      </c>
      <c r="G38" s="81" t="s">
        <v>178</v>
      </c>
      <c r="H38" s="84" t="s">
        <v>97</v>
      </c>
    </row>
    <row r="39" spans="1:8" ht="16">
      <c r="A39" s="80" t="s">
        <v>62</v>
      </c>
      <c r="B39" s="120" t="s">
        <v>168</v>
      </c>
      <c r="C39" s="120" t="s">
        <v>179</v>
      </c>
      <c r="D39" s="139" t="s">
        <v>180</v>
      </c>
      <c r="E39" s="117" t="s">
        <v>94</v>
      </c>
      <c r="F39" s="186" t="s">
        <v>100</v>
      </c>
      <c r="G39" s="81" t="s">
        <v>181</v>
      </c>
      <c r="H39" s="84" t="s">
        <v>97</v>
      </c>
    </row>
    <row r="40" spans="1:8" ht="16">
      <c r="A40" s="80" t="s">
        <v>62</v>
      </c>
      <c r="B40" s="120" t="s">
        <v>168</v>
      </c>
      <c r="C40" s="120" t="s">
        <v>155</v>
      </c>
      <c r="D40" s="139" t="s">
        <v>156</v>
      </c>
      <c r="E40" s="117" t="s">
        <v>157</v>
      </c>
      <c r="F40" s="186" t="s">
        <v>100</v>
      </c>
      <c r="G40" s="114">
        <v>1</v>
      </c>
      <c r="H40" s="84" t="s">
        <v>97</v>
      </c>
    </row>
    <row r="41" spans="1:8" ht="16">
      <c r="A41" s="80" t="s">
        <v>62</v>
      </c>
      <c r="B41" s="120" t="s">
        <v>168</v>
      </c>
      <c r="C41" s="120" t="s">
        <v>182</v>
      </c>
      <c r="D41" s="139" t="s">
        <v>183</v>
      </c>
      <c r="E41" s="117" t="s">
        <v>94</v>
      </c>
      <c r="F41" s="186" t="s">
        <v>100</v>
      </c>
      <c r="G41" s="81" t="s">
        <v>164</v>
      </c>
      <c r="H41" s="84" t="s">
        <v>184</v>
      </c>
    </row>
    <row r="42" spans="1:8" ht="16">
      <c r="A42" s="80" t="s">
        <v>62</v>
      </c>
      <c r="B42" s="120" t="s">
        <v>168</v>
      </c>
      <c r="C42" s="120" t="s">
        <v>185</v>
      </c>
      <c r="D42" s="139" t="s">
        <v>124</v>
      </c>
      <c r="E42" s="117" t="s">
        <v>125</v>
      </c>
      <c r="F42" s="186" t="s">
        <v>95</v>
      </c>
      <c r="G42" s="189" t="s">
        <v>186</v>
      </c>
      <c r="H42" s="84" t="s">
        <v>97</v>
      </c>
    </row>
    <row r="43" spans="1:8" ht="16">
      <c r="A43" s="80" t="s">
        <v>62</v>
      </c>
      <c r="B43" s="120" t="s">
        <v>168</v>
      </c>
      <c r="C43" s="120" t="s">
        <v>187</v>
      </c>
      <c r="D43" s="139" t="s">
        <v>130</v>
      </c>
      <c r="E43" s="117" t="s">
        <v>94</v>
      </c>
      <c r="F43" s="186" t="s">
        <v>95</v>
      </c>
      <c r="G43" s="81" t="s">
        <v>188</v>
      </c>
      <c r="H43" s="84" t="s">
        <v>189</v>
      </c>
    </row>
    <row r="44" spans="1:8" ht="32">
      <c r="A44" s="80" t="s">
        <v>62</v>
      </c>
      <c r="B44" s="120" t="s">
        <v>168</v>
      </c>
      <c r="C44" s="120" t="s">
        <v>190</v>
      </c>
      <c r="D44" s="139" t="s">
        <v>191</v>
      </c>
      <c r="E44" s="117" t="s">
        <v>94</v>
      </c>
      <c r="F44" s="186" t="s">
        <v>100</v>
      </c>
      <c r="G44" s="81" t="s">
        <v>192</v>
      </c>
      <c r="H44" s="84" t="s">
        <v>97</v>
      </c>
    </row>
    <row r="45" spans="1:8" ht="16">
      <c r="A45" s="80" t="s">
        <v>62</v>
      </c>
      <c r="B45" s="120" t="s">
        <v>168</v>
      </c>
      <c r="C45" s="120" t="s">
        <v>193</v>
      </c>
      <c r="D45" s="139" t="s">
        <v>194</v>
      </c>
      <c r="E45" s="117" t="s">
        <v>157</v>
      </c>
      <c r="F45" s="186" t="s">
        <v>100</v>
      </c>
      <c r="G45" s="81">
        <v>45</v>
      </c>
      <c r="H45" s="84" t="s">
        <v>97</v>
      </c>
    </row>
    <row r="46" spans="1:8" ht="16">
      <c r="A46" s="80" t="s">
        <v>62</v>
      </c>
      <c r="B46" s="120" t="s">
        <v>168</v>
      </c>
      <c r="C46" s="120" t="s">
        <v>195</v>
      </c>
      <c r="D46" s="139" t="s">
        <v>196</v>
      </c>
      <c r="E46" s="117" t="s">
        <v>157</v>
      </c>
      <c r="F46" s="186" t="s">
        <v>100</v>
      </c>
      <c r="G46" s="81"/>
      <c r="H46" s="84" t="s">
        <v>97</v>
      </c>
    </row>
    <row r="47" spans="1:8" ht="16">
      <c r="A47" s="80" t="s">
        <v>62</v>
      </c>
      <c r="B47" s="120" t="s">
        <v>168</v>
      </c>
      <c r="C47" s="120" t="s">
        <v>197</v>
      </c>
      <c r="D47" s="139" t="s">
        <v>130</v>
      </c>
      <c r="E47" s="117" t="s">
        <v>94</v>
      </c>
      <c r="F47" s="186" t="s">
        <v>95</v>
      </c>
      <c r="G47" s="81"/>
      <c r="H47" s="84" t="s">
        <v>198</v>
      </c>
    </row>
    <row r="48" spans="1:8" ht="16">
      <c r="A48" s="80" t="s">
        <v>62</v>
      </c>
      <c r="B48" s="120" t="s">
        <v>168</v>
      </c>
      <c r="C48" s="120" t="s">
        <v>199</v>
      </c>
      <c r="D48" s="139" t="s">
        <v>156</v>
      </c>
      <c r="E48" s="117" t="s">
        <v>157</v>
      </c>
      <c r="F48" s="186" t="s">
        <v>100</v>
      </c>
      <c r="G48" s="81"/>
      <c r="H48" s="84" t="s">
        <v>97</v>
      </c>
    </row>
    <row r="49" spans="1:8" ht="32">
      <c r="A49" s="80" t="s">
        <v>62</v>
      </c>
      <c r="B49" s="120" t="s">
        <v>168</v>
      </c>
      <c r="C49" s="120" t="s">
        <v>200</v>
      </c>
      <c r="D49" s="139" t="s">
        <v>201</v>
      </c>
      <c r="E49" s="117" t="s">
        <v>157</v>
      </c>
      <c r="F49" s="186" t="s">
        <v>100</v>
      </c>
      <c r="G49" s="81"/>
      <c r="H49" s="84" t="s">
        <v>97</v>
      </c>
    </row>
    <row r="50" spans="1:8" ht="32">
      <c r="A50" s="80" t="s">
        <v>62</v>
      </c>
      <c r="B50" s="120" t="s">
        <v>168</v>
      </c>
      <c r="C50" s="120" t="s">
        <v>3016</v>
      </c>
      <c r="D50" s="139" t="s">
        <v>3059</v>
      </c>
      <c r="E50" s="117" t="s">
        <v>125</v>
      </c>
      <c r="F50" s="186" t="s">
        <v>3058</v>
      </c>
      <c r="G50" s="188">
        <v>46165</v>
      </c>
      <c r="H50" s="84" t="s">
        <v>3062</v>
      </c>
    </row>
    <row r="51" spans="1:8" ht="32">
      <c r="A51" s="80" t="s">
        <v>62</v>
      </c>
      <c r="B51" s="120" t="s">
        <v>168</v>
      </c>
      <c r="C51" s="120" t="s">
        <v>3017</v>
      </c>
      <c r="D51" s="139" t="s">
        <v>3060</v>
      </c>
      <c r="E51" s="117" t="s">
        <v>157</v>
      </c>
      <c r="F51" s="186" t="s">
        <v>100</v>
      </c>
      <c r="G51" s="81">
        <v>47</v>
      </c>
      <c r="H51" s="84" t="s">
        <v>3063</v>
      </c>
    </row>
    <row r="52" spans="1:8" ht="48">
      <c r="A52" s="80" t="s">
        <v>62</v>
      </c>
      <c r="B52" s="120" t="s">
        <v>168</v>
      </c>
      <c r="C52" s="120" t="s">
        <v>3018</v>
      </c>
      <c r="D52" s="139" t="s">
        <v>3061</v>
      </c>
      <c r="E52" s="117" t="s">
        <v>94</v>
      </c>
      <c r="F52" s="186" t="s">
        <v>100</v>
      </c>
      <c r="G52" s="83" t="s">
        <v>378</v>
      </c>
      <c r="H52" s="84" t="s">
        <v>3064</v>
      </c>
    </row>
    <row r="53" spans="1:8" ht="16">
      <c r="A53" s="80" t="s">
        <v>63</v>
      </c>
      <c r="B53" s="120" t="s">
        <v>202</v>
      </c>
      <c r="C53" s="120" t="s">
        <v>203</v>
      </c>
      <c r="D53" s="139" t="s">
        <v>204</v>
      </c>
      <c r="E53" s="117" t="s">
        <v>94</v>
      </c>
      <c r="F53" s="186" t="s">
        <v>95</v>
      </c>
      <c r="G53" s="81" t="s">
        <v>205</v>
      </c>
      <c r="H53" s="84" t="s">
        <v>97</v>
      </c>
    </row>
    <row r="54" spans="1:8" ht="16">
      <c r="A54" s="80" t="s">
        <v>63</v>
      </c>
      <c r="B54" s="120" t="s">
        <v>202</v>
      </c>
      <c r="C54" s="120" t="s">
        <v>169</v>
      </c>
      <c r="D54" s="139" t="s">
        <v>170</v>
      </c>
      <c r="E54" s="117" t="s">
        <v>94</v>
      </c>
      <c r="F54" s="186" t="s">
        <v>95</v>
      </c>
      <c r="G54" s="81" t="s">
        <v>171</v>
      </c>
      <c r="H54" s="84" t="s">
        <v>97</v>
      </c>
    </row>
    <row r="55" spans="1:8" ht="16">
      <c r="A55" s="80" t="s">
        <v>63</v>
      </c>
      <c r="B55" s="120" t="s">
        <v>202</v>
      </c>
      <c r="C55" s="120" t="s">
        <v>206</v>
      </c>
      <c r="D55" s="139" t="s">
        <v>207</v>
      </c>
      <c r="E55" s="117" t="s">
        <v>94</v>
      </c>
      <c r="F55" s="186" t="s">
        <v>95</v>
      </c>
      <c r="G55" s="81" t="s">
        <v>208</v>
      </c>
      <c r="H55" s="84" t="s">
        <v>97</v>
      </c>
    </row>
    <row r="56" spans="1:8" ht="16">
      <c r="A56" s="80" t="s">
        <v>63</v>
      </c>
      <c r="B56" s="120" t="s">
        <v>202</v>
      </c>
      <c r="C56" s="120" t="s">
        <v>209</v>
      </c>
      <c r="D56" s="139" t="s">
        <v>124</v>
      </c>
      <c r="E56" s="117" t="s">
        <v>94</v>
      </c>
      <c r="F56" s="186" t="s">
        <v>95</v>
      </c>
      <c r="G56" s="81" t="s">
        <v>210</v>
      </c>
      <c r="H56" s="84" t="s">
        <v>97</v>
      </c>
    </row>
    <row r="57" spans="1:8" ht="16">
      <c r="A57" s="80" t="s">
        <v>63</v>
      </c>
      <c r="B57" s="120" t="s">
        <v>202</v>
      </c>
      <c r="C57" s="120" t="s">
        <v>211</v>
      </c>
      <c r="D57" s="139" t="s">
        <v>212</v>
      </c>
      <c r="E57" s="117" t="s">
        <v>94</v>
      </c>
      <c r="F57" s="186" t="s">
        <v>100</v>
      </c>
      <c r="G57" s="83" t="s">
        <v>213</v>
      </c>
      <c r="H57" s="84" t="s">
        <v>214</v>
      </c>
    </row>
    <row r="58" spans="1:8" ht="16">
      <c r="A58" s="80" t="s">
        <v>63</v>
      </c>
      <c r="B58" s="120" t="s">
        <v>202</v>
      </c>
      <c r="C58" s="120" t="s">
        <v>215</v>
      </c>
      <c r="D58" s="139" t="s">
        <v>124</v>
      </c>
      <c r="E58" s="117" t="s">
        <v>125</v>
      </c>
      <c r="F58" s="186" t="s">
        <v>95</v>
      </c>
      <c r="G58" s="189" t="s">
        <v>216</v>
      </c>
      <c r="H58" s="84" t="s">
        <v>97</v>
      </c>
    </row>
    <row r="59" spans="1:8" ht="16">
      <c r="A59" s="80" t="s">
        <v>63</v>
      </c>
      <c r="B59" s="120" t="s">
        <v>202</v>
      </c>
      <c r="C59" s="120" t="s">
        <v>217</v>
      </c>
      <c r="D59" s="139" t="s">
        <v>218</v>
      </c>
      <c r="E59" s="117" t="s">
        <v>94</v>
      </c>
      <c r="F59" s="186" t="s">
        <v>100</v>
      </c>
      <c r="G59" s="83" t="s">
        <v>219</v>
      </c>
      <c r="H59" s="84" t="s">
        <v>220</v>
      </c>
    </row>
    <row r="60" spans="1:8" ht="16">
      <c r="A60" s="80" t="s">
        <v>63</v>
      </c>
      <c r="B60" s="120" t="s">
        <v>202</v>
      </c>
      <c r="C60" s="120" t="s">
        <v>221</v>
      </c>
      <c r="D60" s="139" t="s">
        <v>124</v>
      </c>
      <c r="E60" s="117" t="s">
        <v>125</v>
      </c>
      <c r="F60" s="186" t="s">
        <v>95</v>
      </c>
      <c r="G60" s="188" t="s">
        <v>222</v>
      </c>
      <c r="H60" s="84" t="s">
        <v>97</v>
      </c>
    </row>
    <row r="61" spans="1:8" ht="16">
      <c r="A61" s="80" t="s">
        <v>63</v>
      </c>
      <c r="B61" s="120" t="s">
        <v>202</v>
      </c>
      <c r="C61" s="120" t="s">
        <v>223</v>
      </c>
      <c r="D61" s="139" t="s">
        <v>224</v>
      </c>
      <c r="E61" s="117" t="s">
        <v>94</v>
      </c>
      <c r="F61" s="186" t="s">
        <v>100</v>
      </c>
      <c r="G61" s="81" t="s">
        <v>192</v>
      </c>
      <c r="H61" s="84" t="s">
        <v>97</v>
      </c>
    </row>
    <row r="62" spans="1:8" ht="16">
      <c r="A62" s="80" t="s">
        <v>63</v>
      </c>
      <c r="B62" s="120" t="s">
        <v>202</v>
      </c>
      <c r="C62" s="120" t="s">
        <v>225</v>
      </c>
      <c r="D62" s="139" t="s">
        <v>226</v>
      </c>
      <c r="E62" s="117" t="s">
        <v>94</v>
      </c>
      <c r="F62" s="186" t="s">
        <v>100</v>
      </c>
      <c r="G62" s="81" t="s">
        <v>227</v>
      </c>
      <c r="H62" s="84" t="s">
        <v>97</v>
      </c>
    </row>
    <row r="63" spans="1:8" ht="32">
      <c r="A63" s="80" t="s">
        <v>63</v>
      </c>
      <c r="B63" s="120" t="s">
        <v>202</v>
      </c>
      <c r="C63" s="120" t="s">
        <v>228</v>
      </c>
      <c r="D63" s="139" t="s">
        <v>124</v>
      </c>
      <c r="E63" s="117" t="s">
        <v>125</v>
      </c>
      <c r="F63" s="186" t="s">
        <v>3058</v>
      </c>
      <c r="G63" s="189" t="s">
        <v>229</v>
      </c>
      <c r="H63" s="84" t="s">
        <v>3051</v>
      </c>
    </row>
    <row r="64" spans="1:8" ht="16">
      <c r="A64" s="80" t="s">
        <v>63</v>
      </c>
      <c r="B64" s="120" t="s">
        <v>202</v>
      </c>
      <c r="C64" s="120" t="s">
        <v>230</v>
      </c>
      <c r="D64" s="139" t="s">
        <v>130</v>
      </c>
      <c r="E64" s="117" t="s">
        <v>94</v>
      </c>
      <c r="F64" s="186" t="s">
        <v>95</v>
      </c>
      <c r="G64" s="83" t="s">
        <v>231</v>
      </c>
      <c r="H64" s="84" t="s">
        <v>232</v>
      </c>
    </row>
    <row r="65" spans="1:8" ht="16">
      <c r="A65" s="80" t="s">
        <v>63</v>
      </c>
      <c r="B65" s="120" t="s">
        <v>202</v>
      </c>
      <c r="C65" s="120" t="s">
        <v>123</v>
      </c>
      <c r="D65" s="139" t="s">
        <v>124</v>
      </c>
      <c r="E65" s="117" t="s">
        <v>125</v>
      </c>
      <c r="F65" s="186" t="s">
        <v>3058</v>
      </c>
      <c r="G65" s="189" t="s">
        <v>233</v>
      </c>
      <c r="H65" s="84" t="s">
        <v>3052</v>
      </c>
    </row>
    <row r="66" spans="1:8" ht="32">
      <c r="A66" s="80" t="s">
        <v>63</v>
      </c>
      <c r="B66" s="120" t="s">
        <v>202</v>
      </c>
      <c r="C66" s="120" t="s">
        <v>234</v>
      </c>
      <c r="D66" s="139" t="s">
        <v>235</v>
      </c>
      <c r="E66" s="117" t="s">
        <v>94</v>
      </c>
      <c r="F66" s="186" t="s">
        <v>3058</v>
      </c>
      <c r="G66" s="81"/>
      <c r="H66" s="84" t="s">
        <v>3053</v>
      </c>
    </row>
    <row r="67" spans="1:8" ht="32">
      <c r="A67" s="80" t="s">
        <v>63</v>
      </c>
      <c r="B67" s="120" t="s">
        <v>202</v>
      </c>
      <c r="C67" s="120" t="s">
        <v>236</v>
      </c>
      <c r="D67" s="139" t="s">
        <v>237</v>
      </c>
      <c r="E67" s="117" t="s">
        <v>94</v>
      </c>
      <c r="F67" s="186" t="s">
        <v>3058</v>
      </c>
      <c r="G67" s="81"/>
      <c r="H67" s="84" t="s">
        <v>3054</v>
      </c>
    </row>
    <row r="68" spans="1:8" ht="32">
      <c r="A68" s="80" t="s">
        <v>63</v>
      </c>
      <c r="B68" s="120" t="s">
        <v>202</v>
      </c>
      <c r="C68" s="120" t="s">
        <v>238</v>
      </c>
      <c r="D68" s="139" t="s">
        <v>239</v>
      </c>
      <c r="E68" s="117" t="s">
        <v>157</v>
      </c>
      <c r="F68" s="186" t="s">
        <v>100</v>
      </c>
      <c r="G68" s="81"/>
      <c r="H68" s="84" t="s">
        <v>97</v>
      </c>
    </row>
    <row r="69" spans="1:8" ht="16">
      <c r="A69" s="80" t="s">
        <v>63</v>
      </c>
      <c r="B69" s="120" t="s">
        <v>202</v>
      </c>
      <c r="C69" s="120" t="s">
        <v>240</v>
      </c>
      <c r="D69" s="139" t="s">
        <v>130</v>
      </c>
      <c r="E69" s="117" t="s">
        <v>94</v>
      </c>
      <c r="F69" s="186" t="s">
        <v>95</v>
      </c>
      <c r="G69" s="81"/>
      <c r="H69" s="84" t="s">
        <v>97</v>
      </c>
    </row>
    <row r="70" spans="1:8" ht="32">
      <c r="A70" s="80" t="s">
        <v>63</v>
      </c>
      <c r="B70" s="120" t="s">
        <v>202</v>
      </c>
      <c r="C70" s="120" t="s">
        <v>241</v>
      </c>
      <c r="D70" s="139" t="s">
        <v>242</v>
      </c>
      <c r="E70" s="117" t="s">
        <v>94</v>
      </c>
      <c r="F70" s="186" t="s">
        <v>100</v>
      </c>
      <c r="G70" s="81"/>
      <c r="H70" s="84" t="s">
        <v>97</v>
      </c>
    </row>
    <row r="71" spans="1:8" ht="32">
      <c r="A71" s="80" t="s">
        <v>63</v>
      </c>
      <c r="B71" s="120" t="s">
        <v>202</v>
      </c>
      <c r="C71" s="120" t="s">
        <v>243</v>
      </c>
      <c r="D71" s="139" t="s">
        <v>244</v>
      </c>
      <c r="E71" s="117" t="s">
        <v>157</v>
      </c>
      <c r="F71" s="186" t="s">
        <v>100</v>
      </c>
      <c r="G71" s="81"/>
      <c r="H71" s="84" t="s">
        <v>97</v>
      </c>
    </row>
    <row r="72" spans="1:8" ht="32">
      <c r="A72" s="80" t="s">
        <v>63</v>
      </c>
      <c r="B72" s="120" t="s">
        <v>202</v>
      </c>
      <c r="C72" s="120" t="s">
        <v>1020</v>
      </c>
      <c r="D72" s="139" t="s">
        <v>3065</v>
      </c>
      <c r="E72" s="117" t="s">
        <v>94</v>
      </c>
      <c r="F72" s="186" t="s">
        <v>100</v>
      </c>
      <c r="G72" s="180" t="s">
        <v>176</v>
      </c>
      <c r="H72" s="84" t="s">
        <v>3066</v>
      </c>
    </row>
    <row r="73" spans="1:8" ht="16">
      <c r="A73" s="80" t="s">
        <v>64</v>
      </c>
      <c r="B73" s="120" t="s">
        <v>245</v>
      </c>
      <c r="C73" s="120" t="s">
        <v>246</v>
      </c>
      <c r="D73" s="139" t="s">
        <v>247</v>
      </c>
      <c r="E73" s="117" t="s">
        <v>94</v>
      </c>
      <c r="F73" s="186" t="s">
        <v>95</v>
      </c>
      <c r="G73" s="81" t="s">
        <v>248</v>
      </c>
      <c r="H73" s="84" t="s">
        <v>97</v>
      </c>
    </row>
    <row r="74" spans="1:8" ht="16">
      <c r="A74" s="80" t="s">
        <v>64</v>
      </c>
      <c r="B74" s="120" t="s">
        <v>245</v>
      </c>
      <c r="C74" s="120" t="s">
        <v>169</v>
      </c>
      <c r="D74" s="139" t="s">
        <v>170</v>
      </c>
      <c r="E74" s="117" t="s">
        <v>94</v>
      </c>
      <c r="F74" s="186" t="s">
        <v>95</v>
      </c>
      <c r="G74" s="81" t="s">
        <v>249</v>
      </c>
      <c r="H74" s="84" t="s">
        <v>97</v>
      </c>
    </row>
    <row r="75" spans="1:8" ht="16">
      <c r="A75" s="80" t="s">
        <v>64</v>
      </c>
      <c r="B75" s="120" t="s">
        <v>245</v>
      </c>
      <c r="C75" s="120" t="s">
        <v>250</v>
      </c>
      <c r="D75" s="139" t="s">
        <v>124</v>
      </c>
      <c r="E75" s="117" t="s">
        <v>125</v>
      </c>
      <c r="F75" s="186" t="s">
        <v>95</v>
      </c>
      <c r="G75" s="189" t="s">
        <v>251</v>
      </c>
      <c r="H75" s="84" t="s">
        <v>97</v>
      </c>
    </row>
    <row r="76" spans="1:8" ht="16">
      <c r="A76" s="80" t="s">
        <v>64</v>
      </c>
      <c r="B76" s="120" t="s">
        <v>245</v>
      </c>
      <c r="C76" s="120" t="s">
        <v>252</v>
      </c>
      <c r="D76" s="139" t="s">
        <v>253</v>
      </c>
      <c r="E76" s="117" t="s">
        <v>94</v>
      </c>
      <c r="F76" s="186" t="s">
        <v>100</v>
      </c>
      <c r="G76" s="81" t="s">
        <v>254</v>
      </c>
      <c r="H76" s="84" t="s">
        <v>97</v>
      </c>
    </row>
    <row r="77" spans="1:8" ht="16">
      <c r="A77" s="80" t="s">
        <v>64</v>
      </c>
      <c r="B77" s="120" t="s">
        <v>245</v>
      </c>
      <c r="C77" s="120" t="s">
        <v>255</v>
      </c>
      <c r="D77" s="139" t="s">
        <v>256</v>
      </c>
      <c r="E77" s="117" t="s">
        <v>94</v>
      </c>
      <c r="F77" s="186" t="s">
        <v>100</v>
      </c>
      <c r="G77" s="81" t="s">
        <v>257</v>
      </c>
      <c r="H77" s="84" t="s">
        <v>97</v>
      </c>
    </row>
    <row r="78" spans="1:8" ht="16">
      <c r="A78" s="80" t="s">
        <v>64</v>
      </c>
      <c r="B78" s="120" t="s">
        <v>245</v>
      </c>
      <c r="C78" s="120" t="s">
        <v>258</v>
      </c>
      <c r="D78" s="139" t="s">
        <v>259</v>
      </c>
      <c r="E78" s="117" t="s">
        <v>157</v>
      </c>
      <c r="F78" s="186" t="s">
        <v>100</v>
      </c>
      <c r="G78" s="192">
        <v>9063.56</v>
      </c>
      <c r="H78" s="84" t="s">
        <v>97</v>
      </c>
    </row>
    <row r="79" spans="1:8" ht="16">
      <c r="A79" s="80" t="s">
        <v>64</v>
      </c>
      <c r="B79" s="120" t="s">
        <v>245</v>
      </c>
      <c r="C79" s="120" t="s">
        <v>102</v>
      </c>
      <c r="D79" s="139" t="s">
        <v>103</v>
      </c>
      <c r="E79" s="117" t="s">
        <v>94</v>
      </c>
      <c r="F79" s="186" t="s">
        <v>95</v>
      </c>
      <c r="G79" s="81" t="s">
        <v>37</v>
      </c>
      <c r="H79" s="84" t="s">
        <v>105</v>
      </c>
    </row>
    <row r="80" spans="1:8" ht="16">
      <c r="A80" s="80" t="s">
        <v>64</v>
      </c>
      <c r="B80" s="120" t="s">
        <v>245</v>
      </c>
      <c r="C80" s="120" t="s">
        <v>112</v>
      </c>
      <c r="D80" s="139" t="s">
        <v>103</v>
      </c>
      <c r="E80" s="117" t="s">
        <v>94</v>
      </c>
      <c r="F80" s="186" t="s">
        <v>95</v>
      </c>
      <c r="G80" s="81" t="s">
        <v>260</v>
      </c>
      <c r="H80" s="84" t="s">
        <v>97</v>
      </c>
    </row>
    <row r="81" spans="1:8" ht="16">
      <c r="A81" s="80" t="s">
        <v>64</v>
      </c>
      <c r="B81" s="120" t="s">
        <v>245</v>
      </c>
      <c r="C81" s="120" t="s">
        <v>211</v>
      </c>
      <c r="D81" s="139" t="s">
        <v>212</v>
      </c>
      <c r="E81" s="117" t="s">
        <v>94</v>
      </c>
      <c r="F81" s="186" t="s">
        <v>100</v>
      </c>
      <c r="G81" s="81" t="s">
        <v>261</v>
      </c>
      <c r="H81" s="84" t="s">
        <v>214</v>
      </c>
    </row>
    <row r="82" spans="1:8" ht="16">
      <c r="A82" s="80" t="s">
        <v>64</v>
      </c>
      <c r="B82" s="120" t="s">
        <v>245</v>
      </c>
      <c r="C82" s="120" t="s">
        <v>262</v>
      </c>
      <c r="D82" s="139" t="s">
        <v>263</v>
      </c>
      <c r="E82" s="117" t="s">
        <v>94</v>
      </c>
      <c r="F82" s="186" t="s">
        <v>100</v>
      </c>
      <c r="G82" s="81" t="s">
        <v>264</v>
      </c>
      <c r="H82" s="84" t="s">
        <v>97</v>
      </c>
    </row>
    <row r="83" spans="1:8" ht="16">
      <c r="A83" s="80" t="s">
        <v>65</v>
      </c>
      <c r="B83" s="120" t="s">
        <v>265</v>
      </c>
      <c r="C83" s="120" t="s">
        <v>266</v>
      </c>
      <c r="D83" s="139" t="s">
        <v>267</v>
      </c>
      <c r="E83" s="117" t="s">
        <v>94</v>
      </c>
      <c r="F83" s="186" t="s">
        <v>95</v>
      </c>
      <c r="G83" s="81" t="s">
        <v>268</v>
      </c>
      <c r="H83" s="84" t="s">
        <v>97</v>
      </c>
    </row>
    <row r="84" spans="1:8" ht="16">
      <c r="A84" s="80" t="s">
        <v>65</v>
      </c>
      <c r="B84" s="120" t="s">
        <v>265</v>
      </c>
      <c r="C84" s="120" t="s">
        <v>92</v>
      </c>
      <c r="D84" s="139" t="s">
        <v>93</v>
      </c>
      <c r="E84" s="117" t="s">
        <v>94</v>
      </c>
      <c r="F84" s="186" t="s">
        <v>95</v>
      </c>
      <c r="G84" s="81" t="s">
        <v>269</v>
      </c>
      <c r="H84" s="84" t="s">
        <v>97</v>
      </c>
    </row>
    <row r="85" spans="1:8" ht="16">
      <c r="A85" s="80" t="s">
        <v>65</v>
      </c>
      <c r="B85" s="120" t="s">
        <v>265</v>
      </c>
      <c r="C85" s="120" t="s">
        <v>123</v>
      </c>
      <c r="D85" s="139" t="s">
        <v>124</v>
      </c>
      <c r="E85" s="117" t="s">
        <v>125</v>
      </c>
      <c r="F85" s="186" t="s">
        <v>95</v>
      </c>
      <c r="G85" s="189" t="s">
        <v>270</v>
      </c>
      <c r="H85" s="84" t="s">
        <v>97</v>
      </c>
    </row>
    <row r="86" spans="1:8" ht="16">
      <c r="A86" s="80" t="s">
        <v>65</v>
      </c>
      <c r="B86" s="120" t="s">
        <v>265</v>
      </c>
      <c r="C86" s="120" t="s">
        <v>102</v>
      </c>
      <c r="D86" s="139" t="s">
        <v>103</v>
      </c>
      <c r="E86" s="117" t="s">
        <v>94</v>
      </c>
      <c r="F86" s="186" t="s">
        <v>95</v>
      </c>
      <c r="G86" s="81" t="s">
        <v>271</v>
      </c>
      <c r="H86" s="84" t="s">
        <v>105</v>
      </c>
    </row>
    <row r="87" spans="1:8" ht="16">
      <c r="A87" s="80" t="s">
        <v>65</v>
      </c>
      <c r="B87" s="120" t="s">
        <v>265</v>
      </c>
      <c r="C87" s="120" t="s">
        <v>112</v>
      </c>
      <c r="D87" s="139" t="s">
        <v>103</v>
      </c>
      <c r="E87" s="117" t="s">
        <v>94</v>
      </c>
      <c r="F87" s="186" t="s">
        <v>95</v>
      </c>
      <c r="G87" s="81" t="s">
        <v>20</v>
      </c>
      <c r="H87" s="84" t="s">
        <v>97</v>
      </c>
    </row>
    <row r="88" spans="1:8" ht="32">
      <c r="A88" s="80" t="s">
        <v>65</v>
      </c>
      <c r="B88" s="120" t="s">
        <v>265</v>
      </c>
      <c r="C88" s="120" t="s">
        <v>272</v>
      </c>
      <c r="D88" s="139" t="s">
        <v>273</v>
      </c>
      <c r="E88" s="117" t="s">
        <v>94</v>
      </c>
      <c r="F88" s="186" t="s">
        <v>100</v>
      </c>
      <c r="G88" s="83" t="s">
        <v>95</v>
      </c>
      <c r="H88" s="84" t="s">
        <v>97</v>
      </c>
    </row>
    <row r="89" spans="1:8" ht="32">
      <c r="A89" s="80" t="s">
        <v>65</v>
      </c>
      <c r="B89" s="120" t="s">
        <v>265</v>
      </c>
      <c r="C89" s="120" t="s">
        <v>274</v>
      </c>
      <c r="D89" s="139" t="s">
        <v>275</v>
      </c>
      <c r="E89" s="117" t="s">
        <v>94</v>
      </c>
      <c r="F89" s="186" t="s">
        <v>100</v>
      </c>
      <c r="G89" s="83" t="s">
        <v>95</v>
      </c>
      <c r="H89" s="84" t="s">
        <v>97</v>
      </c>
    </row>
    <row r="90" spans="1:8" ht="16">
      <c r="A90" s="80" t="s">
        <v>65</v>
      </c>
      <c r="B90" s="120" t="s">
        <v>265</v>
      </c>
      <c r="C90" s="120" t="s">
        <v>276</v>
      </c>
      <c r="D90" s="139" t="s">
        <v>156</v>
      </c>
      <c r="E90" s="117" t="s">
        <v>3050</v>
      </c>
      <c r="F90" s="186" t="s">
        <v>100</v>
      </c>
      <c r="G90" s="83" t="s">
        <v>95</v>
      </c>
      <c r="H90" s="84" t="s">
        <v>97</v>
      </c>
    </row>
    <row r="91" spans="1:8" ht="32">
      <c r="A91" s="80" t="s">
        <v>65</v>
      </c>
      <c r="B91" s="120" t="s">
        <v>265</v>
      </c>
      <c r="C91" s="120" t="s">
        <v>277</v>
      </c>
      <c r="D91" s="139" t="s">
        <v>278</v>
      </c>
      <c r="E91" s="117" t="s">
        <v>94</v>
      </c>
      <c r="F91" s="186" t="s">
        <v>100</v>
      </c>
      <c r="G91" s="83" t="s">
        <v>95</v>
      </c>
      <c r="H91" s="84" t="s">
        <v>97</v>
      </c>
    </row>
    <row r="92" spans="1:8" ht="32">
      <c r="A92" s="80" t="s">
        <v>65</v>
      </c>
      <c r="B92" s="120" t="s">
        <v>265</v>
      </c>
      <c r="C92" s="120" t="s">
        <v>279</v>
      </c>
      <c r="D92" s="139" t="s">
        <v>280</v>
      </c>
      <c r="E92" s="117" t="s">
        <v>94</v>
      </c>
      <c r="F92" s="186" t="s">
        <v>100</v>
      </c>
      <c r="G92" s="83" t="s">
        <v>95</v>
      </c>
      <c r="H92" s="84" t="s">
        <v>97</v>
      </c>
    </row>
    <row r="93" spans="1:8" ht="32">
      <c r="A93" s="80" t="s">
        <v>65</v>
      </c>
      <c r="B93" s="120" t="s">
        <v>265</v>
      </c>
      <c r="C93" s="120" t="s">
        <v>281</v>
      </c>
      <c r="D93" s="139" t="s">
        <v>282</v>
      </c>
      <c r="E93" s="117" t="s">
        <v>94</v>
      </c>
      <c r="F93" s="186" t="s">
        <v>100</v>
      </c>
      <c r="G93" s="83" t="s">
        <v>95</v>
      </c>
      <c r="H93" s="84" t="s">
        <v>97</v>
      </c>
    </row>
    <row r="94" spans="1:8" ht="32">
      <c r="A94" s="80" t="s">
        <v>65</v>
      </c>
      <c r="B94" s="120" t="s">
        <v>265</v>
      </c>
      <c r="C94" s="120" t="s">
        <v>283</v>
      </c>
      <c r="D94" s="139" t="s">
        <v>284</v>
      </c>
      <c r="E94" s="117" t="s">
        <v>94</v>
      </c>
      <c r="F94" s="186" t="s">
        <v>100</v>
      </c>
      <c r="G94" s="83" t="s">
        <v>95</v>
      </c>
      <c r="H94" s="84" t="s">
        <v>97</v>
      </c>
    </row>
    <row r="95" spans="1:8" ht="32">
      <c r="A95" s="80" t="s">
        <v>65</v>
      </c>
      <c r="B95" s="120" t="s">
        <v>265</v>
      </c>
      <c r="C95" s="120" t="s">
        <v>285</v>
      </c>
      <c r="D95" s="139" t="s">
        <v>286</v>
      </c>
      <c r="E95" s="117" t="s">
        <v>94</v>
      </c>
      <c r="F95" s="186" t="s">
        <v>100</v>
      </c>
      <c r="G95" s="83" t="s">
        <v>95</v>
      </c>
      <c r="H95" s="84" t="s">
        <v>97</v>
      </c>
    </row>
    <row r="96" spans="1:8" ht="32">
      <c r="A96" s="80" t="s">
        <v>65</v>
      </c>
      <c r="B96" s="120" t="s">
        <v>265</v>
      </c>
      <c r="C96" s="120" t="s">
        <v>287</v>
      </c>
      <c r="D96" s="139" t="s">
        <v>130</v>
      </c>
      <c r="E96" s="117" t="s">
        <v>94</v>
      </c>
      <c r="F96" s="186" t="s">
        <v>95</v>
      </c>
      <c r="G96" s="83" t="s">
        <v>288</v>
      </c>
      <c r="H96" s="84" t="s">
        <v>289</v>
      </c>
    </row>
    <row r="97" spans="1:8" ht="16">
      <c r="A97" s="80" t="s">
        <v>65</v>
      </c>
      <c r="B97" s="120" t="s">
        <v>265</v>
      </c>
      <c r="C97" s="120" t="s">
        <v>290</v>
      </c>
      <c r="D97" s="139" t="s">
        <v>291</v>
      </c>
      <c r="E97" s="117" t="s">
        <v>157</v>
      </c>
      <c r="F97" s="186" t="s">
        <v>100</v>
      </c>
      <c r="G97" s="81"/>
      <c r="H97" s="84" t="s">
        <v>97</v>
      </c>
    </row>
    <row r="98" spans="1:8" ht="32">
      <c r="A98" s="80" t="s">
        <v>65</v>
      </c>
      <c r="B98" s="120" t="s">
        <v>265</v>
      </c>
      <c r="C98" s="120" t="s">
        <v>292</v>
      </c>
      <c r="D98" s="139" t="s">
        <v>124</v>
      </c>
      <c r="E98" s="117" t="s">
        <v>125</v>
      </c>
      <c r="F98" s="186" t="s">
        <v>3058</v>
      </c>
      <c r="G98" s="189" t="s">
        <v>293</v>
      </c>
      <c r="H98" s="84" t="s">
        <v>3055</v>
      </c>
    </row>
    <row r="99" spans="1:8" ht="32">
      <c r="A99" s="80" t="s">
        <v>65</v>
      </c>
      <c r="B99" s="120" t="s">
        <v>265</v>
      </c>
      <c r="C99" s="120" t="s">
        <v>294</v>
      </c>
      <c r="D99" s="139" t="s">
        <v>295</v>
      </c>
      <c r="E99" s="117" t="s">
        <v>157</v>
      </c>
      <c r="F99" s="186" t="s">
        <v>100</v>
      </c>
      <c r="G99" s="81">
        <v>12</v>
      </c>
      <c r="H99" s="84" t="s">
        <v>97</v>
      </c>
    </row>
    <row r="100" spans="1:8" ht="16">
      <c r="A100" s="80" t="s">
        <v>65</v>
      </c>
      <c r="B100" s="120" t="s">
        <v>265</v>
      </c>
      <c r="C100" s="120" t="s">
        <v>296</v>
      </c>
      <c r="D100" s="139" t="s">
        <v>297</v>
      </c>
      <c r="E100" s="117" t="s">
        <v>94</v>
      </c>
      <c r="F100" s="186" t="s">
        <v>100</v>
      </c>
      <c r="G100" s="81"/>
      <c r="H100" s="84" t="s">
        <v>97</v>
      </c>
    </row>
    <row r="101" spans="1:8" ht="16">
      <c r="A101" s="80" t="s">
        <v>66</v>
      </c>
      <c r="B101" s="120" t="s">
        <v>298</v>
      </c>
      <c r="C101" s="120" t="s">
        <v>299</v>
      </c>
      <c r="D101" s="139" t="s">
        <v>300</v>
      </c>
      <c r="E101" s="117" t="s">
        <v>94</v>
      </c>
      <c r="F101" s="186" t="s">
        <v>95</v>
      </c>
      <c r="G101" s="81" t="s">
        <v>301</v>
      </c>
      <c r="H101" s="84" t="s">
        <v>97</v>
      </c>
    </row>
    <row r="102" spans="1:8" ht="16">
      <c r="A102" s="80" t="s">
        <v>66</v>
      </c>
      <c r="B102" s="120" t="s">
        <v>298</v>
      </c>
      <c r="C102" s="120" t="s">
        <v>92</v>
      </c>
      <c r="D102" s="139" t="s">
        <v>93</v>
      </c>
      <c r="E102" s="117" t="s">
        <v>94</v>
      </c>
      <c r="F102" s="186" t="s">
        <v>95</v>
      </c>
      <c r="G102" s="81" t="s">
        <v>302</v>
      </c>
      <c r="H102" s="84" t="s">
        <v>97</v>
      </c>
    </row>
    <row r="103" spans="1:8" ht="32">
      <c r="A103" s="80" t="s">
        <v>66</v>
      </c>
      <c r="B103" s="120" t="s">
        <v>298</v>
      </c>
      <c r="C103" s="120" t="s">
        <v>98</v>
      </c>
      <c r="D103" s="139" t="s">
        <v>99</v>
      </c>
      <c r="E103" s="117" t="s">
        <v>94</v>
      </c>
      <c r="F103" s="186" t="s">
        <v>100</v>
      </c>
      <c r="G103" s="81" t="s">
        <v>303</v>
      </c>
      <c r="H103" s="84" t="s">
        <v>97</v>
      </c>
    </row>
    <row r="104" spans="1:8" ht="16">
      <c r="A104" s="80" t="s">
        <v>66</v>
      </c>
      <c r="B104" s="120" t="s">
        <v>298</v>
      </c>
      <c r="C104" s="120" t="s">
        <v>102</v>
      </c>
      <c r="D104" s="139" t="s">
        <v>103</v>
      </c>
      <c r="E104" s="117" t="s">
        <v>94</v>
      </c>
      <c r="F104" s="186" t="s">
        <v>95</v>
      </c>
      <c r="G104" s="81" t="s">
        <v>104</v>
      </c>
      <c r="H104" s="84" t="s">
        <v>105</v>
      </c>
    </row>
    <row r="105" spans="1:8" ht="16">
      <c r="A105" s="80" t="s">
        <v>66</v>
      </c>
      <c r="B105" s="120" t="s">
        <v>298</v>
      </c>
      <c r="C105" s="120" t="s">
        <v>112</v>
      </c>
      <c r="D105" s="139" t="s">
        <v>103</v>
      </c>
      <c r="E105" s="117" t="s">
        <v>94</v>
      </c>
      <c r="F105" s="186" t="s">
        <v>95</v>
      </c>
      <c r="G105" s="81" t="s">
        <v>113</v>
      </c>
      <c r="H105" s="84" t="s">
        <v>97</v>
      </c>
    </row>
    <row r="106" spans="1:8" ht="16">
      <c r="A106" s="80" t="s">
        <v>66</v>
      </c>
      <c r="B106" s="120" t="s">
        <v>298</v>
      </c>
      <c r="C106" s="120" t="s">
        <v>123</v>
      </c>
      <c r="D106" s="139" t="s">
        <v>124</v>
      </c>
      <c r="E106" s="117" t="s">
        <v>125</v>
      </c>
      <c r="F106" s="186" t="s">
        <v>95</v>
      </c>
      <c r="G106" s="189" t="s">
        <v>304</v>
      </c>
      <c r="H106" s="84" t="s">
        <v>97</v>
      </c>
    </row>
    <row r="107" spans="1:8" ht="16">
      <c r="A107" s="80" t="s">
        <v>66</v>
      </c>
      <c r="B107" s="120" t="s">
        <v>298</v>
      </c>
      <c r="C107" s="120" t="s">
        <v>305</v>
      </c>
      <c r="D107" s="139" t="s">
        <v>124</v>
      </c>
      <c r="E107" s="117" t="s">
        <v>125</v>
      </c>
      <c r="F107" s="186" t="s">
        <v>95</v>
      </c>
      <c r="G107" s="189" t="s">
        <v>306</v>
      </c>
      <c r="H107" s="84" t="s">
        <v>97</v>
      </c>
    </row>
    <row r="108" spans="1:8" ht="32">
      <c r="A108" s="80" t="s">
        <v>66</v>
      </c>
      <c r="B108" s="120" t="s">
        <v>298</v>
      </c>
      <c r="C108" s="120" t="s">
        <v>307</v>
      </c>
      <c r="D108" s="139" t="s">
        <v>308</v>
      </c>
      <c r="E108" s="117" t="s">
        <v>157</v>
      </c>
      <c r="F108" s="186" t="s">
        <v>100</v>
      </c>
      <c r="G108" s="81"/>
      <c r="H108" s="84" t="s">
        <v>97</v>
      </c>
    </row>
    <row r="109" spans="1:8" ht="32">
      <c r="A109" s="80" t="s">
        <v>66</v>
      </c>
      <c r="B109" s="120" t="s">
        <v>298</v>
      </c>
      <c r="C109" s="120" t="s">
        <v>309</v>
      </c>
      <c r="D109" s="139" t="s">
        <v>310</v>
      </c>
      <c r="E109" s="117" t="s">
        <v>94</v>
      </c>
      <c r="F109" s="186" t="s">
        <v>100</v>
      </c>
      <c r="G109" s="83" t="s">
        <v>311</v>
      </c>
      <c r="H109" s="84" t="s">
        <v>312</v>
      </c>
    </row>
    <row r="110" spans="1:8" ht="32">
      <c r="A110" s="80" t="s">
        <v>66</v>
      </c>
      <c r="B110" s="120" t="s">
        <v>298</v>
      </c>
      <c r="C110" s="120" t="s">
        <v>313</v>
      </c>
      <c r="D110" s="139" t="s">
        <v>314</v>
      </c>
      <c r="E110" s="117" t="s">
        <v>94</v>
      </c>
      <c r="F110" s="186" t="s">
        <v>100</v>
      </c>
      <c r="G110" s="83" t="s">
        <v>315</v>
      </c>
      <c r="H110" s="84" t="s">
        <v>316</v>
      </c>
    </row>
    <row r="111" spans="1:8" ht="32">
      <c r="A111" s="80" t="s">
        <v>66</v>
      </c>
      <c r="B111" s="120" t="s">
        <v>298</v>
      </c>
      <c r="C111" s="120" t="s">
        <v>317</v>
      </c>
      <c r="D111" s="139" t="s">
        <v>318</v>
      </c>
      <c r="E111" s="117" t="s">
        <v>94</v>
      </c>
      <c r="F111" s="186" t="s">
        <v>100</v>
      </c>
      <c r="G111" s="81" t="s">
        <v>319</v>
      </c>
      <c r="H111" s="84" t="s">
        <v>97</v>
      </c>
    </row>
    <row r="112" spans="1:8" ht="32">
      <c r="A112" s="80" t="s">
        <v>66</v>
      </c>
      <c r="B112" s="120" t="s">
        <v>298</v>
      </c>
      <c r="C112" s="120" t="s">
        <v>320</v>
      </c>
      <c r="D112" s="139" t="s">
        <v>321</v>
      </c>
      <c r="E112" s="117" t="s">
        <v>94</v>
      </c>
      <c r="F112" s="186" t="s">
        <v>100</v>
      </c>
      <c r="G112" s="83" t="s">
        <v>100</v>
      </c>
      <c r="H112" s="84" t="s">
        <v>149</v>
      </c>
    </row>
    <row r="113" spans="1:8" ht="32">
      <c r="A113" s="80" t="s">
        <v>66</v>
      </c>
      <c r="B113" s="120" t="s">
        <v>298</v>
      </c>
      <c r="C113" s="120" t="s">
        <v>147</v>
      </c>
      <c r="D113" s="139" t="s">
        <v>148</v>
      </c>
      <c r="E113" s="117" t="s">
        <v>94</v>
      </c>
      <c r="F113" s="186" t="s">
        <v>100</v>
      </c>
      <c r="G113" s="83" t="s">
        <v>100</v>
      </c>
      <c r="H113" s="84" t="s">
        <v>149</v>
      </c>
    </row>
    <row r="114" spans="1:8" ht="16">
      <c r="A114" s="80" t="s">
        <v>66</v>
      </c>
      <c r="B114" s="120" t="s">
        <v>298</v>
      </c>
      <c r="C114" s="120" t="s">
        <v>322</v>
      </c>
      <c r="D114" s="139" t="s">
        <v>130</v>
      </c>
      <c r="E114" s="117" t="s">
        <v>94</v>
      </c>
      <c r="F114" s="186" t="s">
        <v>95</v>
      </c>
      <c r="G114" s="83" t="s">
        <v>323</v>
      </c>
      <c r="H114" s="84" t="s">
        <v>97</v>
      </c>
    </row>
    <row r="115" spans="1:8" ht="32">
      <c r="A115" s="80" t="s">
        <v>66</v>
      </c>
      <c r="B115" s="120" t="s">
        <v>298</v>
      </c>
      <c r="C115" s="120" t="s">
        <v>324</v>
      </c>
      <c r="D115" s="139" t="s">
        <v>130</v>
      </c>
      <c r="E115" s="117" t="s">
        <v>94</v>
      </c>
      <c r="F115" s="186" t="s">
        <v>3058</v>
      </c>
      <c r="G115" s="83" t="s">
        <v>323</v>
      </c>
      <c r="H115" s="84" t="s">
        <v>3056</v>
      </c>
    </row>
    <row r="116" spans="1:8" ht="32">
      <c r="A116" s="80" t="s">
        <v>66</v>
      </c>
      <c r="B116" s="120" t="s">
        <v>298</v>
      </c>
      <c r="C116" s="120" t="s">
        <v>325</v>
      </c>
      <c r="D116" s="139" t="s">
        <v>326</v>
      </c>
      <c r="E116" s="117" t="s">
        <v>125</v>
      </c>
      <c r="F116" s="186" t="s">
        <v>100</v>
      </c>
      <c r="G116" s="81"/>
      <c r="H116" s="84" t="s">
        <v>97</v>
      </c>
    </row>
    <row r="117" spans="1:8" ht="16">
      <c r="A117" s="80" t="s">
        <v>67</v>
      </c>
      <c r="B117" s="120" t="s">
        <v>327</v>
      </c>
      <c r="C117" s="120" t="s">
        <v>328</v>
      </c>
      <c r="D117" s="139" t="s">
        <v>329</v>
      </c>
      <c r="E117" s="117" t="s">
        <v>94</v>
      </c>
      <c r="F117" s="186" t="s">
        <v>95</v>
      </c>
      <c r="G117" s="81" t="s">
        <v>330</v>
      </c>
      <c r="H117" s="84" t="s">
        <v>97</v>
      </c>
    </row>
    <row r="118" spans="1:8" ht="16">
      <c r="A118" s="80" t="s">
        <v>67</v>
      </c>
      <c r="B118" s="120" t="s">
        <v>327</v>
      </c>
      <c r="C118" s="120" t="s">
        <v>331</v>
      </c>
      <c r="D118" s="139" t="s">
        <v>332</v>
      </c>
      <c r="E118" s="117" t="s">
        <v>125</v>
      </c>
      <c r="F118" s="186" t="s">
        <v>100</v>
      </c>
      <c r="G118" s="189" t="s">
        <v>333</v>
      </c>
      <c r="H118" s="84" t="s">
        <v>97</v>
      </c>
    </row>
    <row r="119" spans="1:8" ht="16">
      <c r="A119" s="80" t="s">
        <v>67</v>
      </c>
      <c r="B119" s="120" t="s">
        <v>327</v>
      </c>
      <c r="C119" s="120" t="s">
        <v>102</v>
      </c>
      <c r="D119" s="139" t="s">
        <v>103</v>
      </c>
      <c r="E119" s="117" t="s">
        <v>94</v>
      </c>
      <c r="F119" s="186" t="s">
        <v>95</v>
      </c>
      <c r="G119" s="191" t="s">
        <v>152</v>
      </c>
      <c r="H119" s="84" t="s">
        <v>105</v>
      </c>
    </row>
    <row r="120" spans="1:8" ht="16">
      <c r="A120" s="80" t="s">
        <v>67</v>
      </c>
      <c r="B120" s="120" t="s">
        <v>327</v>
      </c>
      <c r="C120" s="120" t="s">
        <v>334</v>
      </c>
      <c r="D120" s="139" t="s">
        <v>156</v>
      </c>
      <c r="E120" s="117" t="s">
        <v>157</v>
      </c>
      <c r="F120" s="186" t="s">
        <v>100</v>
      </c>
      <c r="G120" s="114">
        <v>28</v>
      </c>
      <c r="H120" s="84" t="s">
        <v>97</v>
      </c>
    </row>
    <row r="121" spans="1:8" ht="32">
      <c r="A121" s="80" t="s">
        <v>67</v>
      </c>
      <c r="B121" s="120" t="s">
        <v>327</v>
      </c>
      <c r="C121" s="120" t="s">
        <v>335</v>
      </c>
      <c r="D121" s="139" t="s">
        <v>336</v>
      </c>
      <c r="E121" s="117" t="s">
        <v>157</v>
      </c>
      <c r="F121" s="186" t="s">
        <v>100</v>
      </c>
      <c r="G121" s="114">
        <v>1484</v>
      </c>
      <c r="H121" s="84" t="s">
        <v>97</v>
      </c>
    </row>
    <row r="122" spans="1:8" ht="32">
      <c r="A122" s="80" t="s">
        <v>67</v>
      </c>
      <c r="B122" s="120" t="s">
        <v>327</v>
      </c>
      <c r="C122" s="120" t="s">
        <v>337</v>
      </c>
      <c r="D122" s="139" t="s">
        <v>338</v>
      </c>
      <c r="E122" s="117" t="s">
        <v>157</v>
      </c>
      <c r="F122" s="186" t="s">
        <v>100</v>
      </c>
      <c r="G122" s="114">
        <v>1348</v>
      </c>
      <c r="H122" s="84" t="s">
        <v>97</v>
      </c>
    </row>
    <row r="123" spans="1:8" ht="32">
      <c r="A123" s="80" t="s">
        <v>67</v>
      </c>
      <c r="B123" s="120" t="s">
        <v>327</v>
      </c>
      <c r="C123" s="120" t="s">
        <v>339</v>
      </c>
      <c r="D123" s="139" t="s">
        <v>340</v>
      </c>
      <c r="E123" s="117" t="s">
        <v>157</v>
      </c>
      <c r="F123" s="186" t="s">
        <v>100</v>
      </c>
      <c r="G123" s="114">
        <v>112.5</v>
      </c>
      <c r="H123" s="84" t="s">
        <v>97</v>
      </c>
    </row>
    <row r="124" spans="1:8" ht="16">
      <c r="A124" s="80" t="s">
        <v>67</v>
      </c>
      <c r="B124" s="120" t="s">
        <v>327</v>
      </c>
      <c r="C124" s="120" t="s">
        <v>341</v>
      </c>
      <c r="D124" s="139" t="s">
        <v>342</v>
      </c>
      <c r="E124" s="117" t="s">
        <v>157</v>
      </c>
      <c r="F124" s="186" t="s">
        <v>100</v>
      </c>
      <c r="G124" s="114">
        <v>6</v>
      </c>
      <c r="H124" s="84" t="s">
        <v>97</v>
      </c>
    </row>
    <row r="125" spans="1:8" ht="32">
      <c r="A125" s="80" t="s">
        <v>67</v>
      </c>
      <c r="B125" s="120" t="s">
        <v>327</v>
      </c>
      <c r="C125" s="120" t="s">
        <v>343</v>
      </c>
      <c r="D125" s="139" t="s">
        <v>344</v>
      </c>
      <c r="E125" s="117" t="s">
        <v>157</v>
      </c>
      <c r="F125" s="186" t="s">
        <v>100</v>
      </c>
      <c r="G125" s="83">
        <v>23</v>
      </c>
      <c r="H125" s="84" t="s">
        <v>97</v>
      </c>
    </row>
    <row r="126" spans="1:8" ht="32">
      <c r="A126" s="80" t="s">
        <v>67</v>
      </c>
      <c r="B126" s="120" t="s">
        <v>327</v>
      </c>
      <c r="C126" s="120" t="s">
        <v>345</v>
      </c>
      <c r="D126" s="139" t="s">
        <v>346</v>
      </c>
      <c r="E126" s="117" t="s">
        <v>157</v>
      </c>
      <c r="F126" s="186" t="s">
        <v>100</v>
      </c>
      <c r="G126" s="83">
        <v>12</v>
      </c>
      <c r="H126" s="84" t="s">
        <v>97</v>
      </c>
    </row>
    <row r="127" spans="1:8" ht="32">
      <c r="A127" s="80" t="s">
        <v>67</v>
      </c>
      <c r="B127" s="120" t="s">
        <v>327</v>
      </c>
      <c r="C127" s="120" t="s">
        <v>347</v>
      </c>
      <c r="D127" s="139" t="s">
        <v>348</v>
      </c>
      <c r="E127" s="117" t="s">
        <v>94</v>
      </c>
      <c r="F127" s="186" t="s">
        <v>100</v>
      </c>
      <c r="G127" s="117" t="s">
        <v>3067</v>
      </c>
      <c r="H127" s="84" t="s">
        <v>349</v>
      </c>
    </row>
    <row r="128" spans="1:8" ht="16">
      <c r="A128" s="80" t="s">
        <v>68</v>
      </c>
      <c r="B128" s="120" t="s">
        <v>350</v>
      </c>
      <c r="C128" s="120" t="s">
        <v>351</v>
      </c>
      <c r="D128" s="139" t="s">
        <v>352</v>
      </c>
      <c r="E128" s="117" t="s">
        <v>94</v>
      </c>
      <c r="F128" s="186" t="s">
        <v>95</v>
      </c>
      <c r="G128" s="81" t="s">
        <v>353</v>
      </c>
      <c r="H128" s="84" t="s">
        <v>97</v>
      </c>
    </row>
    <row r="129" spans="1:8" ht="16">
      <c r="A129" s="80" t="s">
        <v>68</v>
      </c>
      <c r="B129" s="120" t="s">
        <v>350</v>
      </c>
      <c r="C129" s="120" t="s">
        <v>331</v>
      </c>
      <c r="D129" s="139" t="s">
        <v>332</v>
      </c>
      <c r="E129" s="117" t="s">
        <v>125</v>
      </c>
      <c r="F129" s="186" t="s">
        <v>100</v>
      </c>
      <c r="G129" s="189" t="s">
        <v>333</v>
      </c>
      <c r="H129" s="84" t="s">
        <v>97</v>
      </c>
    </row>
    <row r="130" spans="1:8" ht="16">
      <c r="A130" s="80" t="s">
        <v>68</v>
      </c>
      <c r="B130" s="120" t="s">
        <v>350</v>
      </c>
      <c r="C130" s="120" t="s">
        <v>102</v>
      </c>
      <c r="D130" s="139" t="s">
        <v>103</v>
      </c>
      <c r="E130" s="117" t="s">
        <v>94</v>
      </c>
      <c r="F130" s="186" t="s">
        <v>95</v>
      </c>
      <c r="G130" s="81" t="s">
        <v>152</v>
      </c>
      <c r="H130" s="84" t="s">
        <v>105</v>
      </c>
    </row>
    <row r="131" spans="1:8" ht="16">
      <c r="A131" s="80" t="s">
        <v>68</v>
      </c>
      <c r="B131" s="120" t="s">
        <v>350</v>
      </c>
      <c r="C131" s="120" t="s">
        <v>114</v>
      </c>
      <c r="D131" s="139" t="s">
        <v>103</v>
      </c>
      <c r="E131" s="117" t="s">
        <v>94</v>
      </c>
      <c r="F131" s="186" t="s">
        <v>100</v>
      </c>
      <c r="G131" s="81" t="s">
        <v>154</v>
      </c>
      <c r="H131" s="84" t="s">
        <v>115</v>
      </c>
    </row>
    <row r="132" spans="1:8" ht="16">
      <c r="A132" s="80" t="s">
        <v>68</v>
      </c>
      <c r="B132" s="120" t="s">
        <v>350</v>
      </c>
      <c r="C132" s="120" t="s">
        <v>334</v>
      </c>
      <c r="D132" s="139" t="s">
        <v>156</v>
      </c>
      <c r="E132" s="117" t="s">
        <v>157</v>
      </c>
      <c r="F132" s="186" t="s">
        <v>100</v>
      </c>
      <c r="G132" s="85">
        <v>28</v>
      </c>
      <c r="H132" s="84" t="s">
        <v>97</v>
      </c>
    </row>
    <row r="133" spans="1:8" ht="16">
      <c r="A133" s="80" t="s">
        <v>68</v>
      </c>
      <c r="B133" s="120" t="s">
        <v>350</v>
      </c>
      <c r="C133" s="120" t="s">
        <v>155</v>
      </c>
      <c r="D133" s="139" t="s">
        <v>156</v>
      </c>
      <c r="E133" s="117" t="s">
        <v>157</v>
      </c>
      <c r="F133" s="186" t="s">
        <v>100</v>
      </c>
      <c r="G133" s="85">
        <v>25</v>
      </c>
      <c r="H133" s="84" t="s">
        <v>97</v>
      </c>
    </row>
    <row r="134" spans="1:8" ht="16">
      <c r="A134" s="80" t="s">
        <v>68</v>
      </c>
      <c r="B134" s="120" t="s">
        <v>350</v>
      </c>
      <c r="C134" s="120" t="s">
        <v>354</v>
      </c>
      <c r="D134" s="139" t="s">
        <v>156</v>
      </c>
      <c r="E134" s="117" t="s">
        <v>157</v>
      </c>
      <c r="F134" s="186" t="s">
        <v>100</v>
      </c>
      <c r="G134" s="81">
        <v>19</v>
      </c>
      <c r="H134" s="84" t="s">
        <v>97</v>
      </c>
    </row>
    <row r="135" spans="1:8" ht="16">
      <c r="A135" s="86" t="s">
        <v>68</v>
      </c>
      <c r="B135" s="121" t="s">
        <v>350</v>
      </c>
      <c r="C135" s="121" t="s">
        <v>355</v>
      </c>
      <c r="D135" s="140" t="s">
        <v>291</v>
      </c>
      <c r="E135" s="118" t="s">
        <v>157</v>
      </c>
      <c r="F135" s="187" t="s">
        <v>100</v>
      </c>
      <c r="G135" s="193">
        <v>0.21299999999999999</v>
      </c>
      <c r="H135" s="90" t="s"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6"/>
  <sheetViews>
    <sheetView showGridLines="0" zoomScale="107" workbookViewId="0">
      <selection activeCell="B16" sqref="A1:XFD1048576"/>
    </sheetView>
  </sheetViews>
  <sheetFormatPr baseColWidth="10" defaultColWidth="8.83203125" defaultRowHeight="15"/>
  <cols>
    <col min="1" max="1" width="20.5" style="138" bestFit="1" customWidth="1"/>
    <col min="2" max="10" width="18" style="138" customWidth="1"/>
    <col min="11" max="11" width="18.1640625" style="138" customWidth="1"/>
    <col min="12" max="13" width="18" style="138" customWidth="1"/>
    <col min="14" max="14" width="8.83203125" style="91"/>
    <col min="15" max="15" width="16.6640625" style="91" customWidth="1"/>
    <col min="16" max="16" width="8.83203125" style="91"/>
    <col min="17" max="17" width="13.83203125" style="91" customWidth="1"/>
    <col min="18" max="18" width="8.83203125" style="91"/>
    <col min="19" max="19" width="14.1640625" style="91" customWidth="1"/>
    <col min="20" max="20" width="8.83203125" style="91"/>
    <col min="21" max="21" width="15.83203125" style="91" customWidth="1"/>
    <col min="22" max="22" width="8.83203125" style="91"/>
    <col min="23" max="23" width="14.5" style="91" customWidth="1"/>
    <col min="24" max="24" width="8.83203125" style="91"/>
    <col min="25" max="25" width="12.6640625" style="91" customWidth="1"/>
    <col min="26" max="26" width="8.83203125" style="91"/>
    <col min="27" max="27" width="17.6640625" style="91" customWidth="1"/>
    <col min="28" max="28" width="8.83203125" style="91"/>
    <col min="29" max="29" width="22.6640625" style="91" customWidth="1"/>
    <col min="30" max="16384" width="8.83203125" style="91"/>
  </cols>
  <sheetData>
    <row r="1" spans="1:29" ht="44">
      <c r="A1" s="128" t="s">
        <v>356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29" ht="25">
      <c r="A2" s="129" t="s">
        <v>357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29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29" ht="16">
      <c r="A4" s="149" t="s">
        <v>358</v>
      </c>
      <c r="B4" s="91"/>
      <c r="C4" s="149" t="s">
        <v>359</v>
      </c>
      <c r="D4" s="91"/>
      <c r="E4" s="149" t="s">
        <v>360</v>
      </c>
      <c r="F4" s="91"/>
      <c r="G4" s="149" t="s">
        <v>361</v>
      </c>
      <c r="H4" s="91"/>
      <c r="I4" s="149" t="s">
        <v>362</v>
      </c>
      <c r="J4" s="91"/>
      <c r="K4" s="149" t="s">
        <v>363</v>
      </c>
      <c r="L4" s="91"/>
      <c r="M4" s="149" t="s">
        <v>364</v>
      </c>
      <c r="O4" s="149" t="s">
        <v>365</v>
      </c>
      <c r="Q4" s="149" t="s">
        <v>366</v>
      </c>
      <c r="S4" s="149" t="s">
        <v>367</v>
      </c>
      <c r="U4" s="149" t="s">
        <v>368</v>
      </c>
      <c r="W4" s="149" t="s">
        <v>369</v>
      </c>
      <c r="Y4" s="149" t="s">
        <v>370</v>
      </c>
      <c r="AA4" s="194" t="s">
        <v>3069</v>
      </c>
      <c r="AC4" s="194" t="s">
        <v>3070</v>
      </c>
    </row>
    <row r="5" spans="1:29">
      <c r="A5" s="147" t="s">
        <v>152</v>
      </c>
      <c r="C5" s="147" t="s">
        <v>371</v>
      </c>
      <c r="E5" s="147" t="s">
        <v>121</v>
      </c>
      <c r="G5" s="147" t="s">
        <v>131</v>
      </c>
      <c r="I5" s="147" t="s">
        <v>372</v>
      </c>
      <c r="K5" s="147" t="s">
        <v>373</v>
      </c>
      <c r="M5" s="147" t="s">
        <v>374</v>
      </c>
      <c r="O5" s="147" t="s">
        <v>375</v>
      </c>
      <c r="Q5" s="147" t="s">
        <v>231</v>
      </c>
      <c r="S5" s="147" t="s">
        <v>311</v>
      </c>
      <c r="U5" s="147" t="s">
        <v>376</v>
      </c>
      <c r="W5" s="147" t="s">
        <v>377</v>
      </c>
      <c r="Y5" s="147" t="s">
        <v>378</v>
      </c>
      <c r="AA5" s="195" t="s">
        <v>2136</v>
      </c>
      <c r="AC5" s="196" t="s">
        <v>376</v>
      </c>
    </row>
    <row r="6" spans="1:29">
      <c r="A6" s="148" t="s">
        <v>379</v>
      </c>
      <c r="C6" s="148" t="s">
        <v>104</v>
      </c>
      <c r="E6" s="148" t="s">
        <v>380</v>
      </c>
      <c r="G6" s="148" t="s">
        <v>381</v>
      </c>
      <c r="I6" s="148" t="s">
        <v>382</v>
      </c>
      <c r="K6" s="148" t="s">
        <v>188</v>
      </c>
      <c r="M6" s="148" t="s">
        <v>383</v>
      </c>
      <c r="O6" s="148" t="s">
        <v>384</v>
      </c>
      <c r="Q6" s="148" t="s">
        <v>385</v>
      </c>
      <c r="S6" s="148" t="s">
        <v>386</v>
      </c>
      <c r="U6" s="148" t="s">
        <v>387</v>
      </c>
      <c r="W6" s="148" t="s">
        <v>388</v>
      </c>
      <c r="Y6" s="148" t="s">
        <v>389</v>
      </c>
      <c r="AA6" s="195" t="s">
        <v>254</v>
      </c>
      <c r="AC6" s="196" t="s">
        <v>387</v>
      </c>
    </row>
    <row r="7" spans="1:29">
      <c r="A7" s="147" t="s">
        <v>176</v>
      </c>
      <c r="C7" s="147" t="s">
        <v>390</v>
      </c>
      <c r="E7" s="147" t="s">
        <v>391</v>
      </c>
      <c r="G7" s="147" t="s">
        <v>392</v>
      </c>
      <c r="I7" s="147" t="s">
        <v>393</v>
      </c>
      <c r="K7" s="147" t="s">
        <v>394</v>
      </c>
      <c r="M7" s="147" t="s">
        <v>395</v>
      </c>
      <c r="O7" s="147" t="s">
        <v>261</v>
      </c>
      <c r="Q7" s="147" t="s">
        <v>323</v>
      </c>
      <c r="S7" s="151"/>
      <c r="U7" s="147" t="s">
        <v>396</v>
      </c>
      <c r="W7" s="147" t="s">
        <v>397</v>
      </c>
      <c r="Y7" s="147" t="s">
        <v>398</v>
      </c>
      <c r="AA7" s="195" t="s">
        <v>2141</v>
      </c>
      <c r="AC7" s="196" t="s">
        <v>396</v>
      </c>
    </row>
    <row r="8" spans="1:29">
      <c r="A8" s="148" t="s">
        <v>371</v>
      </c>
      <c r="C8" s="148" t="s">
        <v>37</v>
      </c>
      <c r="E8" s="148" t="s">
        <v>399</v>
      </c>
      <c r="G8" s="148" t="s">
        <v>400</v>
      </c>
      <c r="I8" s="148" t="s">
        <v>401</v>
      </c>
      <c r="K8" s="148" t="s">
        <v>402</v>
      </c>
      <c r="M8" s="148" t="s">
        <v>164</v>
      </c>
      <c r="O8" s="148" t="s">
        <v>403</v>
      </c>
      <c r="Q8" s="148" t="s">
        <v>404</v>
      </c>
      <c r="S8" s="143"/>
      <c r="U8" s="148" t="s">
        <v>405</v>
      </c>
      <c r="W8" s="148" t="s">
        <v>406</v>
      </c>
      <c r="Y8" s="153"/>
      <c r="AA8" s="195" t="s">
        <v>2125</v>
      </c>
      <c r="AC8" s="196" t="s">
        <v>405</v>
      </c>
    </row>
    <row r="9" spans="1:29">
      <c r="A9" s="147" t="s">
        <v>407</v>
      </c>
      <c r="C9" s="147" t="s">
        <v>408</v>
      </c>
      <c r="E9" s="151"/>
      <c r="G9" s="151"/>
      <c r="I9" s="147" t="s">
        <v>409</v>
      </c>
      <c r="K9" s="151"/>
      <c r="M9" s="151"/>
      <c r="O9" s="147" t="s">
        <v>213</v>
      </c>
      <c r="Q9" s="151"/>
      <c r="S9" s="141"/>
      <c r="U9" s="147" t="s">
        <v>410</v>
      </c>
      <c r="W9" s="151"/>
      <c r="Y9" s="142"/>
      <c r="AA9" s="195" t="s">
        <v>2128</v>
      </c>
      <c r="AC9" s="196" t="s">
        <v>410</v>
      </c>
    </row>
    <row r="10" spans="1:29">
      <c r="A10" s="148" t="s">
        <v>37</v>
      </c>
      <c r="C10" s="148" t="s">
        <v>411</v>
      </c>
      <c r="E10" s="143"/>
      <c r="G10" s="143"/>
      <c r="I10" s="148" t="s">
        <v>219</v>
      </c>
      <c r="K10" s="143"/>
      <c r="M10" s="143"/>
      <c r="O10" s="148" t="s">
        <v>412</v>
      </c>
      <c r="Q10" s="143"/>
      <c r="S10" s="143"/>
      <c r="U10" s="148" t="s">
        <v>315</v>
      </c>
      <c r="W10" s="143"/>
      <c r="Y10" s="144"/>
      <c r="AA10" s="195" t="s">
        <v>2138</v>
      </c>
      <c r="AC10" s="196" t="s">
        <v>415</v>
      </c>
    </row>
    <row r="11" spans="1:29">
      <c r="A11" s="147" t="s">
        <v>271</v>
      </c>
      <c r="C11" s="147" t="s">
        <v>154</v>
      </c>
      <c r="E11" s="141"/>
      <c r="G11" s="141"/>
      <c r="I11" s="147" t="s">
        <v>413</v>
      </c>
      <c r="K11" s="141"/>
      <c r="M11" s="141"/>
      <c r="O11" s="147" t="s">
        <v>414</v>
      </c>
      <c r="Q11" s="141"/>
      <c r="S11" s="141"/>
      <c r="U11" s="147" t="s">
        <v>415</v>
      </c>
      <c r="W11" s="141"/>
      <c r="Y11" s="142"/>
      <c r="AA11" s="76" t="s">
        <v>2133</v>
      </c>
      <c r="AC11" s="197" t="s">
        <v>2399</v>
      </c>
    </row>
    <row r="12" spans="1:29">
      <c r="A12" s="148" t="s">
        <v>416</v>
      </c>
      <c r="C12" s="148" t="s">
        <v>417</v>
      </c>
      <c r="E12" s="143"/>
      <c r="G12" s="143"/>
      <c r="I12" s="148" t="s">
        <v>418</v>
      </c>
      <c r="K12" s="143"/>
      <c r="M12" s="143"/>
      <c r="O12" s="152"/>
      <c r="Q12" s="143"/>
      <c r="S12" s="143"/>
      <c r="U12" s="148" t="s">
        <v>419</v>
      </c>
      <c r="W12" s="143"/>
      <c r="Y12" s="144"/>
      <c r="AC12" s="197" t="s">
        <v>315</v>
      </c>
    </row>
    <row r="13" spans="1:29">
      <c r="A13" s="147" t="s">
        <v>104</v>
      </c>
      <c r="C13" s="147" t="s">
        <v>420</v>
      </c>
      <c r="E13" s="141"/>
      <c r="G13" s="141"/>
      <c r="I13" s="151"/>
      <c r="K13" s="141"/>
      <c r="M13" s="141"/>
      <c r="O13" s="141"/>
      <c r="Q13" s="141"/>
      <c r="S13" s="141"/>
      <c r="U13" s="151"/>
      <c r="W13" s="141"/>
      <c r="Y13" s="142"/>
      <c r="AC13" s="197" t="s">
        <v>419</v>
      </c>
    </row>
    <row r="14" spans="1:29">
      <c r="A14" s="148" t="s">
        <v>421</v>
      </c>
      <c r="C14" s="150"/>
      <c r="E14" s="145"/>
      <c r="G14" s="145"/>
      <c r="I14" s="145"/>
      <c r="K14" s="145"/>
      <c r="M14" s="145"/>
      <c r="O14" s="145"/>
      <c r="Q14" s="145"/>
      <c r="S14" s="145"/>
      <c r="U14" s="145"/>
      <c r="W14" s="145"/>
      <c r="Y14" s="146"/>
    </row>
    <row r="16" spans="1:29">
      <c r="D16" s="154"/>
    </row>
  </sheetData>
  <phoneticPr fontId="25" type="noConversion"/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4"/>
  <sheetViews>
    <sheetView showGridLines="0" zoomScale="109" zoomScaleNormal="100" workbookViewId="0">
      <pane ySplit="4" topLeftCell="A5" activePane="bottomLeft" state="frozen"/>
      <selection pane="bottomLeft" activeCell="C19" sqref="C19"/>
    </sheetView>
  </sheetViews>
  <sheetFormatPr baseColWidth="10" defaultColWidth="8.83203125" defaultRowHeight="15"/>
  <cols>
    <col min="1" max="1" width="13" style="119" customWidth="1"/>
    <col min="2" max="3" width="22" style="119" customWidth="1"/>
    <col min="4" max="5" width="12" style="119" customWidth="1"/>
    <col min="6" max="6" width="24" style="119" customWidth="1"/>
    <col min="7" max="7" width="18" style="119" customWidth="1"/>
    <col min="8" max="8" width="15" style="119" customWidth="1"/>
    <col min="9" max="9" width="16.6640625" style="119" customWidth="1"/>
    <col min="10" max="10" width="13" style="119" customWidth="1"/>
    <col min="11" max="11" width="21" style="119" customWidth="1"/>
    <col min="12" max="12" width="16.6640625" style="119" customWidth="1"/>
    <col min="13" max="13" width="13" style="119" customWidth="1"/>
    <col min="14" max="14" width="18" style="119" customWidth="1"/>
    <col min="15" max="15" width="13" style="119" customWidth="1"/>
    <col min="16" max="16" width="15" style="119" customWidth="1"/>
    <col min="17" max="17" width="14" style="119" customWidth="1"/>
    <col min="18" max="18" width="10" style="119" customWidth="1"/>
    <col min="19" max="19" width="21.1640625" style="119" customWidth="1"/>
    <col min="20" max="16384" width="8.83203125" style="119"/>
  </cols>
  <sheetData>
    <row r="1" spans="1:19" ht="44">
      <c r="A1" s="128" t="s">
        <v>422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</row>
    <row r="2" spans="1:19" ht="25">
      <c r="A2" s="129" t="s">
        <v>423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19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</row>
    <row r="4" spans="1:19" ht="32">
      <c r="A4" s="131" t="s">
        <v>92</v>
      </c>
      <c r="B4" s="132" t="s">
        <v>98</v>
      </c>
      <c r="C4" s="133" t="s">
        <v>102</v>
      </c>
      <c r="D4" s="133" t="s">
        <v>106</v>
      </c>
      <c r="E4" s="133" t="s">
        <v>109</v>
      </c>
      <c r="F4" s="133" t="s">
        <v>112</v>
      </c>
      <c r="G4" s="133" t="s">
        <v>114</v>
      </c>
      <c r="H4" s="133" t="s">
        <v>116</v>
      </c>
      <c r="I4" s="133" t="s">
        <v>119</v>
      </c>
      <c r="J4" s="133" t="s">
        <v>123</v>
      </c>
      <c r="K4" s="133" t="s">
        <v>127</v>
      </c>
      <c r="L4" s="133" t="s">
        <v>129</v>
      </c>
      <c r="M4" s="133" t="s">
        <v>133</v>
      </c>
      <c r="N4" s="133" t="s">
        <v>135</v>
      </c>
      <c r="O4" s="133" t="s">
        <v>138</v>
      </c>
      <c r="P4" s="133" t="s">
        <v>141</v>
      </c>
      <c r="Q4" s="133" t="s">
        <v>143</v>
      </c>
      <c r="R4" s="133" t="s">
        <v>145</v>
      </c>
      <c r="S4" s="134" t="s">
        <v>147</v>
      </c>
    </row>
    <row r="5" spans="1:19">
      <c r="A5" s="136" t="s">
        <v>96</v>
      </c>
      <c r="B5" s="122" t="s">
        <v>101</v>
      </c>
      <c r="C5" s="122" t="s">
        <v>104</v>
      </c>
      <c r="D5" s="123" t="s">
        <v>108</v>
      </c>
      <c r="E5" s="122" t="s">
        <v>111</v>
      </c>
      <c r="F5" s="122" t="s">
        <v>113</v>
      </c>
      <c r="G5" s="122" t="s">
        <v>104</v>
      </c>
      <c r="H5" s="122" t="s">
        <v>118</v>
      </c>
      <c r="I5" s="123" t="s">
        <v>121</v>
      </c>
      <c r="J5" s="124">
        <v>45522</v>
      </c>
      <c r="K5" s="124">
        <v>45702</v>
      </c>
      <c r="L5" s="123" t="s">
        <v>131</v>
      </c>
      <c r="M5" s="122"/>
      <c r="N5" s="122" t="s">
        <v>137</v>
      </c>
      <c r="O5" s="123" t="s">
        <v>140</v>
      </c>
      <c r="P5" s="114">
        <f ca="1">IF($J5="","",MAX(0,INT((IF(OR($L5="Active",$L5="On Leave"),TODAY(),IFERROR(VLOOKUP($A5,'09_Attrition_Tracker'!$B:$G,6,FALSE),TODAY()))-$J5)/30)))</f>
        <v>20</v>
      </c>
      <c r="Q5" s="83" t="str">
        <f t="shared" ref="Q5:Q68" ca="1" si="0">IF($P5="","",IF($P5&lt;4,"0-3 mos",IF($P5&lt;7,"4-6 mos",IF($P5&lt;13,"7-12 mos",IF($P5&lt;25,"1-2 yrs",IF($P5&lt;61,"2-5 yrs","5+ yrs"))))))</f>
        <v>1-2 yrs</v>
      </c>
      <c r="R5" s="83" t="str">
        <f t="shared" ref="R5:R68" si="1">IF(OR($L5="Active",$L5="On Leave"),"Yes","No")</f>
        <v>Yes</v>
      </c>
      <c r="S5" s="112" t="str">
        <f>IFERROR(VLOOKUP($A5,'09_Attrition_Tracker'!$B:$M,12,FALSE),"No")</f>
        <v>No</v>
      </c>
    </row>
    <row r="6" spans="1:19">
      <c r="A6" s="136" t="s">
        <v>424</v>
      </c>
      <c r="B6" s="122" t="s">
        <v>425</v>
      </c>
      <c r="C6" s="122" t="s">
        <v>152</v>
      </c>
      <c r="D6" s="123" t="s">
        <v>426</v>
      </c>
      <c r="E6" s="122" t="s">
        <v>427</v>
      </c>
      <c r="F6" s="122" t="s">
        <v>428</v>
      </c>
      <c r="G6" s="122" t="s">
        <v>154</v>
      </c>
      <c r="H6" s="122" t="s">
        <v>429</v>
      </c>
      <c r="I6" s="123" t="s">
        <v>380</v>
      </c>
      <c r="J6" s="124">
        <v>44786</v>
      </c>
      <c r="K6" s="124">
        <v>44966</v>
      </c>
      <c r="L6" s="123" t="s">
        <v>131</v>
      </c>
      <c r="M6" s="122"/>
      <c r="N6" s="122" t="s">
        <v>430</v>
      </c>
      <c r="O6" s="123" t="s">
        <v>431</v>
      </c>
      <c r="P6" s="114">
        <f ca="1">IF($J6="","",MAX(0,INT((IF(OR($L6="Active",$L6="On Leave"),TODAY(),IFERROR(VLOOKUP($A6,'09_Attrition_Tracker'!$B:$G,6,FALSE),TODAY()))-$J6)/30)))</f>
        <v>45</v>
      </c>
      <c r="Q6" s="83" t="str">
        <f t="shared" ca="1" si="0"/>
        <v>2-5 yrs</v>
      </c>
      <c r="R6" s="83" t="str">
        <f t="shared" si="1"/>
        <v>Yes</v>
      </c>
      <c r="S6" s="112" t="str">
        <f>IFERROR(VLOOKUP($A6,'09_Attrition_Tracker'!$B:$M,12,FALSE),"No")</f>
        <v>No</v>
      </c>
    </row>
    <row r="7" spans="1:19">
      <c r="A7" s="136" t="s">
        <v>432</v>
      </c>
      <c r="B7" s="122" t="s">
        <v>433</v>
      </c>
      <c r="C7" s="122" t="s">
        <v>176</v>
      </c>
      <c r="D7" s="123" t="s">
        <v>108</v>
      </c>
      <c r="E7" s="122" t="s">
        <v>177</v>
      </c>
      <c r="F7" s="122" t="s">
        <v>178</v>
      </c>
      <c r="G7" s="122" t="s">
        <v>154</v>
      </c>
      <c r="H7" s="122" t="s">
        <v>434</v>
      </c>
      <c r="I7" s="123" t="s">
        <v>380</v>
      </c>
      <c r="J7" s="124">
        <v>45189</v>
      </c>
      <c r="K7" s="124">
        <v>45369</v>
      </c>
      <c r="L7" s="123" t="s">
        <v>131</v>
      </c>
      <c r="M7" s="122"/>
      <c r="N7" s="122" t="s">
        <v>430</v>
      </c>
      <c r="O7" s="123" t="s">
        <v>140</v>
      </c>
      <c r="P7" s="114">
        <f ca="1">IF($J7="","",MAX(0,INT((IF(OR($L7="Active",$L7="On Leave"),TODAY(),IFERROR(VLOOKUP($A7,'09_Attrition_Tracker'!$B:$G,6,FALSE),TODAY()))-$J7)/30)))</f>
        <v>31</v>
      </c>
      <c r="Q7" s="83" t="str">
        <f t="shared" ca="1" si="0"/>
        <v>2-5 yrs</v>
      </c>
      <c r="R7" s="83" t="str">
        <f t="shared" si="1"/>
        <v>Yes</v>
      </c>
      <c r="S7" s="112" t="str">
        <f>IFERROR(VLOOKUP($A7,'09_Attrition_Tracker'!$B:$M,12,FALSE),"No")</f>
        <v>No</v>
      </c>
    </row>
    <row r="8" spans="1:19">
      <c r="A8" s="136" t="s">
        <v>435</v>
      </c>
      <c r="B8" s="122" t="s">
        <v>436</v>
      </c>
      <c r="C8" s="122" t="s">
        <v>371</v>
      </c>
      <c r="D8" s="123" t="s">
        <v>437</v>
      </c>
      <c r="E8" s="122" t="s">
        <v>438</v>
      </c>
      <c r="F8" s="122" t="s">
        <v>439</v>
      </c>
      <c r="G8" s="122" t="s">
        <v>371</v>
      </c>
      <c r="H8" s="122" t="s">
        <v>440</v>
      </c>
      <c r="I8" s="123" t="s">
        <v>121</v>
      </c>
      <c r="J8" s="124">
        <v>45733</v>
      </c>
      <c r="K8" s="124">
        <v>45913</v>
      </c>
      <c r="L8" s="123" t="s">
        <v>131</v>
      </c>
      <c r="M8" s="122"/>
      <c r="N8" s="122" t="s">
        <v>441</v>
      </c>
      <c r="O8" s="123" t="s">
        <v>431</v>
      </c>
      <c r="P8" s="114">
        <f ca="1">IF($J8="","",MAX(0,INT((IF(OR($L8="Active",$L8="On Leave"),TODAY(),IFERROR(VLOOKUP($A8,'09_Attrition_Tracker'!$B:$G,6,FALSE),TODAY()))-$J8)/30)))</f>
        <v>13</v>
      </c>
      <c r="Q8" s="83" t="str">
        <f t="shared" ca="1" si="0"/>
        <v>1-2 yrs</v>
      </c>
      <c r="R8" s="83" t="str">
        <f t="shared" si="1"/>
        <v>Yes</v>
      </c>
      <c r="S8" s="112" t="str">
        <f>IFERROR(VLOOKUP($A8,'09_Attrition_Tracker'!$B:$M,12,FALSE),"No")</f>
        <v>No</v>
      </c>
    </row>
    <row r="9" spans="1:19">
      <c r="A9" s="136" t="s">
        <v>442</v>
      </c>
      <c r="B9" s="122" t="s">
        <v>443</v>
      </c>
      <c r="C9" s="122" t="s">
        <v>407</v>
      </c>
      <c r="D9" s="123" t="s">
        <v>437</v>
      </c>
      <c r="E9" s="122" t="s">
        <v>444</v>
      </c>
      <c r="F9" s="122" t="s">
        <v>445</v>
      </c>
      <c r="G9" s="122" t="s">
        <v>417</v>
      </c>
      <c r="H9" s="122" t="s">
        <v>429</v>
      </c>
      <c r="I9" s="123" t="s">
        <v>121</v>
      </c>
      <c r="J9" s="124">
        <v>43603</v>
      </c>
      <c r="K9" s="124">
        <v>43783</v>
      </c>
      <c r="L9" s="123" t="s">
        <v>131</v>
      </c>
      <c r="M9" s="122"/>
      <c r="N9" s="122" t="s">
        <v>137</v>
      </c>
      <c r="O9" s="123" t="s">
        <v>446</v>
      </c>
      <c r="P9" s="114">
        <f ca="1">IF($J9="","",MAX(0,INT((IF(OR($L9="Active",$L9="On Leave"),TODAY(),IFERROR(VLOOKUP($A9,'09_Attrition_Tracker'!$B:$G,6,FALSE),TODAY()))-$J9)/30)))</f>
        <v>84</v>
      </c>
      <c r="Q9" s="83" t="str">
        <f t="shared" ca="1" si="0"/>
        <v>5+ yrs</v>
      </c>
      <c r="R9" s="83" t="str">
        <f t="shared" si="1"/>
        <v>Yes</v>
      </c>
      <c r="S9" s="112" t="str">
        <f>IFERROR(VLOOKUP($A9,'09_Attrition_Tracker'!$B:$M,12,FALSE),"No")</f>
        <v>No</v>
      </c>
    </row>
    <row r="10" spans="1:19">
      <c r="A10" s="136" t="s">
        <v>302</v>
      </c>
      <c r="B10" s="122" t="s">
        <v>303</v>
      </c>
      <c r="C10" s="122" t="s">
        <v>104</v>
      </c>
      <c r="D10" s="123" t="s">
        <v>437</v>
      </c>
      <c r="E10" s="122" t="s">
        <v>111</v>
      </c>
      <c r="F10" s="122" t="s">
        <v>113</v>
      </c>
      <c r="G10" s="122" t="s">
        <v>104</v>
      </c>
      <c r="H10" s="122" t="s">
        <v>434</v>
      </c>
      <c r="I10" s="123" t="s">
        <v>121</v>
      </c>
      <c r="J10" s="124">
        <v>43656</v>
      </c>
      <c r="K10" s="124">
        <v>43836</v>
      </c>
      <c r="L10" s="123" t="s">
        <v>381</v>
      </c>
      <c r="M10" s="122" t="s">
        <v>424</v>
      </c>
      <c r="N10" s="122" t="s">
        <v>447</v>
      </c>
      <c r="O10" s="123" t="s">
        <v>140</v>
      </c>
      <c r="P10" s="114">
        <f ca="1">IF($J10="","",MAX(0,INT((IF(OR($L10="Active",$L10="On Leave"),TODAY(),IFERROR(VLOOKUP($A10,'09_Attrition_Tracker'!$B:$G,6,FALSE),TODAY()))-$J10)/30)))</f>
        <v>68</v>
      </c>
      <c r="Q10" s="83" t="str">
        <f t="shared" ca="1" si="0"/>
        <v>5+ yrs</v>
      </c>
      <c r="R10" s="83" t="str">
        <f t="shared" si="1"/>
        <v>No</v>
      </c>
      <c r="S10" s="112" t="str">
        <f>IFERROR(VLOOKUP($A10,'09_Attrition_Tracker'!$B:$M,12,FALSE),"No")</f>
        <v>No</v>
      </c>
    </row>
    <row r="11" spans="1:19">
      <c r="A11" s="136" t="s">
        <v>448</v>
      </c>
      <c r="B11" s="122" t="s">
        <v>449</v>
      </c>
      <c r="C11" s="122" t="s">
        <v>152</v>
      </c>
      <c r="D11" s="123" t="s">
        <v>450</v>
      </c>
      <c r="E11" s="122" t="s">
        <v>451</v>
      </c>
      <c r="F11" s="122" t="s">
        <v>452</v>
      </c>
      <c r="G11" s="122" t="s">
        <v>154</v>
      </c>
      <c r="H11" s="122" t="s">
        <v>440</v>
      </c>
      <c r="I11" s="123" t="s">
        <v>121</v>
      </c>
      <c r="J11" s="124">
        <v>43876</v>
      </c>
      <c r="K11" s="124">
        <v>44056</v>
      </c>
      <c r="L11" s="123" t="s">
        <v>131</v>
      </c>
      <c r="M11" s="122" t="s">
        <v>424</v>
      </c>
      <c r="N11" s="122" t="s">
        <v>441</v>
      </c>
      <c r="O11" s="123" t="s">
        <v>453</v>
      </c>
      <c r="P11" s="114">
        <f ca="1">IF($J11="","",MAX(0,INT((IF(OR($L11="Active",$L11="On Leave"),TODAY(),IFERROR(VLOOKUP($A11,'09_Attrition_Tracker'!$B:$G,6,FALSE),TODAY()))-$J11)/30)))</f>
        <v>75</v>
      </c>
      <c r="Q11" s="83" t="str">
        <f t="shared" ca="1" si="0"/>
        <v>5+ yrs</v>
      </c>
      <c r="R11" s="83" t="str">
        <f t="shared" si="1"/>
        <v>Yes</v>
      </c>
      <c r="S11" s="112" t="str">
        <f>IFERROR(VLOOKUP($A11,'09_Attrition_Tracker'!$B:$M,12,FALSE),"No")</f>
        <v>No</v>
      </c>
    </row>
    <row r="12" spans="1:19">
      <c r="A12" s="136" t="s">
        <v>454</v>
      </c>
      <c r="B12" s="122" t="s">
        <v>455</v>
      </c>
      <c r="C12" s="122" t="s">
        <v>379</v>
      </c>
      <c r="D12" s="123" t="s">
        <v>426</v>
      </c>
      <c r="E12" s="122" t="s">
        <v>456</v>
      </c>
      <c r="F12" s="122" t="s">
        <v>457</v>
      </c>
      <c r="G12" s="122" t="s">
        <v>390</v>
      </c>
      <c r="H12" s="122" t="s">
        <v>118</v>
      </c>
      <c r="I12" s="123" t="s">
        <v>121</v>
      </c>
      <c r="J12" s="124">
        <v>44187</v>
      </c>
      <c r="K12" s="124"/>
      <c r="L12" s="123" t="s">
        <v>131</v>
      </c>
      <c r="M12" s="122" t="s">
        <v>96</v>
      </c>
      <c r="N12" s="122" t="s">
        <v>458</v>
      </c>
      <c r="O12" s="123" t="s">
        <v>459</v>
      </c>
      <c r="P12" s="114">
        <f ca="1">IF($J12="","",MAX(0,INT((IF(OR($L12="Active",$L12="On Leave"),TODAY(),IFERROR(VLOOKUP($A12,'09_Attrition_Tracker'!$B:$G,6,FALSE),TODAY()))-$J12)/30)))</f>
        <v>65</v>
      </c>
      <c r="Q12" s="83" t="str">
        <f t="shared" ca="1" si="0"/>
        <v>5+ yrs</v>
      </c>
      <c r="R12" s="83" t="str">
        <f t="shared" si="1"/>
        <v>Yes</v>
      </c>
      <c r="S12" s="112" t="str">
        <f>IFERROR(VLOOKUP($A12,'09_Attrition_Tracker'!$B:$M,12,FALSE),"No")</f>
        <v>No</v>
      </c>
    </row>
    <row r="13" spans="1:19">
      <c r="A13" s="136" t="s">
        <v>460</v>
      </c>
      <c r="B13" s="122" t="s">
        <v>461</v>
      </c>
      <c r="C13" s="122" t="s">
        <v>371</v>
      </c>
      <c r="D13" s="123" t="s">
        <v>450</v>
      </c>
      <c r="E13" s="122" t="s">
        <v>462</v>
      </c>
      <c r="F13" s="122" t="s">
        <v>463</v>
      </c>
      <c r="G13" s="122" t="s">
        <v>371</v>
      </c>
      <c r="H13" s="122" t="s">
        <v>118</v>
      </c>
      <c r="I13" s="123" t="s">
        <v>380</v>
      </c>
      <c r="J13" s="124">
        <v>43310</v>
      </c>
      <c r="K13" s="124">
        <v>43490</v>
      </c>
      <c r="L13" s="123" t="s">
        <v>131</v>
      </c>
      <c r="M13" s="122" t="s">
        <v>424</v>
      </c>
      <c r="N13" s="122" t="s">
        <v>464</v>
      </c>
      <c r="O13" s="123" t="s">
        <v>459</v>
      </c>
      <c r="P13" s="114">
        <f ca="1">IF($J13="","",MAX(0,INT((IF(OR($L13="Active",$L13="On Leave"),TODAY(),IFERROR(VLOOKUP($A13,'09_Attrition_Tracker'!$B:$G,6,FALSE),TODAY()))-$J13)/30)))</f>
        <v>94</v>
      </c>
      <c r="Q13" s="83" t="str">
        <f t="shared" ca="1" si="0"/>
        <v>5+ yrs</v>
      </c>
      <c r="R13" s="83" t="str">
        <f t="shared" si="1"/>
        <v>Yes</v>
      </c>
      <c r="S13" s="112" t="str">
        <f>IFERROR(VLOOKUP($A13,'09_Attrition_Tracker'!$B:$M,12,FALSE),"No")</f>
        <v>No</v>
      </c>
    </row>
    <row r="14" spans="1:19">
      <c r="A14" s="136" t="s">
        <v>465</v>
      </c>
      <c r="B14" s="122" t="s">
        <v>466</v>
      </c>
      <c r="C14" s="122" t="s">
        <v>379</v>
      </c>
      <c r="D14" s="123" t="s">
        <v>450</v>
      </c>
      <c r="E14" s="122" t="s">
        <v>456</v>
      </c>
      <c r="F14" s="122" t="s">
        <v>457</v>
      </c>
      <c r="G14" s="122" t="s">
        <v>390</v>
      </c>
      <c r="H14" s="122" t="s">
        <v>118</v>
      </c>
      <c r="I14" s="123" t="s">
        <v>121</v>
      </c>
      <c r="J14" s="124">
        <v>44725</v>
      </c>
      <c r="K14" s="124"/>
      <c r="L14" s="123" t="s">
        <v>131</v>
      </c>
      <c r="M14" s="122" t="s">
        <v>432</v>
      </c>
      <c r="N14" s="122" t="s">
        <v>137</v>
      </c>
      <c r="O14" s="123" t="s">
        <v>446</v>
      </c>
      <c r="P14" s="114">
        <f ca="1">IF($J14="","",MAX(0,INT((IF(OR($L14="Active",$L14="On Leave"),TODAY(),IFERROR(VLOOKUP($A14,'09_Attrition_Tracker'!$B:$G,6,FALSE),TODAY()))-$J14)/30)))</f>
        <v>47</v>
      </c>
      <c r="Q14" s="83" t="str">
        <f t="shared" ca="1" si="0"/>
        <v>2-5 yrs</v>
      </c>
      <c r="R14" s="83" t="str">
        <f t="shared" si="1"/>
        <v>Yes</v>
      </c>
      <c r="S14" s="112" t="str">
        <f>IFERROR(VLOOKUP($A14,'09_Attrition_Tracker'!$B:$M,12,FALSE),"No")</f>
        <v>No</v>
      </c>
    </row>
    <row r="15" spans="1:19">
      <c r="A15" s="136" t="s">
        <v>467</v>
      </c>
      <c r="B15" s="122" t="s">
        <v>468</v>
      </c>
      <c r="C15" s="122" t="s">
        <v>407</v>
      </c>
      <c r="D15" s="123" t="s">
        <v>426</v>
      </c>
      <c r="E15" s="122" t="s">
        <v>469</v>
      </c>
      <c r="F15" s="122" t="s">
        <v>470</v>
      </c>
      <c r="G15" s="122" t="s">
        <v>417</v>
      </c>
      <c r="H15" s="122" t="s">
        <v>434</v>
      </c>
      <c r="I15" s="123" t="s">
        <v>121</v>
      </c>
      <c r="J15" s="124">
        <v>43370</v>
      </c>
      <c r="K15" s="124"/>
      <c r="L15" s="123" t="s">
        <v>400</v>
      </c>
      <c r="M15" s="122" t="s">
        <v>465</v>
      </c>
      <c r="N15" s="122" t="s">
        <v>447</v>
      </c>
      <c r="O15" s="123" t="s">
        <v>459</v>
      </c>
      <c r="P15" s="114">
        <f ca="1">IF($J15="","",MAX(0,INT((IF(OR($L15="Active",$L15="On Leave"),TODAY(),IFERROR(VLOOKUP($A15,'09_Attrition_Tracker'!$B:$G,6,FALSE),TODAY()))-$J15)/30)))</f>
        <v>92</v>
      </c>
      <c r="Q15" s="83" t="str">
        <f t="shared" ca="1" si="0"/>
        <v>5+ yrs</v>
      </c>
      <c r="R15" s="83" t="str">
        <f t="shared" si="1"/>
        <v>Yes</v>
      </c>
      <c r="S15" s="112" t="str">
        <f>IFERROR(VLOOKUP($A15,'09_Attrition_Tracker'!$B:$M,12,FALSE),"No")</f>
        <v>No</v>
      </c>
    </row>
    <row r="16" spans="1:19">
      <c r="A16" s="136" t="s">
        <v>471</v>
      </c>
      <c r="B16" s="122" t="s">
        <v>472</v>
      </c>
      <c r="C16" s="122" t="s">
        <v>104</v>
      </c>
      <c r="D16" s="123" t="s">
        <v>426</v>
      </c>
      <c r="E16" s="122" t="s">
        <v>473</v>
      </c>
      <c r="F16" s="122" t="s">
        <v>474</v>
      </c>
      <c r="G16" s="122" t="s">
        <v>104</v>
      </c>
      <c r="H16" s="122" t="s">
        <v>429</v>
      </c>
      <c r="I16" s="123" t="s">
        <v>121</v>
      </c>
      <c r="J16" s="124">
        <v>44816</v>
      </c>
      <c r="K16" s="124">
        <v>44996</v>
      </c>
      <c r="L16" s="123" t="s">
        <v>381</v>
      </c>
      <c r="M16" s="122"/>
      <c r="N16" s="122" t="s">
        <v>475</v>
      </c>
      <c r="O16" s="123" t="s">
        <v>453</v>
      </c>
      <c r="P16" s="114">
        <f ca="1">IF($J16="","",MAX(0,INT((IF(OR($L16="Active",$L16="On Leave"),TODAY(),IFERROR(VLOOKUP($A16,'09_Attrition_Tracker'!$B:$G,6,FALSE),TODAY()))-$J16)/30)))</f>
        <v>30</v>
      </c>
      <c r="Q16" s="83" t="str">
        <f t="shared" ca="1" si="0"/>
        <v>2-5 yrs</v>
      </c>
      <c r="R16" s="83" t="str">
        <f t="shared" si="1"/>
        <v>No</v>
      </c>
      <c r="S16" s="112" t="str">
        <f>IFERROR(VLOOKUP($A16,'09_Attrition_Tracker'!$B:$M,12,FALSE),"No")</f>
        <v>Yes</v>
      </c>
    </row>
    <row r="17" spans="1:19">
      <c r="A17" s="136" t="s">
        <v>476</v>
      </c>
      <c r="B17" s="122" t="s">
        <v>477</v>
      </c>
      <c r="C17" s="122" t="s">
        <v>421</v>
      </c>
      <c r="D17" s="123" t="s">
        <v>108</v>
      </c>
      <c r="E17" s="122" t="s">
        <v>478</v>
      </c>
      <c r="F17" s="122" t="s">
        <v>479</v>
      </c>
      <c r="G17" s="122" t="s">
        <v>420</v>
      </c>
      <c r="H17" s="122" t="s">
        <v>118</v>
      </c>
      <c r="I17" s="123" t="s">
        <v>121</v>
      </c>
      <c r="J17" s="124">
        <v>45272</v>
      </c>
      <c r="K17" s="124"/>
      <c r="L17" s="123" t="s">
        <v>381</v>
      </c>
      <c r="M17" s="122" t="s">
        <v>435</v>
      </c>
      <c r="N17" s="122" t="s">
        <v>137</v>
      </c>
      <c r="O17" s="123" t="s">
        <v>140</v>
      </c>
      <c r="P17" s="114">
        <f ca="1">IF($J17="","",MAX(0,INT((IF(OR($L17="Active",$L17="On Leave"),TODAY(),IFERROR(VLOOKUP($A17,'09_Attrition_Tracker'!$B:$G,6,FALSE),TODAY()))-$J17)/30)))</f>
        <v>20</v>
      </c>
      <c r="Q17" s="83" t="str">
        <f t="shared" ca="1" si="0"/>
        <v>1-2 yrs</v>
      </c>
      <c r="R17" s="83" t="str">
        <f t="shared" si="1"/>
        <v>No</v>
      </c>
      <c r="S17" s="112" t="str">
        <f>IFERROR(VLOOKUP($A17,'09_Attrition_Tracker'!$B:$M,12,FALSE),"No")</f>
        <v>No</v>
      </c>
    </row>
    <row r="18" spans="1:19">
      <c r="A18" s="136" t="s">
        <v>480</v>
      </c>
      <c r="B18" s="122" t="s">
        <v>481</v>
      </c>
      <c r="C18" s="122" t="s">
        <v>416</v>
      </c>
      <c r="D18" s="123" t="s">
        <v>108</v>
      </c>
      <c r="E18" s="122" t="s">
        <v>482</v>
      </c>
      <c r="F18" s="122" t="s">
        <v>483</v>
      </c>
      <c r="G18" s="122" t="s">
        <v>411</v>
      </c>
      <c r="H18" s="122" t="s">
        <v>434</v>
      </c>
      <c r="I18" s="123" t="s">
        <v>121</v>
      </c>
      <c r="J18" s="124">
        <v>44613</v>
      </c>
      <c r="K18" s="124">
        <v>44793</v>
      </c>
      <c r="L18" s="123" t="s">
        <v>131</v>
      </c>
      <c r="M18" s="122" t="s">
        <v>435</v>
      </c>
      <c r="N18" s="122" t="s">
        <v>458</v>
      </c>
      <c r="O18" s="123" t="s">
        <v>459</v>
      </c>
      <c r="P18" s="114">
        <f ca="1">IF($J18="","",MAX(0,INT((IF(OR($L18="Active",$L18="On Leave"),TODAY(),IFERROR(VLOOKUP($A18,'09_Attrition_Tracker'!$B:$G,6,FALSE),TODAY()))-$J18)/30)))</f>
        <v>51</v>
      </c>
      <c r="Q18" s="83" t="str">
        <f t="shared" ca="1" si="0"/>
        <v>2-5 yrs</v>
      </c>
      <c r="R18" s="83" t="str">
        <f t="shared" si="1"/>
        <v>Yes</v>
      </c>
      <c r="S18" s="112" t="str">
        <f>IFERROR(VLOOKUP($A18,'09_Attrition_Tracker'!$B:$M,12,FALSE),"No")</f>
        <v>No</v>
      </c>
    </row>
    <row r="19" spans="1:19">
      <c r="A19" s="136" t="s">
        <v>484</v>
      </c>
      <c r="B19" s="122" t="s">
        <v>485</v>
      </c>
      <c r="C19" s="122" t="s">
        <v>37</v>
      </c>
      <c r="D19" s="123" t="s">
        <v>108</v>
      </c>
      <c r="E19" s="122" t="s">
        <v>486</v>
      </c>
      <c r="F19" s="122" t="s">
        <v>260</v>
      </c>
      <c r="G19" s="122" t="s">
        <v>37</v>
      </c>
      <c r="H19" s="122" t="s">
        <v>434</v>
      </c>
      <c r="I19" s="123" t="s">
        <v>391</v>
      </c>
      <c r="J19" s="124">
        <v>44961</v>
      </c>
      <c r="K19" s="124">
        <v>45141</v>
      </c>
      <c r="L19" s="123" t="s">
        <v>131</v>
      </c>
      <c r="M19" s="122" t="s">
        <v>460</v>
      </c>
      <c r="N19" s="122" t="s">
        <v>464</v>
      </c>
      <c r="O19" s="123" t="s">
        <v>140</v>
      </c>
      <c r="P19" s="114">
        <f ca="1">IF($J19="","",MAX(0,INT((IF(OR($L19="Active",$L19="On Leave"),TODAY(),IFERROR(VLOOKUP($A19,'09_Attrition_Tracker'!$B:$G,6,FALSE),TODAY()))-$J19)/30)))</f>
        <v>39</v>
      </c>
      <c r="Q19" s="83" t="str">
        <f t="shared" ca="1" si="0"/>
        <v>2-5 yrs</v>
      </c>
      <c r="R19" s="83" t="str">
        <f t="shared" si="1"/>
        <v>Yes</v>
      </c>
      <c r="S19" s="112" t="str">
        <f>IFERROR(VLOOKUP($A19,'09_Attrition_Tracker'!$B:$M,12,FALSE),"No")</f>
        <v>No</v>
      </c>
    </row>
    <row r="20" spans="1:19">
      <c r="A20" s="136" t="s">
        <v>487</v>
      </c>
      <c r="B20" s="122" t="s">
        <v>488</v>
      </c>
      <c r="C20" s="122" t="s">
        <v>379</v>
      </c>
      <c r="D20" s="123" t="s">
        <v>108</v>
      </c>
      <c r="E20" s="122" t="s">
        <v>456</v>
      </c>
      <c r="F20" s="122" t="s">
        <v>457</v>
      </c>
      <c r="G20" s="122" t="s">
        <v>390</v>
      </c>
      <c r="H20" s="122" t="s">
        <v>434</v>
      </c>
      <c r="I20" s="123" t="s">
        <v>121</v>
      </c>
      <c r="J20" s="124">
        <v>43851</v>
      </c>
      <c r="K20" s="124">
        <v>44031</v>
      </c>
      <c r="L20" s="123" t="s">
        <v>131</v>
      </c>
      <c r="M20" s="122" t="s">
        <v>448</v>
      </c>
      <c r="N20" s="122" t="s">
        <v>430</v>
      </c>
      <c r="O20" s="123" t="s">
        <v>459</v>
      </c>
      <c r="P20" s="114">
        <f ca="1">IF($J20="","",MAX(0,INT((IF(OR($L20="Active",$L20="On Leave"),TODAY(),IFERROR(VLOOKUP($A20,'09_Attrition_Tracker'!$B:$G,6,FALSE),TODAY()))-$J20)/30)))</f>
        <v>76</v>
      </c>
      <c r="Q20" s="83" t="str">
        <f t="shared" ca="1" si="0"/>
        <v>5+ yrs</v>
      </c>
      <c r="R20" s="83" t="str">
        <f t="shared" si="1"/>
        <v>Yes</v>
      </c>
      <c r="S20" s="112" t="str">
        <f>IFERROR(VLOOKUP($A20,'09_Attrition_Tracker'!$B:$M,12,FALSE),"No")</f>
        <v>No</v>
      </c>
    </row>
    <row r="21" spans="1:19">
      <c r="A21" s="136" t="s">
        <v>489</v>
      </c>
      <c r="B21" s="122" t="s">
        <v>490</v>
      </c>
      <c r="C21" s="122" t="s">
        <v>271</v>
      </c>
      <c r="D21" s="123" t="s">
        <v>450</v>
      </c>
      <c r="E21" s="122" t="s">
        <v>491</v>
      </c>
      <c r="F21" s="122" t="s">
        <v>492</v>
      </c>
      <c r="G21" s="122" t="s">
        <v>408</v>
      </c>
      <c r="H21" s="122" t="s">
        <v>118</v>
      </c>
      <c r="I21" s="123" t="s">
        <v>121</v>
      </c>
      <c r="J21" s="124">
        <v>44102</v>
      </c>
      <c r="K21" s="124">
        <v>44282</v>
      </c>
      <c r="L21" s="123" t="s">
        <v>131</v>
      </c>
      <c r="M21" s="122" t="s">
        <v>484</v>
      </c>
      <c r="N21" s="122" t="s">
        <v>464</v>
      </c>
      <c r="O21" s="123" t="s">
        <v>459</v>
      </c>
      <c r="P21" s="114">
        <f ca="1">IF($J21="","",MAX(0,INT((IF(OR($L21="Active",$L21="On Leave"),TODAY(),IFERROR(VLOOKUP($A21,'09_Attrition_Tracker'!$B:$G,6,FALSE),TODAY()))-$J21)/30)))</f>
        <v>68</v>
      </c>
      <c r="Q21" s="83" t="str">
        <f t="shared" ca="1" si="0"/>
        <v>5+ yrs</v>
      </c>
      <c r="R21" s="83" t="str">
        <f t="shared" si="1"/>
        <v>Yes</v>
      </c>
      <c r="S21" s="112" t="str">
        <f>IFERROR(VLOOKUP($A21,'09_Attrition_Tracker'!$B:$M,12,FALSE),"No")</f>
        <v>No</v>
      </c>
    </row>
    <row r="22" spans="1:19">
      <c r="A22" s="136" t="s">
        <v>493</v>
      </c>
      <c r="B22" s="122" t="s">
        <v>494</v>
      </c>
      <c r="C22" s="122" t="s">
        <v>104</v>
      </c>
      <c r="D22" s="123" t="s">
        <v>108</v>
      </c>
      <c r="E22" s="122" t="s">
        <v>495</v>
      </c>
      <c r="F22" s="122" t="s">
        <v>496</v>
      </c>
      <c r="G22" s="122" t="s">
        <v>104</v>
      </c>
      <c r="H22" s="122" t="s">
        <v>118</v>
      </c>
      <c r="I22" s="123" t="s">
        <v>121</v>
      </c>
      <c r="J22" s="124">
        <v>44496</v>
      </c>
      <c r="K22" s="124">
        <v>44676</v>
      </c>
      <c r="L22" s="123" t="s">
        <v>381</v>
      </c>
      <c r="M22" s="122" t="s">
        <v>424</v>
      </c>
      <c r="N22" s="122" t="s">
        <v>475</v>
      </c>
      <c r="O22" s="123" t="s">
        <v>459</v>
      </c>
      <c r="P22" s="114">
        <f ca="1">IF($J22="","",MAX(0,INT((IF(OR($L22="Active",$L22="On Leave"),TODAY(),IFERROR(VLOOKUP($A22,'09_Attrition_Tracker'!$B:$G,6,FALSE),TODAY()))-$J22)/30)))</f>
        <v>47</v>
      </c>
      <c r="Q22" s="83" t="str">
        <f t="shared" ca="1" si="0"/>
        <v>2-5 yrs</v>
      </c>
      <c r="R22" s="83" t="str">
        <f t="shared" si="1"/>
        <v>No</v>
      </c>
      <c r="S22" s="112" t="str">
        <f>IFERROR(VLOOKUP($A22,'09_Attrition_Tracker'!$B:$M,12,FALSE),"No")</f>
        <v>No</v>
      </c>
    </row>
    <row r="23" spans="1:19">
      <c r="A23" s="136" t="s">
        <v>497</v>
      </c>
      <c r="B23" s="122" t="s">
        <v>498</v>
      </c>
      <c r="C23" s="122" t="s">
        <v>104</v>
      </c>
      <c r="D23" s="123" t="s">
        <v>437</v>
      </c>
      <c r="E23" s="122" t="s">
        <v>111</v>
      </c>
      <c r="F23" s="122" t="s">
        <v>113</v>
      </c>
      <c r="G23" s="122" t="s">
        <v>104</v>
      </c>
      <c r="H23" s="122" t="s">
        <v>434</v>
      </c>
      <c r="I23" s="123" t="s">
        <v>121</v>
      </c>
      <c r="J23" s="124">
        <v>43705</v>
      </c>
      <c r="K23" s="124"/>
      <c r="L23" s="123" t="s">
        <v>131</v>
      </c>
      <c r="M23" s="122" t="s">
        <v>96</v>
      </c>
      <c r="N23" s="122" t="s">
        <v>458</v>
      </c>
      <c r="O23" s="123" t="s">
        <v>453</v>
      </c>
      <c r="P23" s="114">
        <f ca="1">IF($J23="","",MAX(0,INT((IF(OR($L23="Active",$L23="On Leave"),TODAY(),IFERROR(VLOOKUP($A23,'09_Attrition_Tracker'!$B:$G,6,FALSE),TODAY()))-$J23)/30)))</f>
        <v>81</v>
      </c>
      <c r="Q23" s="83" t="str">
        <f t="shared" ca="1" si="0"/>
        <v>5+ yrs</v>
      </c>
      <c r="R23" s="83" t="str">
        <f t="shared" si="1"/>
        <v>Yes</v>
      </c>
      <c r="S23" s="112" t="str">
        <f>IFERROR(VLOOKUP($A23,'09_Attrition_Tracker'!$B:$M,12,FALSE),"No")</f>
        <v>No</v>
      </c>
    </row>
    <row r="24" spans="1:19">
      <c r="A24" s="136" t="s">
        <v>499</v>
      </c>
      <c r="B24" s="122" t="s">
        <v>500</v>
      </c>
      <c r="C24" s="122" t="s">
        <v>407</v>
      </c>
      <c r="D24" s="123" t="s">
        <v>108</v>
      </c>
      <c r="E24" s="122" t="s">
        <v>501</v>
      </c>
      <c r="F24" s="122" t="s">
        <v>502</v>
      </c>
      <c r="G24" s="122" t="s">
        <v>417</v>
      </c>
      <c r="H24" s="122" t="s">
        <v>118</v>
      </c>
      <c r="I24" s="123" t="s">
        <v>121</v>
      </c>
      <c r="J24" s="124">
        <v>44302</v>
      </c>
      <c r="K24" s="124">
        <v>44482</v>
      </c>
      <c r="L24" s="123" t="s">
        <v>131</v>
      </c>
      <c r="M24" s="122" t="s">
        <v>484</v>
      </c>
      <c r="N24" s="122" t="s">
        <v>475</v>
      </c>
      <c r="O24" s="123" t="s">
        <v>140</v>
      </c>
      <c r="P24" s="114">
        <f ca="1">IF($J24="","",MAX(0,INT((IF(OR($L24="Active",$L24="On Leave"),TODAY(),IFERROR(VLOOKUP($A24,'09_Attrition_Tracker'!$B:$G,6,FALSE),TODAY()))-$J24)/30)))</f>
        <v>61</v>
      </c>
      <c r="Q24" s="83" t="str">
        <f t="shared" ca="1" si="0"/>
        <v>5+ yrs</v>
      </c>
      <c r="R24" s="83" t="str">
        <f t="shared" si="1"/>
        <v>Yes</v>
      </c>
      <c r="S24" s="112" t="str">
        <f>IFERROR(VLOOKUP($A24,'09_Attrition_Tracker'!$B:$M,12,FALSE),"No")</f>
        <v>No</v>
      </c>
    </row>
    <row r="25" spans="1:19">
      <c r="A25" s="136" t="s">
        <v>503</v>
      </c>
      <c r="B25" s="122" t="s">
        <v>504</v>
      </c>
      <c r="C25" s="122" t="s">
        <v>371</v>
      </c>
      <c r="D25" s="123" t="s">
        <v>450</v>
      </c>
      <c r="E25" s="122" t="s">
        <v>505</v>
      </c>
      <c r="F25" s="122" t="s">
        <v>506</v>
      </c>
      <c r="G25" s="122" t="s">
        <v>371</v>
      </c>
      <c r="H25" s="122" t="s">
        <v>118</v>
      </c>
      <c r="I25" s="123" t="s">
        <v>121</v>
      </c>
      <c r="J25" s="124">
        <v>43020</v>
      </c>
      <c r="K25" s="124">
        <v>43200</v>
      </c>
      <c r="L25" s="123" t="s">
        <v>131</v>
      </c>
      <c r="M25" s="122" t="s">
        <v>489</v>
      </c>
      <c r="N25" s="122" t="s">
        <v>458</v>
      </c>
      <c r="O25" s="123" t="s">
        <v>459</v>
      </c>
      <c r="P25" s="114">
        <f ca="1">IF($J25="","",MAX(0,INT((IF(OR($L25="Active",$L25="On Leave"),TODAY(),IFERROR(VLOOKUP($A25,'09_Attrition_Tracker'!$B:$G,6,FALSE),TODAY()))-$J25)/30)))</f>
        <v>104</v>
      </c>
      <c r="Q25" s="83" t="str">
        <f t="shared" ca="1" si="0"/>
        <v>5+ yrs</v>
      </c>
      <c r="R25" s="83" t="str">
        <f t="shared" si="1"/>
        <v>Yes</v>
      </c>
      <c r="S25" s="112" t="str">
        <f>IFERROR(VLOOKUP($A25,'09_Attrition_Tracker'!$B:$M,12,FALSE),"No")</f>
        <v>No</v>
      </c>
    </row>
    <row r="26" spans="1:19">
      <c r="A26" s="136" t="s">
        <v>507</v>
      </c>
      <c r="B26" s="122" t="s">
        <v>508</v>
      </c>
      <c r="C26" s="122" t="s">
        <v>407</v>
      </c>
      <c r="D26" s="123" t="s">
        <v>450</v>
      </c>
      <c r="E26" s="122" t="s">
        <v>501</v>
      </c>
      <c r="F26" s="122" t="s">
        <v>502</v>
      </c>
      <c r="G26" s="122" t="s">
        <v>417</v>
      </c>
      <c r="H26" s="122" t="s">
        <v>118</v>
      </c>
      <c r="I26" s="123" t="s">
        <v>121</v>
      </c>
      <c r="J26" s="124">
        <v>42892</v>
      </c>
      <c r="K26" s="124">
        <v>43072</v>
      </c>
      <c r="L26" s="123" t="s">
        <v>381</v>
      </c>
      <c r="M26" s="122" t="s">
        <v>467</v>
      </c>
      <c r="N26" s="122" t="s">
        <v>464</v>
      </c>
      <c r="O26" s="123" t="s">
        <v>453</v>
      </c>
      <c r="P26" s="114">
        <f ca="1">IF($J26="","",MAX(0,INT((IF(OR($L26="Active",$L26="On Leave"),TODAY(),IFERROR(VLOOKUP($A26,'09_Attrition_Tracker'!$B:$G,6,FALSE),TODAY()))-$J26)/30)))</f>
        <v>100</v>
      </c>
      <c r="Q26" s="83" t="str">
        <f t="shared" ca="1" si="0"/>
        <v>5+ yrs</v>
      </c>
      <c r="R26" s="83" t="str">
        <f t="shared" si="1"/>
        <v>No</v>
      </c>
      <c r="S26" s="112" t="str">
        <f>IFERROR(VLOOKUP($A26,'09_Attrition_Tracker'!$B:$M,12,FALSE),"No")</f>
        <v>Yes</v>
      </c>
    </row>
    <row r="27" spans="1:19">
      <c r="A27" s="136" t="s">
        <v>509</v>
      </c>
      <c r="B27" s="122" t="s">
        <v>510</v>
      </c>
      <c r="C27" s="122" t="s">
        <v>407</v>
      </c>
      <c r="D27" s="123" t="s">
        <v>108</v>
      </c>
      <c r="E27" s="122" t="s">
        <v>501</v>
      </c>
      <c r="F27" s="122" t="s">
        <v>502</v>
      </c>
      <c r="G27" s="122" t="s">
        <v>417</v>
      </c>
      <c r="H27" s="122" t="s">
        <v>434</v>
      </c>
      <c r="I27" s="123" t="s">
        <v>121</v>
      </c>
      <c r="J27" s="124">
        <v>42742</v>
      </c>
      <c r="K27" s="124">
        <v>42922</v>
      </c>
      <c r="L27" s="123" t="s">
        <v>131</v>
      </c>
      <c r="M27" s="122" t="s">
        <v>432</v>
      </c>
      <c r="N27" s="122" t="s">
        <v>464</v>
      </c>
      <c r="O27" s="123" t="s">
        <v>446</v>
      </c>
      <c r="P27" s="114">
        <f ca="1">IF($J27="","",MAX(0,INT((IF(OR($L27="Active",$L27="On Leave"),TODAY(),IFERROR(VLOOKUP($A27,'09_Attrition_Tracker'!$B:$G,6,FALSE),TODAY()))-$J27)/30)))</f>
        <v>113</v>
      </c>
      <c r="Q27" s="83" t="str">
        <f t="shared" ca="1" si="0"/>
        <v>5+ yrs</v>
      </c>
      <c r="R27" s="83" t="str">
        <f t="shared" si="1"/>
        <v>Yes</v>
      </c>
      <c r="S27" s="112" t="str">
        <f>IFERROR(VLOOKUP($A27,'09_Attrition_Tracker'!$B:$M,12,FALSE),"No")</f>
        <v>No</v>
      </c>
    </row>
    <row r="28" spans="1:19">
      <c r="A28" s="136" t="s">
        <v>511</v>
      </c>
      <c r="B28" s="122" t="s">
        <v>512</v>
      </c>
      <c r="C28" s="122" t="s">
        <v>271</v>
      </c>
      <c r="D28" s="123" t="s">
        <v>437</v>
      </c>
      <c r="E28" s="122" t="s">
        <v>491</v>
      </c>
      <c r="F28" s="122" t="s">
        <v>492</v>
      </c>
      <c r="G28" s="122" t="s">
        <v>408</v>
      </c>
      <c r="H28" s="122" t="s">
        <v>118</v>
      </c>
      <c r="I28" s="123" t="s">
        <v>121</v>
      </c>
      <c r="J28" s="124">
        <v>45006</v>
      </c>
      <c r="K28" s="124">
        <v>45186</v>
      </c>
      <c r="L28" s="123" t="s">
        <v>381</v>
      </c>
      <c r="M28" s="122" t="s">
        <v>476</v>
      </c>
      <c r="N28" s="122" t="s">
        <v>430</v>
      </c>
      <c r="O28" s="123" t="s">
        <v>453</v>
      </c>
      <c r="P28" s="114">
        <f ca="1">IF($J28="","",MAX(0,INT((IF(OR($L28="Active",$L28="On Leave"),TODAY(),IFERROR(VLOOKUP($A28,'09_Attrition_Tracker'!$B:$G,6,FALSE),TODAY()))-$J28)/30)))</f>
        <v>29</v>
      </c>
      <c r="Q28" s="83" t="str">
        <f t="shared" ca="1" si="0"/>
        <v>2-5 yrs</v>
      </c>
      <c r="R28" s="83" t="str">
        <f t="shared" si="1"/>
        <v>No</v>
      </c>
      <c r="S28" s="112" t="str">
        <f>IFERROR(VLOOKUP($A28,'09_Attrition_Tracker'!$B:$M,12,FALSE),"No")</f>
        <v>Yes</v>
      </c>
    </row>
    <row r="29" spans="1:19">
      <c r="A29" s="136" t="s">
        <v>513</v>
      </c>
      <c r="B29" s="122" t="s">
        <v>514</v>
      </c>
      <c r="C29" s="122" t="s">
        <v>407</v>
      </c>
      <c r="D29" s="123" t="s">
        <v>437</v>
      </c>
      <c r="E29" s="122" t="s">
        <v>469</v>
      </c>
      <c r="F29" s="122" t="s">
        <v>470</v>
      </c>
      <c r="G29" s="122" t="s">
        <v>417</v>
      </c>
      <c r="H29" s="122" t="s">
        <v>118</v>
      </c>
      <c r="I29" s="123" t="s">
        <v>121</v>
      </c>
      <c r="J29" s="124">
        <v>45954</v>
      </c>
      <c r="K29" s="124">
        <v>46134</v>
      </c>
      <c r="L29" s="123" t="s">
        <v>131</v>
      </c>
      <c r="M29" s="122" t="s">
        <v>484</v>
      </c>
      <c r="N29" s="122" t="s">
        <v>515</v>
      </c>
      <c r="O29" s="123" t="s">
        <v>459</v>
      </c>
      <c r="P29" s="114">
        <f ca="1">IF($J29="","",MAX(0,INT((IF(OR($L29="Active",$L29="On Leave"),TODAY(),IFERROR(VLOOKUP($A29,'09_Attrition_Tracker'!$B:$G,6,FALSE),TODAY()))-$J29)/30)))</f>
        <v>6</v>
      </c>
      <c r="Q29" s="83" t="str">
        <f t="shared" ca="1" si="0"/>
        <v>4-6 mos</v>
      </c>
      <c r="R29" s="83" t="str">
        <f t="shared" si="1"/>
        <v>Yes</v>
      </c>
      <c r="S29" s="112" t="str">
        <f>IFERROR(VLOOKUP($A29,'09_Attrition_Tracker'!$B:$M,12,FALSE),"No")</f>
        <v>No</v>
      </c>
    </row>
    <row r="30" spans="1:19">
      <c r="A30" s="136" t="s">
        <v>516</v>
      </c>
      <c r="B30" s="122" t="s">
        <v>517</v>
      </c>
      <c r="C30" s="122" t="s">
        <v>104</v>
      </c>
      <c r="D30" s="123" t="s">
        <v>108</v>
      </c>
      <c r="E30" s="122" t="s">
        <v>473</v>
      </c>
      <c r="F30" s="122" t="s">
        <v>474</v>
      </c>
      <c r="G30" s="122" t="s">
        <v>104</v>
      </c>
      <c r="H30" s="122" t="s">
        <v>429</v>
      </c>
      <c r="I30" s="123" t="s">
        <v>121</v>
      </c>
      <c r="J30" s="124">
        <v>43118</v>
      </c>
      <c r="K30" s="124">
        <v>43298</v>
      </c>
      <c r="L30" s="123" t="s">
        <v>131</v>
      </c>
      <c r="M30" s="122"/>
      <c r="N30" s="122" t="s">
        <v>475</v>
      </c>
      <c r="O30" s="123" t="s">
        <v>140</v>
      </c>
      <c r="P30" s="114">
        <f ca="1">IF($J30="","",MAX(0,INT((IF(OR($L30="Active",$L30="On Leave"),TODAY(),IFERROR(VLOOKUP($A30,'09_Attrition_Tracker'!$B:$G,6,FALSE),TODAY()))-$J30)/30)))</f>
        <v>100</v>
      </c>
      <c r="Q30" s="83" t="str">
        <f t="shared" ca="1" si="0"/>
        <v>5+ yrs</v>
      </c>
      <c r="R30" s="83" t="str">
        <f t="shared" si="1"/>
        <v>Yes</v>
      </c>
      <c r="S30" s="112" t="str">
        <f>IFERROR(VLOOKUP($A30,'09_Attrition_Tracker'!$B:$M,12,FALSE),"No")</f>
        <v>No</v>
      </c>
    </row>
    <row r="31" spans="1:19">
      <c r="A31" s="136" t="s">
        <v>518</v>
      </c>
      <c r="B31" s="122" t="s">
        <v>519</v>
      </c>
      <c r="C31" s="122" t="s">
        <v>152</v>
      </c>
      <c r="D31" s="123" t="s">
        <v>450</v>
      </c>
      <c r="E31" s="122" t="s">
        <v>151</v>
      </c>
      <c r="F31" s="122" t="s">
        <v>153</v>
      </c>
      <c r="G31" s="122" t="s">
        <v>154</v>
      </c>
      <c r="H31" s="122" t="s">
        <v>434</v>
      </c>
      <c r="I31" s="123" t="s">
        <v>121</v>
      </c>
      <c r="J31" s="124">
        <v>44601</v>
      </c>
      <c r="K31" s="124">
        <v>44781</v>
      </c>
      <c r="L31" s="123" t="s">
        <v>131</v>
      </c>
      <c r="M31" s="122" t="s">
        <v>476</v>
      </c>
      <c r="N31" s="122" t="s">
        <v>515</v>
      </c>
      <c r="O31" s="123" t="s">
        <v>459</v>
      </c>
      <c r="P31" s="114">
        <f ca="1">IF($J31="","",MAX(0,INT((IF(OR($L31="Active",$L31="On Leave"),TODAY(),IFERROR(VLOOKUP($A31,'09_Attrition_Tracker'!$B:$G,6,FALSE),TODAY()))-$J31)/30)))</f>
        <v>51</v>
      </c>
      <c r="Q31" s="83" t="str">
        <f t="shared" ca="1" si="0"/>
        <v>2-5 yrs</v>
      </c>
      <c r="R31" s="83" t="str">
        <f t="shared" si="1"/>
        <v>Yes</v>
      </c>
      <c r="S31" s="112" t="str">
        <f>IFERROR(VLOOKUP($A31,'09_Attrition_Tracker'!$B:$M,12,FALSE),"No")</f>
        <v>No</v>
      </c>
    </row>
    <row r="32" spans="1:19">
      <c r="A32" s="136" t="s">
        <v>520</v>
      </c>
      <c r="B32" s="122" t="s">
        <v>485</v>
      </c>
      <c r="C32" s="122" t="s">
        <v>271</v>
      </c>
      <c r="D32" s="123" t="s">
        <v>450</v>
      </c>
      <c r="E32" s="122" t="s">
        <v>521</v>
      </c>
      <c r="F32" s="122" t="s">
        <v>522</v>
      </c>
      <c r="G32" s="122" t="s">
        <v>408</v>
      </c>
      <c r="H32" s="122" t="s">
        <v>434</v>
      </c>
      <c r="I32" s="123" t="s">
        <v>121</v>
      </c>
      <c r="J32" s="124">
        <v>42941</v>
      </c>
      <c r="K32" s="124">
        <v>43121</v>
      </c>
      <c r="L32" s="123" t="s">
        <v>131</v>
      </c>
      <c r="M32" s="122" t="s">
        <v>516</v>
      </c>
      <c r="N32" s="122" t="s">
        <v>458</v>
      </c>
      <c r="O32" s="123" t="s">
        <v>453</v>
      </c>
      <c r="P32" s="114">
        <f ca="1">IF($J32="","",MAX(0,INT((IF(OR($L32="Active",$L32="On Leave"),TODAY(),IFERROR(VLOOKUP($A32,'09_Attrition_Tracker'!$B:$G,6,FALSE),TODAY()))-$J32)/30)))</f>
        <v>106</v>
      </c>
      <c r="Q32" s="83" t="str">
        <f t="shared" ca="1" si="0"/>
        <v>5+ yrs</v>
      </c>
      <c r="R32" s="83" t="str">
        <f t="shared" si="1"/>
        <v>Yes</v>
      </c>
      <c r="S32" s="112" t="str">
        <f>IFERROR(VLOOKUP($A32,'09_Attrition_Tracker'!$B:$M,12,FALSE),"No")</f>
        <v>No</v>
      </c>
    </row>
    <row r="33" spans="1:19">
      <c r="A33" s="136" t="s">
        <v>523</v>
      </c>
      <c r="B33" s="122" t="s">
        <v>524</v>
      </c>
      <c r="C33" s="122" t="s">
        <v>104</v>
      </c>
      <c r="D33" s="123" t="s">
        <v>450</v>
      </c>
      <c r="E33" s="122" t="s">
        <v>111</v>
      </c>
      <c r="F33" s="122" t="s">
        <v>113</v>
      </c>
      <c r="G33" s="122" t="s">
        <v>104</v>
      </c>
      <c r="H33" s="122" t="s">
        <v>434</v>
      </c>
      <c r="I33" s="123" t="s">
        <v>121</v>
      </c>
      <c r="J33" s="124">
        <v>44579</v>
      </c>
      <c r="K33" s="124">
        <v>44759</v>
      </c>
      <c r="L33" s="123" t="s">
        <v>131</v>
      </c>
      <c r="M33" s="122" t="s">
        <v>460</v>
      </c>
      <c r="N33" s="122" t="s">
        <v>430</v>
      </c>
      <c r="O33" s="123" t="s">
        <v>453</v>
      </c>
      <c r="P33" s="114">
        <f ca="1">IF($J33="","",MAX(0,INT((IF(OR($L33="Active",$L33="On Leave"),TODAY(),IFERROR(VLOOKUP($A33,'09_Attrition_Tracker'!$B:$G,6,FALSE),TODAY()))-$J33)/30)))</f>
        <v>52</v>
      </c>
      <c r="Q33" s="83" t="str">
        <f t="shared" ca="1" si="0"/>
        <v>2-5 yrs</v>
      </c>
      <c r="R33" s="83" t="str">
        <f t="shared" si="1"/>
        <v>Yes</v>
      </c>
      <c r="S33" s="112" t="str">
        <f>IFERROR(VLOOKUP($A33,'09_Attrition_Tracker'!$B:$M,12,FALSE),"No")</f>
        <v>No</v>
      </c>
    </row>
    <row r="34" spans="1:19">
      <c r="A34" s="136" t="s">
        <v>525</v>
      </c>
      <c r="B34" s="122" t="s">
        <v>526</v>
      </c>
      <c r="C34" s="122" t="s">
        <v>407</v>
      </c>
      <c r="D34" s="123" t="s">
        <v>450</v>
      </c>
      <c r="E34" s="122" t="s">
        <v>501</v>
      </c>
      <c r="F34" s="122" t="s">
        <v>502</v>
      </c>
      <c r="G34" s="122" t="s">
        <v>417</v>
      </c>
      <c r="H34" s="122" t="s">
        <v>434</v>
      </c>
      <c r="I34" s="123" t="s">
        <v>121</v>
      </c>
      <c r="J34" s="124">
        <v>44045</v>
      </c>
      <c r="K34" s="124">
        <v>44225</v>
      </c>
      <c r="L34" s="123" t="s">
        <v>131</v>
      </c>
      <c r="M34" s="122" t="s">
        <v>454</v>
      </c>
      <c r="N34" s="122" t="s">
        <v>475</v>
      </c>
      <c r="O34" s="123" t="s">
        <v>459</v>
      </c>
      <c r="P34" s="114">
        <f ca="1">IF($J34="","",MAX(0,INT((IF(OR($L34="Active",$L34="On Leave"),TODAY(),IFERROR(VLOOKUP($A34,'09_Attrition_Tracker'!$B:$G,6,FALSE),TODAY()))-$J34)/30)))</f>
        <v>70</v>
      </c>
      <c r="Q34" s="83" t="str">
        <f t="shared" ca="1" si="0"/>
        <v>5+ yrs</v>
      </c>
      <c r="R34" s="83" t="str">
        <f t="shared" si="1"/>
        <v>Yes</v>
      </c>
      <c r="S34" s="112" t="str">
        <f>IFERROR(VLOOKUP($A34,'09_Attrition_Tracker'!$B:$M,12,FALSE),"No")</f>
        <v>No</v>
      </c>
    </row>
    <row r="35" spans="1:19">
      <c r="A35" s="136" t="s">
        <v>527</v>
      </c>
      <c r="B35" s="122" t="s">
        <v>461</v>
      </c>
      <c r="C35" s="122" t="s">
        <v>271</v>
      </c>
      <c r="D35" s="123" t="s">
        <v>426</v>
      </c>
      <c r="E35" s="122" t="s">
        <v>491</v>
      </c>
      <c r="F35" s="122" t="s">
        <v>492</v>
      </c>
      <c r="G35" s="122" t="s">
        <v>408</v>
      </c>
      <c r="H35" s="122" t="s">
        <v>118</v>
      </c>
      <c r="I35" s="123" t="s">
        <v>380</v>
      </c>
      <c r="J35" s="124">
        <v>44439</v>
      </c>
      <c r="K35" s="124">
        <v>44619</v>
      </c>
      <c r="L35" s="123" t="s">
        <v>381</v>
      </c>
      <c r="M35" s="122" t="s">
        <v>513</v>
      </c>
      <c r="N35" s="122" t="s">
        <v>137</v>
      </c>
      <c r="O35" s="123" t="s">
        <v>453</v>
      </c>
      <c r="P35" s="114">
        <f ca="1">IF($J35="","",MAX(0,INT((IF(OR($L35="Active",$L35="On Leave"),TODAY(),IFERROR(VLOOKUP($A35,'09_Attrition_Tracker'!$B:$G,6,FALSE),TODAY()))-$J35)/30)))</f>
        <v>48</v>
      </c>
      <c r="Q35" s="83" t="str">
        <f t="shared" ca="1" si="0"/>
        <v>2-5 yrs</v>
      </c>
      <c r="R35" s="83" t="str">
        <f t="shared" si="1"/>
        <v>No</v>
      </c>
      <c r="S35" s="112" t="str">
        <f>IFERROR(VLOOKUP($A35,'09_Attrition_Tracker'!$B:$M,12,FALSE),"No")</f>
        <v>No</v>
      </c>
    </row>
    <row r="36" spans="1:19">
      <c r="A36" s="136" t="s">
        <v>528</v>
      </c>
      <c r="B36" s="122" t="s">
        <v>529</v>
      </c>
      <c r="C36" s="122" t="s">
        <v>37</v>
      </c>
      <c r="D36" s="123" t="s">
        <v>450</v>
      </c>
      <c r="E36" s="122" t="s">
        <v>486</v>
      </c>
      <c r="F36" s="122" t="s">
        <v>260</v>
      </c>
      <c r="G36" s="122" t="s">
        <v>37</v>
      </c>
      <c r="H36" s="122" t="s">
        <v>434</v>
      </c>
      <c r="I36" s="123" t="s">
        <v>121</v>
      </c>
      <c r="J36" s="124">
        <v>44940</v>
      </c>
      <c r="K36" s="124">
        <v>45120</v>
      </c>
      <c r="L36" s="123" t="s">
        <v>131</v>
      </c>
      <c r="M36" s="122" t="s">
        <v>493</v>
      </c>
      <c r="N36" s="122" t="s">
        <v>137</v>
      </c>
      <c r="O36" s="123" t="s">
        <v>446</v>
      </c>
      <c r="P36" s="114">
        <f ca="1">IF($J36="","",MAX(0,INT((IF(OR($L36="Active",$L36="On Leave"),TODAY(),IFERROR(VLOOKUP($A36,'09_Attrition_Tracker'!$B:$G,6,FALSE),TODAY()))-$J36)/30)))</f>
        <v>40</v>
      </c>
      <c r="Q36" s="83" t="str">
        <f t="shared" ca="1" si="0"/>
        <v>2-5 yrs</v>
      </c>
      <c r="R36" s="83" t="str">
        <f t="shared" si="1"/>
        <v>Yes</v>
      </c>
      <c r="S36" s="112" t="str">
        <f>IFERROR(VLOOKUP($A36,'09_Attrition_Tracker'!$B:$M,12,FALSE),"No")</f>
        <v>No</v>
      </c>
    </row>
    <row r="37" spans="1:19">
      <c r="A37" s="136" t="s">
        <v>530</v>
      </c>
      <c r="B37" s="122" t="s">
        <v>531</v>
      </c>
      <c r="C37" s="122" t="s">
        <v>176</v>
      </c>
      <c r="D37" s="123" t="s">
        <v>437</v>
      </c>
      <c r="E37" s="122" t="s">
        <v>177</v>
      </c>
      <c r="F37" s="122" t="s">
        <v>178</v>
      </c>
      <c r="G37" s="122" t="s">
        <v>154</v>
      </c>
      <c r="H37" s="122" t="s">
        <v>434</v>
      </c>
      <c r="I37" s="123" t="s">
        <v>380</v>
      </c>
      <c r="J37" s="124">
        <v>44349</v>
      </c>
      <c r="K37" s="124">
        <v>44529</v>
      </c>
      <c r="L37" s="123" t="s">
        <v>131</v>
      </c>
      <c r="M37" s="122" t="s">
        <v>520</v>
      </c>
      <c r="N37" s="122" t="s">
        <v>515</v>
      </c>
      <c r="O37" s="123" t="s">
        <v>459</v>
      </c>
      <c r="P37" s="114">
        <f ca="1">IF($J37="","",MAX(0,INT((IF(OR($L37="Active",$L37="On Leave"),TODAY(),IFERROR(VLOOKUP($A37,'09_Attrition_Tracker'!$B:$G,6,FALSE),TODAY()))-$J37)/30)))</f>
        <v>59</v>
      </c>
      <c r="Q37" s="83" t="str">
        <f t="shared" ca="1" si="0"/>
        <v>2-5 yrs</v>
      </c>
      <c r="R37" s="83" t="str">
        <f t="shared" si="1"/>
        <v>Yes</v>
      </c>
      <c r="S37" s="112" t="str">
        <f>IFERROR(VLOOKUP($A37,'09_Attrition_Tracker'!$B:$M,12,FALSE),"No")</f>
        <v>No</v>
      </c>
    </row>
    <row r="38" spans="1:19">
      <c r="A38" s="136" t="s">
        <v>532</v>
      </c>
      <c r="B38" s="122" t="s">
        <v>533</v>
      </c>
      <c r="C38" s="122" t="s">
        <v>271</v>
      </c>
      <c r="D38" s="123" t="s">
        <v>108</v>
      </c>
      <c r="E38" s="122" t="s">
        <v>491</v>
      </c>
      <c r="F38" s="122" t="s">
        <v>492</v>
      </c>
      <c r="G38" s="122" t="s">
        <v>408</v>
      </c>
      <c r="H38" s="122" t="s">
        <v>118</v>
      </c>
      <c r="I38" s="123" t="s">
        <v>380</v>
      </c>
      <c r="J38" s="124">
        <v>44074</v>
      </c>
      <c r="K38" s="124">
        <v>44254</v>
      </c>
      <c r="L38" s="123" t="s">
        <v>131</v>
      </c>
      <c r="M38" s="122" t="s">
        <v>518</v>
      </c>
      <c r="N38" s="122" t="s">
        <v>441</v>
      </c>
      <c r="O38" s="123" t="s">
        <v>459</v>
      </c>
      <c r="P38" s="114">
        <f ca="1">IF($J38="","",MAX(0,INT((IF(OR($L38="Active",$L38="On Leave"),TODAY(),IFERROR(VLOOKUP($A38,'09_Attrition_Tracker'!$B:$G,6,FALSE),TODAY()))-$J38)/30)))</f>
        <v>69</v>
      </c>
      <c r="Q38" s="83" t="str">
        <f t="shared" ca="1" si="0"/>
        <v>5+ yrs</v>
      </c>
      <c r="R38" s="83" t="str">
        <f t="shared" si="1"/>
        <v>Yes</v>
      </c>
      <c r="S38" s="112" t="str">
        <f>IFERROR(VLOOKUP($A38,'09_Attrition_Tracker'!$B:$M,12,FALSE),"No")</f>
        <v>No</v>
      </c>
    </row>
    <row r="39" spans="1:19">
      <c r="A39" s="136" t="s">
        <v>534</v>
      </c>
      <c r="B39" s="122" t="s">
        <v>535</v>
      </c>
      <c r="C39" s="122" t="s">
        <v>37</v>
      </c>
      <c r="D39" s="123" t="s">
        <v>437</v>
      </c>
      <c r="E39" s="122" t="s">
        <v>536</v>
      </c>
      <c r="F39" s="122" t="s">
        <v>537</v>
      </c>
      <c r="G39" s="122" t="s">
        <v>37</v>
      </c>
      <c r="H39" s="122" t="s">
        <v>434</v>
      </c>
      <c r="I39" s="123" t="s">
        <v>380</v>
      </c>
      <c r="J39" s="124">
        <v>45935</v>
      </c>
      <c r="K39" s="124">
        <v>46115</v>
      </c>
      <c r="L39" s="123" t="s">
        <v>131</v>
      </c>
      <c r="M39" s="122" t="s">
        <v>487</v>
      </c>
      <c r="N39" s="122" t="s">
        <v>515</v>
      </c>
      <c r="O39" s="123" t="s">
        <v>140</v>
      </c>
      <c r="P39" s="114">
        <f ca="1">IF($J39="","",MAX(0,INT((IF(OR($L39="Active",$L39="On Leave"),TODAY(),IFERROR(VLOOKUP($A39,'09_Attrition_Tracker'!$B:$G,6,FALSE),TODAY()))-$J39)/30)))</f>
        <v>7</v>
      </c>
      <c r="Q39" s="83" t="str">
        <f t="shared" ca="1" si="0"/>
        <v>7-12 mos</v>
      </c>
      <c r="R39" s="83" t="str">
        <f t="shared" si="1"/>
        <v>Yes</v>
      </c>
      <c r="S39" s="112" t="str">
        <f>IFERROR(VLOOKUP($A39,'09_Attrition_Tracker'!$B:$M,12,FALSE),"No")</f>
        <v>No</v>
      </c>
    </row>
    <row r="40" spans="1:19">
      <c r="A40" s="136" t="s">
        <v>538</v>
      </c>
      <c r="B40" s="122" t="s">
        <v>539</v>
      </c>
      <c r="C40" s="122" t="s">
        <v>416</v>
      </c>
      <c r="D40" s="123" t="s">
        <v>437</v>
      </c>
      <c r="E40" s="122" t="s">
        <v>540</v>
      </c>
      <c r="F40" s="122" t="s">
        <v>541</v>
      </c>
      <c r="G40" s="122" t="s">
        <v>411</v>
      </c>
      <c r="H40" s="122" t="s">
        <v>429</v>
      </c>
      <c r="I40" s="123" t="s">
        <v>121</v>
      </c>
      <c r="J40" s="124">
        <v>44640</v>
      </c>
      <c r="K40" s="124">
        <v>44820</v>
      </c>
      <c r="L40" s="123" t="s">
        <v>131</v>
      </c>
      <c r="M40" s="122"/>
      <c r="N40" s="122" t="s">
        <v>464</v>
      </c>
      <c r="O40" s="123" t="s">
        <v>140</v>
      </c>
      <c r="P40" s="114">
        <f ca="1">IF($J40="","",MAX(0,INT((IF(OR($L40="Active",$L40="On Leave"),TODAY(),IFERROR(VLOOKUP($A40,'09_Attrition_Tracker'!$B:$G,6,FALSE),TODAY()))-$J40)/30)))</f>
        <v>50</v>
      </c>
      <c r="Q40" s="83" t="str">
        <f t="shared" ca="1" si="0"/>
        <v>2-5 yrs</v>
      </c>
      <c r="R40" s="83" t="str">
        <f t="shared" si="1"/>
        <v>Yes</v>
      </c>
      <c r="S40" s="112" t="str">
        <f>IFERROR(VLOOKUP($A40,'09_Attrition_Tracker'!$B:$M,12,FALSE),"No")</f>
        <v>No</v>
      </c>
    </row>
    <row r="41" spans="1:19">
      <c r="A41" s="136" t="s">
        <v>542</v>
      </c>
      <c r="B41" s="122" t="s">
        <v>543</v>
      </c>
      <c r="C41" s="122" t="s">
        <v>379</v>
      </c>
      <c r="D41" s="123" t="s">
        <v>437</v>
      </c>
      <c r="E41" s="122" t="s">
        <v>544</v>
      </c>
      <c r="F41" s="122" t="s">
        <v>545</v>
      </c>
      <c r="G41" s="122" t="s">
        <v>390</v>
      </c>
      <c r="H41" s="122" t="s">
        <v>440</v>
      </c>
      <c r="I41" s="123" t="s">
        <v>121</v>
      </c>
      <c r="J41" s="124">
        <v>45094</v>
      </c>
      <c r="K41" s="124"/>
      <c r="L41" s="123" t="s">
        <v>131</v>
      </c>
      <c r="M41" s="122" t="s">
        <v>516</v>
      </c>
      <c r="N41" s="122" t="s">
        <v>475</v>
      </c>
      <c r="O41" s="123" t="s">
        <v>459</v>
      </c>
      <c r="P41" s="114">
        <f ca="1">IF($J41="","",MAX(0,INT((IF(OR($L41="Active",$L41="On Leave"),TODAY(),IFERROR(VLOOKUP($A41,'09_Attrition_Tracker'!$B:$G,6,FALSE),TODAY()))-$J41)/30)))</f>
        <v>35</v>
      </c>
      <c r="Q41" s="83" t="str">
        <f t="shared" ca="1" si="0"/>
        <v>2-5 yrs</v>
      </c>
      <c r="R41" s="83" t="str">
        <f t="shared" si="1"/>
        <v>Yes</v>
      </c>
      <c r="S41" s="112" t="str">
        <f>IFERROR(VLOOKUP($A41,'09_Attrition_Tracker'!$B:$M,12,FALSE),"No")</f>
        <v>No</v>
      </c>
    </row>
    <row r="42" spans="1:19">
      <c r="A42" s="136" t="s">
        <v>546</v>
      </c>
      <c r="B42" s="122" t="s">
        <v>477</v>
      </c>
      <c r="C42" s="122" t="s">
        <v>421</v>
      </c>
      <c r="D42" s="123" t="s">
        <v>426</v>
      </c>
      <c r="E42" s="122" t="s">
        <v>478</v>
      </c>
      <c r="F42" s="122" t="s">
        <v>479</v>
      </c>
      <c r="G42" s="122" t="s">
        <v>420</v>
      </c>
      <c r="H42" s="122" t="s">
        <v>118</v>
      </c>
      <c r="I42" s="123" t="s">
        <v>380</v>
      </c>
      <c r="J42" s="124">
        <v>44158</v>
      </c>
      <c r="K42" s="124">
        <v>44338</v>
      </c>
      <c r="L42" s="123" t="s">
        <v>131</v>
      </c>
      <c r="M42" s="122" t="s">
        <v>507</v>
      </c>
      <c r="N42" s="122" t="s">
        <v>441</v>
      </c>
      <c r="O42" s="123" t="s">
        <v>459</v>
      </c>
      <c r="P42" s="114">
        <f ca="1">IF($J42="","",MAX(0,INT((IF(OR($L42="Active",$L42="On Leave"),TODAY(),IFERROR(VLOOKUP($A42,'09_Attrition_Tracker'!$B:$G,6,FALSE),TODAY()))-$J42)/30)))</f>
        <v>66</v>
      </c>
      <c r="Q42" s="83" t="str">
        <f t="shared" ca="1" si="0"/>
        <v>5+ yrs</v>
      </c>
      <c r="R42" s="83" t="str">
        <f t="shared" si="1"/>
        <v>Yes</v>
      </c>
      <c r="S42" s="112" t="str">
        <f>IFERROR(VLOOKUP($A42,'09_Attrition_Tracker'!$B:$M,12,FALSE),"No")</f>
        <v>No</v>
      </c>
    </row>
    <row r="43" spans="1:19">
      <c r="A43" s="136" t="s">
        <v>547</v>
      </c>
      <c r="B43" s="122" t="s">
        <v>548</v>
      </c>
      <c r="C43" s="122" t="s">
        <v>37</v>
      </c>
      <c r="D43" s="123" t="s">
        <v>108</v>
      </c>
      <c r="E43" s="122" t="s">
        <v>549</v>
      </c>
      <c r="F43" s="122" t="s">
        <v>550</v>
      </c>
      <c r="G43" s="122" t="s">
        <v>37</v>
      </c>
      <c r="H43" s="122" t="s">
        <v>429</v>
      </c>
      <c r="I43" s="123" t="s">
        <v>121</v>
      </c>
      <c r="J43" s="124">
        <v>44519</v>
      </c>
      <c r="K43" s="124">
        <v>44699</v>
      </c>
      <c r="L43" s="123" t="s">
        <v>400</v>
      </c>
      <c r="M43" s="122"/>
      <c r="N43" s="122" t="s">
        <v>441</v>
      </c>
      <c r="O43" s="123" t="s">
        <v>453</v>
      </c>
      <c r="P43" s="114">
        <f ca="1">IF($J43="","",MAX(0,INT((IF(OR($L43="Active",$L43="On Leave"),TODAY(),IFERROR(VLOOKUP($A43,'09_Attrition_Tracker'!$B:$G,6,FALSE),TODAY()))-$J43)/30)))</f>
        <v>54</v>
      </c>
      <c r="Q43" s="83" t="str">
        <f t="shared" ca="1" si="0"/>
        <v>2-5 yrs</v>
      </c>
      <c r="R43" s="83" t="str">
        <f t="shared" si="1"/>
        <v>Yes</v>
      </c>
      <c r="S43" s="112" t="str">
        <f>IFERROR(VLOOKUP($A43,'09_Attrition_Tracker'!$B:$M,12,FALSE),"No")</f>
        <v>No</v>
      </c>
    </row>
    <row r="44" spans="1:19">
      <c r="A44" s="136" t="s">
        <v>551</v>
      </c>
      <c r="B44" s="122" t="s">
        <v>552</v>
      </c>
      <c r="C44" s="122" t="s">
        <v>421</v>
      </c>
      <c r="D44" s="123" t="s">
        <v>450</v>
      </c>
      <c r="E44" s="122" t="s">
        <v>553</v>
      </c>
      <c r="F44" s="122" t="s">
        <v>554</v>
      </c>
      <c r="G44" s="122" t="s">
        <v>420</v>
      </c>
      <c r="H44" s="122" t="s">
        <v>118</v>
      </c>
      <c r="I44" s="123" t="s">
        <v>121</v>
      </c>
      <c r="J44" s="124">
        <v>43090</v>
      </c>
      <c r="K44" s="124">
        <v>43270</v>
      </c>
      <c r="L44" s="123" t="s">
        <v>131</v>
      </c>
      <c r="M44" s="122" t="s">
        <v>525</v>
      </c>
      <c r="N44" s="122" t="s">
        <v>441</v>
      </c>
      <c r="O44" s="123" t="s">
        <v>446</v>
      </c>
      <c r="P44" s="114">
        <f ca="1">IF($J44="","",MAX(0,INT((IF(OR($L44="Active",$L44="On Leave"),TODAY(),IFERROR(VLOOKUP($A44,'09_Attrition_Tracker'!$B:$G,6,FALSE),TODAY()))-$J44)/30)))</f>
        <v>101</v>
      </c>
      <c r="Q44" s="83" t="str">
        <f t="shared" ca="1" si="0"/>
        <v>5+ yrs</v>
      </c>
      <c r="R44" s="83" t="str">
        <f t="shared" si="1"/>
        <v>Yes</v>
      </c>
      <c r="S44" s="112" t="str">
        <f>IFERROR(VLOOKUP($A44,'09_Attrition_Tracker'!$B:$M,12,FALSE),"No")</f>
        <v>No</v>
      </c>
    </row>
    <row r="45" spans="1:19">
      <c r="A45" s="136" t="s">
        <v>555</v>
      </c>
      <c r="B45" s="122" t="s">
        <v>556</v>
      </c>
      <c r="C45" s="122" t="s">
        <v>416</v>
      </c>
      <c r="D45" s="123" t="s">
        <v>437</v>
      </c>
      <c r="E45" s="122" t="s">
        <v>557</v>
      </c>
      <c r="F45" s="122" t="s">
        <v>558</v>
      </c>
      <c r="G45" s="122" t="s">
        <v>411</v>
      </c>
      <c r="H45" s="122" t="s">
        <v>118</v>
      </c>
      <c r="I45" s="123" t="s">
        <v>121</v>
      </c>
      <c r="J45" s="124">
        <v>44130</v>
      </c>
      <c r="K45" s="124">
        <v>44310</v>
      </c>
      <c r="L45" s="123" t="s">
        <v>131</v>
      </c>
      <c r="M45" s="122" t="s">
        <v>532</v>
      </c>
      <c r="N45" s="122" t="s">
        <v>137</v>
      </c>
      <c r="O45" s="123" t="s">
        <v>453</v>
      </c>
      <c r="P45" s="114">
        <f ca="1">IF($J45="","",MAX(0,INT((IF(OR($L45="Active",$L45="On Leave"),TODAY(),IFERROR(VLOOKUP($A45,'09_Attrition_Tracker'!$B:$G,6,FALSE),TODAY()))-$J45)/30)))</f>
        <v>67</v>
      </c>
      <c r="Q45" s="83" t="str">
        <f t="shared" ca="1" si="0"/>
        <v>5+ yrs</v>
      </c>
      <c r="R45" s="83" t="str">
        <f t="shared" si="1"/>
        <v>Yes</v>
      </c>
      <c r="S45" s="112" t="str">
        <f>IFERROR(VLOOKUP($A45,'09_Attrition_Tracker'!$B:$M,12,FALSE),"No")</f>
        <v>No</v>
      </c>
    </row>
    <row r="46" spans="1:19">
      <c r="A46" s="136" t="s">
        <v>559</v>
      </c>
      <c r="B46" s="122" t="s">
        <v>468</v>
      </c>
      <c r="C46" s="122" t="s">
        <v>416</v>
      </c>
      <c r="D46" s="123" t="s">
        <v>437</v>
      </c>
      <c r="E46" s="122" t="s">
        <v>540</v>
      </c>
      <c r="F46" s="122" t="s">
        <v>541</v>
      </c>
      <c r="G46" s="122" t="s">
        <v>411</v>
      </c>
      <c r="H46" s="122" t="s">
        <v>429</v>
      </c>
      <c r="I46" s="123" t="s">
        <v>121</v>
      </c>
      <c r="J46" s="124">
        <v>44571</v>
      </c>
      <c r="K46" s="124">
        <v>44751</v>
      </c>
      <c r="L46" s="123" t="s">
        <v>131</v>
      </c>
      <c r="M46" s="122"/>
      <c r="N46" s="122" t="s">
        <v>475</v>
      </c>
      <c r="O46" s="123" t="s">
        <v>446</v>
      </c>
      <c r="P46" s="114">
        <f ca="1">IF($J46="","",MAX(0,INT((IF(OR($L46="Active",$L46="On Leave"),TODAY(),IFERROR(VLOOKUP($A46,'09_Attrition_Tracker'!$B:$G,6,FALSE),TODAY()))-$J46)/30)))</f>
        <v>52</v>
      </c>
      <c r="Q46" s="83" t="str">
        <f t="shared" ca="1" si="0"/>
        <v>2-5 yrs</v>
      </c>
      <c r="R46" s="83" t="str">
        <f t="shared" si="1"/>
        <v>Yes</v>
      </c>
      <c r="S46" s="112" t="str">
        <f>IFERROR(VLOOKUP($A46,'09_Attrition_Tracker'!$B:$M,12,FALSE),"No")</f>
        <v>No</v>
      </c>
    </row>
    <row r="47" spans="1:19">
      <c r="A47" s="136" t="s">
        <v>560</v>
      </c>
      <c r="B47" s="122" t="s">
        <v>210</v>
      </c>
      <c r="C47" s="122" t="s">
        <v>416</v>
      </c>
      <c r="D47" s="123" t="s">
        <v>108</v>
      </c>
      <c r="E47" s="122" t="s">
        <v>540</v>
      </c>
      <c r="F47" s="122" t="s">
        <v>541</v>
      </c>
      <c r="G47" s="122" t="s">
        <v>411</v>
      </c>
      <c r="H47" s="122" t="s">
        <v>429</v>
      </c>
      <c r="I47" s="123" t="s">
        <v>121</v>
      </c>
      <c r="J47" s="124">
        <v>44478</v>
      </c>
      <c r="K47" s="124">
        <v>44658</v>
      </c>
      <c r="L47" s="123" t="s">
        <v>131</v>
      </c>
      <c r="M47" s="122"/>
      <c r="N47" s="122" t="s">
        <v>430</v>
      </c>
      <c r="O47" s="123" t="s">
        <v>446</v>
      </c>
      <c r="P47" s="114">
        <f ca="1">IF($J47="","",MAX(0,INT((IF(OR($L47="Active",$L47="On Leave"),TODAY(),IFERROR(VLOOKUP($A47,'09_Attrition_Tracker'!$B:$G,6,FALSE),TODAY()))-$J47)/30)))</f>
        <v>55</v>
      </c>
      <c r="Q47" s="83" t="str">
        <f t="shared" ca="1" si="0"/>
        <v>2-5 yrs</v>
      </c>
      <c r="R47" s="83" t="str">
        <f t="shared" si="1"/>
        <v>Yes</v>
      </c>
      <c r="S47" s="112" t="str">
        <f>IFERROR(VLOOKUP($A47,'09_Attrition_Tracker'!$B:$M,12,FALSE),"No")</f>
        <v>No</v>
      </c>
    </row>
    <row r="48" spans="1:19">
      <c r="A48" s="136" t="s">
        <v>561</v>
      </c>
      <c r="B48" s="122" t="s">
        <v>562</v>
      </c>
      <c r="C48" s="122" t="s">
        <v>371</v>
      </c>
      <c r="D48" s="123" t="s">
        <v>108</v>
      </c>
      <c r="E48" s="122" t="s">
        <v>462</v>
      </c>
      <c r="F48" s="122" t="s">
        <v>463</v>
      </c>
      <c r="G48" s="122" t="s">
        <v>371</v>
      </c>
      <c r="H48" s="122" t="s">
        <v>434</v>
      </c>
      <c r="I48" s="123" t="s">
        <v>121</v>
      </c>
      <c r="J48" s="124">
        <v>44028</v>
      </c>
      <c r="K48" s="124">
        <v>44208</v>
      </c>
      <c r="L48" s="123" t="s">
        <v>381</v>
      </c>
      <c r="M48" s="122" t="s">
        <v>527</v>
      </c>
      <c r="N48" s="122" t="s">
        <v>430</v>
      </c>
      <c r="O48" s="123" t="s">
        <v>459</v>
      </c>
      <c r="P48" s="114">
        <f ca="1">IF($J48="","",MAX(0,INT((IF(OR($L48="Active",$L48="On Leave"),TODAY(),IFERROR(VLOOKUP($A48,'09_Attrition_Tracker'!$B:$G,6,FALSE),TODAY()))-$J48)/30)))</f>
        <v>68</v>
      </c>
      <c r="Q48" s="83" t="str">
        <f t="shared" ca="1" si="0"/>
        <v>5+ yrs</v>
      </c>
      <c r="R48" s="83" t="str">
        <f t="shared" si="1"/>
        <v>No</v>
      </c>
      <c r="S48" s="112" t="str">
        <f>IFERROR(VLOOKUP($A48,'09_Attrition_Tracker'!$B:$M,12,FALSE),"No")</f>
        <v>No</v>
      </c>
    </row>
    <row r="49" spans="1:19">
      <c r="A49" s="136" t="s">
        <v>563</v>
      </c>
      <c r="B49" s="122" t="s">
        <v>564</v>
      </c>
      <c r="C49" s="122" t="s">
        <v>407</v>
      </c>
      <c r="D49" s="123" t="s">
        <v>108</v>
      </c>
      <c r="E49" s="122" t="s">
        <v>501</v>
      </c>
      <c r="F49" s="122" t="s">
        <v>502</v>
      </c>
      <c r="G49" s="122" t="s">
        <v>417</v>
      </c>
      <c r="H49" s="122" t="s">
        <v>434</v>
      </c>
      <c r="I49" s="123" t="s">
        <v>121</v>
      </c>
      <c r="J49" s="124">
        <v>43974</v>
      </c>
      <c r="K49" s="124">
        <v>44154</v>
      </c>
      <c r="L49" s="123" t="s">
        <v>381</v>
      </c>
      <c r="M49" s="122" t="s">
        <v>435</v>
      </c>
      <c r="N49" s="122" t="s">
        <v>515</v>
      </c>
      <c r="O49" s="123" t="s">
        <v>453</v>
      </c>
      <c r="P49" s="114">
        <f ca="1">IF($J49="","",MAX(0,INT((IF(OR($L49="Active",$L49="On Leave"),TODAY(),IFERROR(VLOOKUP($A49,'09_Attrition_Tracker'!$B:$G,6,FALSE),TODAY()))-$J49)/30)))</f>
        <v>58</v>
      </c>
      <c r="Q49" s="83" t="str">
        <f t="shared" ca="1" si="0"/>
        <v>2-5 yrs</v>
      </c>
      <c r="R49" s="83" t="str">
        <f t="shared" si="1"/>
        <v>No</v>
      </c>
      <c r="S49" s="112" t="str">
        <f>IFERROR(VLOOKUP($A49,'09_Attrition_Tracker'!$B:$M,12,FALSE),"No")</f>
        <v>No</v>
      </c>
    </row>
    <row r="50" spans="1:19">
      <c r="A50" s="136" t="s">
        <v>565</v>
      </c>
      <c r="B50" s="122" t="s">
        <v>566</v>
      </c>
      <c r="C50" s="122" t="s">
        <v>152</v>
      </c>
      <c r="D50" s="123" t="s">
        <v>426</v>
      </c>
      <c r="E50" s="122" t="s">
        <v>427</v>
      </c>
      <c r="F50" s="122" t="s">
        <v>428</v>
      </c>
      <c r="G50" s="122" t="s">
        <v>154</v>
      </c>
      <c r="H50" s="122" t="s">
        <v>429</v>
      </c>
      <c r="I50" s="123" t="s">
        <v>121</v>
      </c>
      <c r="J50" s="124">
        <v>44696</v>
      </c>
      <c r="K50" s="124">
        <v>44876</v>
      </c>
      <c r="L50" s="123" t="s">
        <v>131</v>
      </c>
      <c r="M50" s="122"/>
      <c r="N50" s="122" t="s">
        <v>441</v>
      </c>
      <c r="O50" s="123" t="s">
        <v>459</v>
      </c>
      <c r="P50" s="114">
        <f ca="1">IF($J50="","",MAX(0,INT((IF(OR($L50="Active",$L50="On Leave"),TODAY(),IFERROR(VLOOKUP($A50,'09_Attrition_Tracker'!$B:$G,6,FALSE),TODAY()))-$J50)/30)))</f>
        <v>48</v>
      </c>
      <c r="Q50" s="83" t="str">
        <f t="shared" ca="1" si="0"/>
        <v>2-5 yrs</v>
      </c>
      <c r="R50" s="83" t="str">
        <f t="shared" si="1"/>
        <v>Yes</v>
      </c>
      <c r="S50" s="112" t="str">
        <f>IFERROR(VLOOKUP($A50,'09_Attrition_Tracker'!$B:$M,12,FALSE),"No")</f>
        <v>No</v>
      </c>
    </row>
    <row r="51" spans="1:19">
      <c r="A51" s="136" t="s">
        <v>567</v>
      </c>
      <c r="B51" s="122" t="s">
        <v>568</v>
      </c>
      <c r="C51" s="122" t="s">
        <v>271</v>
      </c>
      <c r="D51" s="123" t="s">
        <v>426</v>
      </c>
      <c r="E51" s="122" t="s">
        <v>491</v>
      </c>
      <c r="F51" s="122" t="s">
        <v>492</v>
      </c>
      <c r="G51" s="122" t="s">
        <v>408</v>
      </c>
      <c r="H51" s="122" t="s">
        <v>118</v>
      </c>
      <c r="I51" s="123" t="s">
        <v>121</v>
      </c>
      <c r="J51" s="124">
        <v>43357</v>
      </c>
      <c r="K51" s="124">
        <v>43537</v>
      </c>
      <c r="L51" s="123" t="s">
        <v>392</v>
      </c>
      <c r="M51" s="122" t="s">
        <v>487</v>
      </c>
      <c r="N51" s="122" t="s">
        <v>137</v>
      </c>
      <c r="O51" s="123" t="s">
        <v>431</v>
      </c>
      <c r="P51" s="114">
        <f ca="1">IF($J51="","",MAX(0,INT((IF(OR($L51="Active",$L51="On Leave"),TODAY(),IFERROR(VLOOKUP($A51,'09_Attrition_Tracker'!$B:$G,6,FALSE),TODAY()))-$J51)/30)))</f>
        <v>84</v>
      </c>
      <c r="Q51" s="83" t="str">
        <f t="shared" ca="1" si="0"/>
        <v>5+ yrs</v>
      </c>
      <c r="R51" s="83" t="str">
        <f t="shared" si="1"/>
        <v>No</v>
      </c>
      <c r="S51" s="112" t="str">
        <f>IFERROR(VLOOKUP($A51,'09_Attrition_Tracker'!$B:$M,12,FALSE),"No")</f>
        <v>Yes</v>
      </c>
    </row>
    <row r="52" spans="1:19">
      <c r="A52" s="136" t="s">
        <v>569</v>
      </c>
      <c r="B52" s="122" t="s">
        <v>570</v>
      </c>
      <c r="C52" s="122" t="s">
        <v>104</v>
      </c>
      <c r="D52" s="123" t="s">
        <v>426</v>
      </c>
      <c r="E52" s="122" t="s">
        <v>111</v>
      </c>
      <c r="F52" s="122" t="s">
        <v>113</v>
      </c>
      <c r="G52" s="122" t="s">
        <v>104</v>
      </c>
      <c r="H52" s="122" t="s">
        <v>118</v>
      </c>
      <c r="I52" s="123" t="s">
        <v>121</v>
      </c>
      <c r="J52" s="124">
        <v>43953</v>
      </c>
      <c r="K52" s="124">
        <v>44133</v>
      </c>
      <c r="L52" s="123" t="s">
        <v>131</v>
      </c>
      <c r="M52" s="122" t="s">
        <v>551</v>
      </c>
      <c r="N52" s="122" t="s">
        <v>464</v>
      </c>
      <c r="O52" s="123" t="s">
        <v>140</v>
      </c>
      <c r="P52" s="114">
        <f ca="1">IF($J52="","",MAX(0,INT((IF(OR($L52="Active",$L52="On Leave"),TODAY(),IFERROR(VLOOKUP($A52,'09_Attrition_Tracker'!$B:$G,6,FALSE),TODAY()))-$J52)/30)))</f>
        <v>73</v>
      </c>
      <c r="Q52" s="83" t="str">
        <f t="shared" ca="1" si="0"/>
        <v>5+ yrs</v>
      </c>
      <c r="R52" s="83" t="str">
        <f t="shared" si="1"/>
        <v>Yes</v>
      </c>
      <c r="S52" s="112" t="str">
        <f>IFERROR(VLOOKUP($A52,'09_Attrition_Tracker'!$B:$M,12,FALSE),"No")</f>
        <v>No</v>
      </c>
    </row>
    <row r="53" spans="1:19">
      <c r="A53" s="136" t="s">
        <v>571</v>
      </c>
      <c r="B53" s="122" t="s">
        <v>572</v>
      </c>
      <c r="C53" s="122" t="s">
        <v>407</v>
      </c>
      <c r="D53" s="123" t="s">
        <v>426</v>
      </c>
      <c r="E53" s="122" t="s">
        <v>444</v>
      </c>
      <c r="F53" s="122" t="s">
        <v>445</v>
      </c>
      <c r="G53" s="122" t="s">
        <v>417</v>
      </c>
      <c r="H53" s="122" t="s">
        <v>429</v>
      </c>
      <c r="I53" s="123" t="s">
        <v>121</v>
      </c>
      <c r="J53" s="124">
        <v>43718</v>
      </c>
      <c r="K53" s="124">
        <v>43898</v>
      </c>
      <c r="L53" s="123" t="s">
        <v>400</v>
      </c>
      <c r="M53" s="122"/>
      <c r="N53" s="122" t="s">
        <v>441</v>
      </c>
      <c r="O53" s="123" t="s">
        <v>446</v>
      </c>
      <c r="P53" s="114">
        <f ca="1">IF($J53="","",MAX(0,INT((IF(OR($L53="Active",$L53="On Leave"),TODAY(),IFERROR(VLOOKUP($A53,'09_Attrition_Tracker'!$B:$G,6,FALSE),TODAY()))-$J53)/30)))</f>
        <v>80</v>
      </c>
      <c r="Q53" s="83" t="str">
        <f t="shared" ca="1" si="0"/>
        <v>5+ yrs</v>
      </c>
      <c r="R53" s="83" t="str">
        <f t="shared" si="1"/>
        <v>Yes</v>
      </c>
      <c r="S53" s="112" t="str">
        <f>IFERROR(VLOOKUP($A53,'09_Attrition_Tracker'!$B:$M,12,FALSE),"No")</f>
        <v>No</v>
      </c>
    </row>
    <row r="54" spans="1:19">
      <c r="A54" s="136" t="s">
        <v>573</v>
      </c>
      <c r="B54" s="122" t="s">
        <v>574</v>
      </c>
      <c r="C54" s="122" t="s">
        <v>371</v>
      </c>
      <c r="D54" s="123" t="s">
        <v>437</v>
      </c>
      <c r="E54" s="122" t="s">
        <v>505</v>
      </c>
      <c r="F54" s="122" t="s">
        <v>506</v>
      </c>
      <c r="G54" s="122" t="s">
        <v>371</v>
      </c>
      <c r="H54" s="122" t="s">
        <v>434</v>
      </c>
      <c r="I54" s="123" t="s">
        <v>121</v>
      </c>
      <c r="J54" s="124">
        <v>45615</v>
      </c>
      <c r="K54" s="124">
        <v>45795</v>
      </c>
      <c r="L54" s="123" t="s">
        <v>131</v>
      </c>
      <c r="M54" s="122" t="s">
        <v>489</v>
      </c>
      <c r="N54" s="122" t="s">
        <v>475</v>
      </c>
      <c r="O54" s="123" t="s">
        <v>140</v>
      </c>
      <c r="P54" s="114">
        <f ca="1">IF($J54="","",MAX(0,INT((IF(OR($L54="Active",$L54="On Leave"),TODAY(),IFERROR(VLOOKUP($A54,'09_Attrition_Tracker'!$B:$G,6,FALSE),TODAY()))-$J54)/30)))</f>
        <v>17</v>
      </c>
      <c r="Q54" s="83" t="str">
        <f t="shared" ca="1" si="0"/>
        <v>1-2 yrs</v>
      </c>
      <c r="R54" s="83" t="str">
        <f t="shared" si="1"/>
        <v>Yes</v>
      </c>
      <c r="S54" s="112" t="str">
        <f>IFERROR(VLOOKUP($A54,'09_Attrition_Tracker'!$B:$M,12,FALSE),"No")</f>
        <v>No</v>
      </c>
    </row>
    <row r="55" spans="1:19">
      <c r="A55" s="136" t="s">
        <v>575</v>
      </c>
      <c r="B55" s="122" t="s">
        <v>576</v>
      </c>
      <c r="C55" s="122" t="s">
        <v>176</v>
      </c>
      <c r="D55" s="123" t="s">
        <v>108</v>
      </c>
      <c r="E55" s="122" t="s">
        <v>577</v>
      </c>
      <c r="F55" s="122" t="s">
        <v>578</v>
      </c>
      <c r="G55" s="122" t="s">
        <v>154</v>
      </c>
      <c r="H55" s="122" t="s">
        <v>118</v>
      </c>
      <c r="I55" s="123" t="s">
        <v>121</v>
      </c>
      <c r="J55" s="124">
        <v>45982</v>
      </c>
      <c r="K55" s="124">
        <v>46162</v>
      </c>
      <c r="L55" s="123" t="s">
        <v>131</v>
      </c>
      <c r="M55" s="122" t="s">
        <v>525</v>
      </c>
      <c r="N55" s="122" t="s">
        <v>430</v>
      </c>
      <c r="O55" s="123" t="s">
        <v>431</v>
      </c>
      <c r="P55" s="114">
        <f ca="1">IF($J55="","",MAX(0,INT((IF(OR($L55="Active",$L55="On Leave"),TODAY(),IFERROR(VLOOKUP($A55,'09_Attrition_Tracker'!$B:$G,6,FALSE),TODAY()))-$J55)/30)))</f>
        <v>5</v>
      </c>
      <c r="Q55" s="83" t="str">
        <f t="shared" ca="1" si="0"/>
        <v>4-6 mos</v>
      </c>
      <c r="R55" s="83" t="str">
        <f t="shared" si="1"/>
        <v>Yes</v>
      </c>
      <c r="S55" s="112" t="str">
        <f>IFERROR(VLOOKUP($A55,'09_Attrition_Tracker'!$B:$M,12,FALSE),"No")</f>
        <v>No</v>
      </c>
    </row>
    <row r="56" spans="1:19">
      <c r="A56" s="136" t="s">
        <v>579</v>
      </c>
      <c r="B56" s="122" t="s">
        <v>580</v>
      </c>
      <c r="C56" s="122" t="s">
        <v>416</v>
      </c>
      <c r="D56" s="123" t="s">
        <v>426</v>
      </c>
      <c r="E56" s="122" t="s">
        <v>557</v>
      </c>
      <c r="F56" s="122" t="s">
        <v>558</v>
      </c>
      <c r="G56" s="122" t="s">
        <v>411</v>
      </c>
      <c r="H56" s="122" t="s">
        <v>118</v>
      </c>
      <c r="I56" s="123" t="s">
        <v>399</v>
      </c>
      <c r="J56" s="124">
        <v>44505</v>
      </c>
      <c r="K56" s="124">
        <v>44685</v>
      </c>
      <c r="L56" s="123" t="s">
        <v>131</v>
      </c>
      <c r="M56" s="122" t="s">
        <v>484</v>
      </c>
      <c r="N56" s="122" t="s">
        <v>430</v>
      </c>
      <c r="O56" s="123" t="s">
        <v>431</v>
      </c>
      <c r="P56" s="114">
        <f ca="1">IF($J56="","",MAX(0,INT((IF(OR($L56="Active",$L56="On Leave"),TODAY(),IFERROR(VLOOKUP($A56,'09_Attrition_Tracker'!$B:$G,6,FALSE),TODAY()))-$J56)/30)))</f>
        <v>54</v>
      </c>
      <c r="Q56" s="83" t="str">
        <f t="shared" ca="1" si="0"/>
        <v>2-5 yrs</v>
      </c>
      <c r="R56" s="83" t="str">
        <f t="shared" si="1"/>
        <v>Yes</v>
      </c>
      <c r="S56" s="112" t="str">
        <f>IFERROR(VLOOKUP($A56,'09_Attrition_Tracker'!$B:$M,12,FALSE),"No")</f>
        <v>No</v>
      </c>
    </row>
    <row r="57" spans="1:19">
      <c r="A57" s="136" t="s">
        <v>581</v>
      </c>
      <c r="B57" s="122" t="s">
        <v>582</v>
      </c>
      <c r="C57" s="122" t="s">
        <v>176</v>
      </c>
      <c r="D57" s="123" t="s">
        <v>426</v>
      </c>
      <c r="E57" s="122" t="s">
        <v>177</v>
      </c>
      <c r="F57" s="122" t="s">
        <v>178</v>
      </c>
      <c r="G57" s="122" t="s">
        <v>154</v>
      </c>
      <c r="H57" s="122" t="s">
        <v>118</v>
      </c>
      <c r="I57" s="123" t="s">
        <v>121</v>
      </c>
      <c r="J57" s="124">
        <v>43875</v>
      </c>
      <c r="K57" s="124">
        <v>44055</v>
      </c>
      <c r="L57" s="123" t="s">
        <v>400</v>
      </c>
      <c r="M57" s="122" t="s">
        <v>528</v>
      </c>
      <c r="N57" s="122" t="s">
        <v>137</v>
      </c>
      <c r="O57" s="123" t="s">
        <v>446</v>
      </c>
      <c r="P57" s="114">
        <f ca="1">IF($J57="","",MAX(0,INT((IF(OR($L57="Active",$L57="On Leave"),TODAY(),IFERROR(VLOOKUP($A57,'09_Attrition_Tracker'!$B:$G,6,FALSE),TODAY()))-$J57)/30)))</f>
        <v>75</v>
      </c>
      <c r="Q57" s="83" t="str">
        <f t="shared" ca="1" si="0"/>
        <v>5+ yrs</v>
      </c>
      <c r="R57" s="83" t="str">
        <f t="shared" si="1"/>
        <v>Yes</v>
      </c>
      <c r="S57" s="112" t="str">
        <f>IFERROR(VLOOKUP($A57,'09_Attrition_Tracker'!$B:$M,12,FALSE),"No")</f>
        <v>No</v>
      </c>
    </row>
    <row r="58" spans="1:19">
      <c r="A58" s="136" t="s">
        <v>583</v>
      </c>
      <c r="B58" s="122" t="s">
        <v>584</v>
      </c>
      <c r="C58" s="122" t="s">
        <v>379</v>
      </c>
      <c r="D58" s="123" t="s">
        <v>426</v>
      </c>
      <c r="E58" s="122" t="s">
        <v>456</v>
      </c>
      <c r="F58" s="122" t="s">
        <v>457</v>
      </c>
      <c r="G58" s="122" t="s">
        <v>390</v>
      </c>
      <c r="H58" s="122" t="s">
        <v>118</v>
      </c>
      <c r="I58" s="123" t="s">
        <v>121</v>
      </c>
      <c r="J58" s="124">
        <v>45577</v>
      </c>
      <c r="K58" s="124">
        <v>45757</v>
      </c>
      <c r="L58" s="123" t="s">
        <v>131</v>
      </c>
      <c r="M58" s="122" t="s">
        <v>538</v>
      </c>
      <c r="N58" s="122" t="s">
        <v>458</v>
      </c>
      <c r="O58" s="123" t="s">
        <v>446</v>
      </c>
      <c r="P58" s="114">
        <f ca="1">IF($J58="","",MAX(0,INT((IF(OR($L58="Active",$L58="On Leave"),TODAY(),IFERROR(VLOOKUP($A58,'09_Attrition_Tracker'!$B:$G,6,FALSE),TODAY()))-$J58)/30)))</f>
        <v>18</v>
      </c>
      <c r="Q58" s="83" t="str">
        <f t="shared" ca="1" si="0"/>
        <v>1-2 yrs</v>
      </c>
      <c r="R58" s="83" t="str">
        <f t="shared" si="1"/>
        <v>Yes</v>
      </c>
      <c r="S58" s="112" t="str">
        <f>IFERROR(VLOOKUP($A58,'09_Attrition_Tracker'!$B:$M,12,FALSE),"No")</f>
        <v>No</v>
      </c>
    </row>
    <row r="59" spans="1:19">
      <c r="A59" s="136" t="s">
        <v>585</v>
      </c>
      <c r="B59" s="122" t="s">
        <v>586</v>
      </c>
      <c r="C59" s="122" t="s">
        <v>379</v>
      </c>
      <c r="D59" s="123" t="s">
        <v>108</v>
      </c>
      <c r="E59" s="122" t="s">
        <v>587</v>
      </c>
      <c r="F59" s="122" t="s">
        <v>588</v>
      </c>
      <c r="G59" s="122" t="s">
        <v>390</v>
      </c>
      <c r="H59" s="122" t="s">
        <v>118</v>
      </c>
      <c r="I59" s="123" t="s">
        <v>121</v>
      </c>
      <c r="J59" s="124">
        <v>45429</v>
      </c>
      <c r="K59" s="124">
        <v>45609</v>
      </c>
      <c r="L59" s="123" t="s">
        <v>131</v>
      </c>
      <c r="M59" s="122" t="s">
        <v>476</v>
      </c>
      <c r="N59" s="122" t="s">
        <v>441</v>
      </c>
      <c r="O59" s="123" t="s">
        <v>453</v>
      </c>
      <c r="P59" s="114">
        <f ca="1">IF($J59="","",MAX(0,INT((IF(OR($L59="Active",$L59="On Leave"),TODAY(),IFERROR(VLOOKUP($A59,'09_Attrition_Tracker'!$B:$G,6,FALSE),TODAY()))-$J59)/30)))</f>
        <v>23</v>
      </c>
      <c r="Q59" s="83" t="str">
        <f t="shared" ca="1" si="0"/>
        <v>1-2 yrs</v>
      </c>
      <c r="R59" s="83" t="str">
        <f t="shared" si="1"/>
        <v>Yes</v>
      </c>
      <c r="S59" s="112" t="str">
        <f>IFERROR(VLOOKUP($A59,'09_Attrition_Tracker'!$B:$M,12,FALSE),"No")</f>
        <v>No</v>
      </c>
    </row>
    <row r="60" spans="1:19">
      <c r="A60" s="136" t="s">
        <v>589</v>
      </c>
      <c r="B60" s="122" t="s">
        <v>590</v>
      </c>
      <c r="C60" s="122" t="s">
        <v>371</v>
      </c>
      <c r="D60" s="123" t="s">
        <v>437</v>
      </c>
      <c r="E60" s="122" t="s">
        <v>505</v>
      </c>
      <c r="F60" s="122" t="s">
        <v>506</v>
      </c>
      <c r="G60" s="122" t="s">
        <v>371</v>
      </c>
      <c r="H60" s="122" t="s">
        <v>118</v>
      </c>
      <c r="I60" s="123" t="s">
        <v>121</v>
      </c>
      <c r="J60" s="124">
        <v>43915</v>
      </c>
      <c r="K60" s="124">
        <v>44095</v>
      </c>
      <c r="L60" s="123" t="s">
        <v>131</v>
      </c>
      <c r="M60" s="122" t="s">
        <v>555</v>
      </c>
      <c r="N60" s="122" t="s">
        <v>430</v>
      </c>
      <c r="O60" s="123" t="s">
        <v>431</v>
      </c>
      <c r="P60" s="114">
        <f ca="1">IF($J60="","",MAX(0,INT((IF(OR($L60="Active",$L60="On Leave"),TODAY(),IFERROR(VLOOKUP($A60,'09_Attrition_Tracker'!$B:$G,6,FALSE),TODAY()))-$J60)/30)))</f>
        <v>74</v>
      </c>
      <c r="Q60" s="83" t="str">
        <f t="shared" ca="1" si="0"/>
        <v>5+ yrs</v>
      </c>
      <c r="R60" s="83" t="str">
        <f t="shared" si="1"/>
        <v>Yes</v>
      </c>
      <c r="S60" s="112" t="str">
        <f>IFERROR(VLOOKUP($A60,'09_Attrition_Tracker'!$B:$M,12,FALSE),"No")</f>
        <v>No</v>
      </c>
    </row>
    <row r="61" spans="1:19">
      <c r="A61" s="136" t="s">
        <v>591</v>
      </c>
      <c r="B61" s="122" t="s">
        <v>449</v>
      </c>
      <c r="C61" s="122" t="s">
        <v>104</v>
      </c>
      <c r="D61" s="123" t="s">
        <v>450</v>
      </c>
      <c r="E61" s="122" t="s">
        <v>111</v>
      </c>
      <c r="F61" s="122" t="s">
        <v>113</v>
      </c>
      <c r="G61" s="122" t="s">
        <v>104</v>
      </c>
      <c r="H61" s="122" t="s">
        <v>434</v>
      </c>
      <c r="I61" s="123" t="s">
        <v>391</v>
      </c>
      <c r="J61" s="124">
        <v>43200</v>
      </c>
      <c r="K61" s="124">
        <v>43380</v>
      </c>
      <c r="L61" s="123" t="s">
        <v>131</v>
      </c>
      <c r="M61" s="122" t="s">
        <v>465</v>
      </c>
      <c r="N61" s="122" t="s">
        <v>430</v>
      </c>
      <c r="O61" s="123" t="s">
        <v>431</v>
      </c>
      <c r="P61" s="114">
        <f ca="1">IF($J61="","",MAX(0,INT((IF(OR($L61="Active",$L61="On Leave"),TODAY(),IFERROR(VLOOKUP($A61,'09_Attrition_Tracker'!$B:$G,6,FALSE),TODAY()))-$J61)/30)))</f>
        <v>98</v>
      </c>
      <c r="Q61" s="83" t="str">
        <f t="shared" ca="1" si="0"/>
        <v>5+ yrs</v>
      </c>
      <c r="R61" s="83" t="str">
        <f t="shared" si="1"/>
        <v>Yes</v>
      </c>
      <c r="S61" s="112" t="str">
        <f>IFERROR(VLOOKUP($A61,'09_Attrition_Tracker'!$B:$M,12,FALSE),"No")</f>
        <v>No</v>
      </c>
    </row>
    <row r="62" spans="1:19">
      <c r="A62" s="136" t="s">
        <v>592</v>
      </c>
      <c r="B62" s="122" t="s">
        <v>593</v>
      </c>
      <c r="C62" s="122" t="s">
        <v>271</v>
      </c>
      <c r="D62" s="123" t="s">
        <v>437</v>
      </c>
      <c r="E62" s="122" t="s">
        <v>491</v>
      </c>
      <c r="F62" s="122" t="s">
        <v>492</v>
      </c>
      <c r="G62" s="122" t="s">
        <v>408</v>
      </c>
      <c r="H62" s="122" t="s">
        <v>118</v>
      </c>
      <c r="I62" s="123" t="s">
        <v>380</v>
      </c>
      <c r="J62" s="124">
        <v>44606</v>
      </c>
      <c r="K62" s="124">
        <v>44786</v>
      </c>
      <c r="L62" s="123" t="s">
        <v>131</v>
      </c>
      <c r="M62" s="122" t="s">
        <v>547</v>
      </c>
      <c r="N62" s="122" t="s">
        <v>430</v>
      </c>
      <c r="O62" s="123" t="s">
        <v>453</v>
      </c>
      <c r="P62" s="114">
        <f ca="1">IF($J62="","",MAX(0,INT((IF(OR($L62="Active",$L62="On Leave"),TODAY(),IFERROR(VLOOKUP($A62,'09_Attrition_Tracker'!$B:$G,6,FALSE),TODAY()))-$J62)/30)))</f>
        <v>51</v>
      </c>
      <c r="Q62" s="83" t="str">
        <f t="shared" ca="1" si="0"/>
        <v>2-5 yrs</v>
      </c>
      <c r="R62" s="83" t="str">
        <f t="shared" si="1"/>
        <v>Yes</v>
      </c>
      <c r="S62" s="112" t="str">
        <f>IFERROR(VLOOKUP($A62,'09_Attrition_Tracker'!$B:$M,12,FALSE),"No")</f>
        <v>No</v>
      </c>
    </row>
    <row r="63" spans="1:19">
      <c r="A63" s="136" t="s">
        <v>594</v>
      </c>
      <c r="B63" s="122" t="s">
        <v>543</v>
      </c>
      <c r="C63" s="122" t="s">
        <v>104</v>
      </c>
      <c r="D63" s="123" t="s">
        <v>450</v>
      </c>
      <c r="E63" s="122" t="s">
        <v>111</v>
      </c>
      <c r="F63" s="122" t="s">
        <v>113</v>
      </c>
      <c r="G63" s="122" t="s">
        <v>104</v>
      </c>
      <c r="H63" s="122" t="s">
        <v>118</v>
      </c>
      <c r="I63" s="123" t="s">
        <v>121</v>
      </c>
      <c r="J63" s="124">
        <v>45709</v>
      </c>
      <c r="K63" s="124"/>
      <c r="L63" s="123" t="s">
        <v>131</v>
      </c>
      <c r="M63" s="122" t="s">
        <v>523</v>
      </c>
      <c r="N63" s="122" t="s">
        <v>137</v>
      </c>
      <c r="O63" s="123" t="s">
        <v>453</v>
      </c>
      <c r="P63" s="114">
        <f ca="1">IF($J63="","",MAX(0,INT((IF(OR($L63="Active",$L63="On Leave"),TODAY(),IFERROR(VLOOKUP($A63,'09_Attrition_Tracker'!$B:$G,6,FALSE),TODAY()))-$J63)/30)))</f>
        <v>14</v>
      </c>
      <c r="Q63" s="83" t="str">
        <f t="shared" ca="1" si="0"/>
        <v>1-2 yrs</v>
      </c>
      <c r="R63" s="83" t="str">
        <f t="shared" si="1"/>
        <v>Yes</v>
      </c>
      <c r="S63" s="112" t="str">
        <f>IFERROR(VLOOKUP($A63,'09_Attrition_Tracker'!$B:$M,12,FALSE),"No")</f>
        <v>No</v>
      </c>
    </row>
    <row r="64" spans="1:19">
      <c r="A64" s="136" t="s">
        <v>595</v>
      </c>
      <c r="B64" s="122" t="s">
        <v>596</v>
      </c>
      <c r="C64" s="122" t="s">
        <v>371</v>
      </c>
      <c r="D64" s="123" t="s">
        <v>450</v>
      </c>
      <c r="E64" s="122" t="s">
        <v>438</v>
      </c>
      <c r="F64" s="122" t="s">
        <v>439</v>
      </c>
      <c r="G64" s="122" t="s">
        <v>371</v>
      </c>
      <c r="H64" s="122" t="s">
        <v>440</v>
      </c>
      <c r="I64" s="123" t="s">
        <v>121</v>
      </c>
      <c r="J64" s="124">
        <v>43692</v>
      </c>
      <c r="K64" s="124">
        <v>43872</v>
      </c>
      <c r="L64" s="123" t="s">
        <v>131</v>
      </c>
      <c r="M64" s="122" t="s">
        <v>503</v>
      </c>
      <c r="N64" s="122" t="s">
        <v>137</v>
      </c>
      <c r="O64" s="123" t="s">
        <v>453</v>
      </c>
      <c r="P64" s="114">
        <f ca="1">IF($J64="","",MAX(0,INT((IF(OR($L64="Active",$L64="On Leave"),TODAY(),IFERROR(VLOOKUP($A64,'09_Attrition_Tracker'!$B:$G,6,FALSE),TODAY()))-$J64)/30)))</f>
        <v>81</v>
      </c>
      <c r="Q64" s="83" t="str">
        <f t="shared" ca="1" si="0"/>
        <v>5+ yrs</v>
      </c>
      <c r="R64" s="83" t="str">
        <f t="shared" si="1"/>
        <v>Yes</v>
      </c>
      <c r="S64" s="112" t="str">
        <f>IFERROR(VLOOKUP($A64,'09_Attrition_Tracker'!$B:$M,12,FALSE),"No")</f>
        <v>No</v>
      </c>
    </row>
    <row r="65" spans="1:19">
      <c r="A65" s="136" t="s">
        <v>597</v>
      </c>
      <c r="B65" s="122" t="s">
        <v>598</v>
      </c>
      <c r="C65" s="122" t="s">
        <v>416</v>
      </c>
      <c r="D65" s="123" t="s">
        <v>426</v>
      </c>
      <c r="E65" s="122" t="s">
        <v>557</v>
      </c>
      <c r="F65" s="122" t="s">
        <v>558</v>
      </c>
      <c r="G65" s="122" t="s">
        <v>411</v>
      </c>
      <c r="H65" s="122" t="s">
        <v>118</v>
      </c>
      <c r="I65" s="123" t="s">
        <v>121</v>
      </c>
      <c r="J65" s="124">
        <v>43147</v>
      </c>
      <c r="K65" s="124">
        <v>43327</v>
      </c>
      <c r="L65" s="123" t="s">
        <v>131</v>
      </c>
      <c r="M65" s="122" t="s">
        <v>525</v>
      </c>
      <c r="N65" s="122" t="s">
        <v>137</v>
      </c>
      <c r="O65" s="123" t="s">
        <v>140</v>
      </c>
      <c r="P65" s="114">
        <f ca="1">IF($J65="","",MAX(0,INT((IF(OR($L65="Active",$L65="On Leave"),TODAY(),IFERROR(VLOOKUP($A65,'09_Attrition_Tracker'!$B:$G,6,FALSE),TODAY()))-$J65)/30)))</f>
        <v>99</v>
      </c>
      <c r="Q65" s="83" t="str">
        <f t="shared" ca="1" si="0"/>
        <v>5+ yrs</v>
      </c>
      <c r="R65" s="83" t="str">
        <f t="shared" si="1"/>
        <v>Yes</v>
      </c>
      <c r="S65" s="112" t="str">
        <f>IFERROR(VLOOKUP($A65,'09_Attrition_Tracker'!$B:$M,12,FALSE),"No")</f>
        <v>No</v>
      </c>
    </row>
    <row r="66" spans="1:19">
      <c r="A66" s="136" t="s">
        <v>599</v>
      </c>
      <c r="B66" s="122" t="s">
        <v>600</v>
      </c>
      <c r="C66" s="122" t="s">
        <v>416</v>
      </c>
      <c r="D66" s="123" t="s">
        <v>450</v>
      </c>
      <c r="E66" s="122" t="s">
        <v>482</v>
      </c>
      <c r="F66" s="122" t="s">
        <v>483</v>
      </c>
      <c r="G66" s="122" t="s">
        <v>411</v>
      </c>
      <c r="H66" s="122" t="s">
        <v>118</v>
      </c>
      <c r="I66" s="123" t="s">
        <v>391</v>
      </c>
      <c r="J66" s="124">
        <v>45397</v>
      </c>
      <c r="K66" s="124"/>
      <c r="L66" s="123" t="s">
        <v>381</v>
      </c>
      <c r="M66" s="122" t="s">
        <v>534</v>
      </c>
      <c r="N66" s="122" t="s">
        <v>441</v>
      </c>
      <c r="O66" s="123" t="s">
        <v>431</v>
      </c>
      <c r="P66" s="114">
        <f ca="1">IF($J66="","",MAX(0,INT((IF(OR($L66="Active",$L66="On Leave"),TODAY(),IFERROR(VLOOKUP($A66,'09_Attrition_Tracker'!$B:$G,6,FALSE),TODAY()))-$J66)/30)))</f>
        <v>9</v>
      </c>
      <c r="Q66" s="83" t="str">
        <f t="shared" ca="1" si="0"/>
        <v>7-12 mos</v>
      </c>
      <c r="R66" s="83" t="str">
        <f t="shared" si="1"/>
        <v>No</v>
      </c>
      <c r="S66" s="112" t="str">
        <f>IFERROR(VLOOKUP($A66,'09_Attrition_Tracker'!$B:$M,12,FALSE),"No")</f>
        <v>No</v>
      </c>
    </row>
    <row r="67" spans="1:19">
      <c r="A67" s="136" t="s">
        <v>601</v>
      </c>
      <c r="B67" s="122" t="s">
        <v>602</v>
      </c>
      <c r="C67" s="122" t="s">
        <v>421</v>
      </c>
      <c r="D67" s="123" t="s">
        <v>426</v>
      </c>
      <c r="E67" s="122" t="s">
        <v>478</v>
      </c>
      <c r="F67" s="122" t="s">
        <v>479</v>
      </c>
      <c r="G67" s="122" t="s">
        <v>420</v>
      </c>
      <c r="H67" s="122" t="s">
        <v>118</v>
      </c>
      <c r="I67" s="123" t="s">
        <v>121</v>
      </c>
      <c r="J67" s="124">
        <v>43667</v>
      </c>
      <c r="K67" s="124"/>
      <c r="L67" s="123" t="s">
        <v>131</v>
      </c>
      <c r="M67" s="122" t="s">
        <v>571</v>
      </c>
      <c r="N67" s="122" t="s">
        <v>430</v>
      </c>
      <c r="O67" s="123" t="s">
        <v>459</v>
      </c>
      <c r="P67" s="114">
        <f ca="1">IF($J67="","",MAX(0,INT((IF(OR($L67="Active",$L67="On Leave"),TODAY(),IFERROR(VLOOKUP($A67,'09_Attrition_Tracker'!$B:$G,6,FALSE),TODAY()))-$J67)/30)))</f>
        <v>82</v>
      </c>
      <c r="Q67" s="83" t="str">
        <f t="shared" ca="1" si="0"/>
        <v>5+ yrs</v>
      </c>
      <c r="R67" s="83" t="str">
        <f t="shared" si="1"/>
        <v>Yes</v>
      </c>
      <c r="S67" s="112" t="str">
        <f>IFERROR(VLOOKUP($A67,'09_Attrition_Tracker'!$B:$M,12,FALSE),"No")</f>
        <v>No</v>
      </c>
    </row>
    <row r="68" spans="1:19">
      <c r="A68" s="136" t="s">
        <v>603</v>
      </c>
      <c r="B68" s="122" t="s">
        <v>604</v>
      </c>
      <c r="C68" s="122" t="s">
        <v>37</v>
      </c>
      <c r="D68" s="123" t="s">
        <v>437</v>
      </c>
      <c r="E68" s="122" t="s">
        <v>536</v>
      </c>
      <c r="F68" s="122" t="s">
        <v>537</v>
      </c>
      <c r="G68" s="122" t="s">
        <v>37</v>
      </c>
      <c r="H68" s="122" t="s">
        <v>434</v>
      </c>
      <c r="I68" s="123" t="s">
        <v>121</v>
      </c>
      <c r="J68" s="124">
        <v>44271</v>
      </c>
      <c r="K68" s="124">
        <v>44451</v>
      </c>
      <c r="L68" s="123" t="s">
        <v>131</v>
      </c>
      <c r="M68" s="122" t="s">
        <v>542</v>
      </c>
      <c r="N68" s="122" t="s">
        <v>464</v>
      </c>
      <c r="O68" s="123" t="s">
        <v>431</v>
      </c>
      <c r="P68" s="114">
        <f ca="1">IF($J68="","",MAX(0,INT((IF(OR($L68="Active",$L68="On Leave"),TODAY(),IFERROR(VLOOKUP($A68,'09_Attrition_Tracker'!$B:$G,6,FALSE),TODAY()))-$J68)/30)))</f>
        <v>62</v>
      </c>
      <c r="Q68" s="83" t="str">
        <f t="shared" ca="1" si="0"/>
        <v>5+ yrs</v>
      </c>
      <c r="R68" s="83" t="str">
        <f t="shared" si="1"/>
        <v>Yes</v>
      </c>
      <c r="S68" s="112" t="str">
        <f>IFERROR(VLOOKUP($A68,'09_Attrition_Tracker'!$B:$M,12,FALSE),"No")</f>
        <v>No</v>
      </c>
    </row>
    <row r="69" spans="1:19">
      <c r="A69" s="136" t="s">
        <v>605</v>
      </c>
      <c r="B69" s="122" t="s">
        <v>606</v>
      </c>
      <c r="C69" s="122" t="s">
        <v>421</v>
      </c>
      <c r="D69" s="123" t="s">
        <v>450</v>
      </c>
      <c r="E69" s="122" t="s">
        <v>607</v>
      </c>
      <c r="F69" s="122" t="s">
        <v>608</v>
      </c>
      <c r="G69" s="122" t="s">
        <v>420</v>
      </c>
      <c r="H69" s="122" t="s">
        <v>440</v>
      </c>
      <c r="I69" s="123" t="s">
        <v>121</v>
      </c>
      <c r="J69" s="124">
        <v>45124</v>
      </c>
      <c r="K69" s="124">
        <v>45304</v>
      </c>
      <c r="L69" s="123" t="s">
        <v>392</v>
      </c>
      <c r="M69" s="122" t="s">
        <v>489</v>
      </c>
      <c r="N69" s="122" t="s">
        <v>447</v>
      </c>
      <c r="O69" s="123" t="s">
        <v>453</v>
      </c>
      <c r="P69" s="114">
        <f ca="1">IF($J69="","",MAX(0,INT((IF(OR($L69="Active",$L69="On Leave"),TODAY(),IFERROR(VLOOKUP($A69,'09_Attrition_Tracker'!$B:$G,6,FALSE),TODAY()))-$J69)/30)))</f>
        <v>27</v>
      </c>
      <c r="Q69" s="83" t="str">
        <f t="shared" ref="Q69:Q132" ca="1" si="2">IF($P69="","",IF($P69&lt;4,"0-3 mos",IF($P69&lt;7,"4-6 mos",IF($P69&lt;13,"7-12 mos",IF($P69&lt;25,"1-2 yrs",IF($P69&lt;61,"2-5 yrs","5+ yrs"))))))</f>
        <v>2-5 yrs</v>
      </c>
      <c r="R69" s="83" t="str">
        <f t="shared" ref="R69:R132" si="3">IF(OR($L69="Active",$L69="On Leave"),"Yes","No")</f>
        <v>No</v>
      </c>
      <c r="S69" s="112" t="str">
        <f>IFERROR(VLOOKUP($A69,'09_Attrition_Tracker'!$B:$M,12,FALSE),"No")</f>
        <v>Yes</v>
      </c>
    </row>
    <row r="70" spans="1:19">
      <c r="A70" s="136" t="s">
        <v>609</v>
      </c>
      <c r="B70" s="122" t="s">
        <v>610</v>
      </c>
      <c r="C70" s="122" t="s">
        <v>104</v>
      </c>
      <c r="D70" s="123" t="s">
        <v>108</v>
      </c>
      <c r="E70" s="122" t="s">
        <v>495</v>
      </c>
      <c r="F70" s="122" t="s">
        <v>496</v>
      </c>
      <c r="G70" s="122" t="s">
        <v>104</v>
      </c>
      <c r="H70" s="122" t="s">
        <v>118</v>
      </c>
      <c r="I70" s="123" t="s">
        <v>121</v>
      </c>
      <c r="J70" s="124">
        <v>44151</v>
      </c>
      <c r="K70" s="124">
        <v>44331</v>
      </c>
      <c r="L70" s="123" t="s">
        <v>131</v>
      </c>
      <c r="M70" s="122" t="s">
        <v>520</v>
      </c>
      <c r="N70" s="122" t="s">
        <v>430</v>
      </c>
      <c r="O70" s="123" t="s">
        <v>140</v>
      </c>
      <c r="P70" s="114">
        <f ca="1">IF($J70="","",MAX(0,INT((IF(OR($L70="Active",$L70="On Leave"),TODAY(),IFERROR(VLOOKUP($A70,'09_Attrition_Tracker'!$B:$G,6,FALSE),TODAY()))-$J70)/30)))</f>
        <v>66</v>
      </c>
      <c r="Q70" s="83" t="str">
        <f t="shared" ca="1" si="2"/>
        <v>5+ yrs</v>
      </c>
      <c r="R70" s="83" t="str">
        <f t="shared" si="3"/>
        <v>Yes</v>
      </c>
      <c r="S70" s="112" t="str">
        <f>IFERROR(VLOOKUP($A70,'09_Attrition_Tracker'!$B:$M,12,FALSE),"No")</f>
        <v>No</v>
      </c>
    </row>
    <row r="71" spans="1:19">
      <c r="A71" s="136" t="s">
        <v>611</v>
      </c>
      <c r="B71" s="122" t="s">
        <v>596</v>
      </c>
      <c r="C71" s="122" t="s">
        <v>416</v>
      </c>
      <c r="D71" s="123" t="s">
        <v>426</v>
      </c>
      <c r="E71" s="122" t="s">
        <v>557</v>
      </c>
      <c r="F71" s="122" t="s">
        <v>558</v>
      </c>
      <c r="G71" s="122" t="s">
        <v>411</v>
      </c>
      <c r="H71" s="122" t="s">
        <v>118</v>
      </c>
      <c r="I71" s="123" t="s">
        <v>399</v>
      </c>
      <c r="J71" s="124">
        <v>45078</v>
      </c>
      <c r="K71" s="124"/>
      <c r="L71" s="123" t="s">
        <v>131</v>
      </c>
      <c r="M71" s="122" t="s">
        <v>497</v>
      </c>
      <c r="N71" s="122" t="s">
        <v>137</v>
      </c>
      <c r="O71" s="123" t="s">
        <v>446</v>
      </c>
      <c r="P71" s="114">
        <f ca="1">IF($J71="","",MAX(0,INT((IF(OR($L71="Active",$L71="On Leave"),TODAY(),IFERROR(VLOOKUP($A71,'09_Attrition_Tracker'!$B:$G,6,FALSE),TODAY()))-$J71)/30)))</f>
        <v>35</v>
      </c>
      <c r="Q71" s="83" t="str">
        <f t="shared" ca="1" si="2"/>
        <v>2-5 yrs</v>
      </c>
      <c r="R71" s="83" t="str">
        <f t="shared" si="3"/>
        <v>Yes</v>
      </c>
      <c r="S71" s="112" t="str">
        <f>IFERROR(VLOOKUP($A71,'09_Attrition_Tracker'!$B:$M,12,FALSE),"No")</f>
        <v>No</v>
      </c>
    </row>
    <row r="72" spans="1:19">
      <c r="A72" s="136" t="s">
        <v>612</v>
      </c>
      <c r="B72" s="122" t="s">
        <v>613</v>
      </c>
      <c r="C72" s="122" t="s">
        <v>421</v>
      </c>
      <c r="D72" s="123" t="s">
        <v>437</v>
      </c>
      <c r="E72" s="122" t="s">
        <v>607</v>
      </c>
      <c r="F72" s="122" t="s">
        <v>608</v>
      </c>
      <c r="G72" s="122" t="s">
        <v>420</v>
      </c>
      <c r="H72" s="122" t="s">
        <v>440</v>
      </c>
      <c r="I72" s="123" t="s">
        <v>121</v>
      </c>
      <c r="J72" s="124">
        <v>45219</v>
      </c>
      <c r="K72" s="124">
        <v>45399</v>
      </c>
      <c r="L72" s="123" t="s">
        <v>131</v>
      </c>
      <c r="M72" s="122" t="s">
        <v>497</v>
      </c>
      <c r="N72" s="122" t="s">
        <v>458</v>
      </c>
      <c r="O72" s="123" t="s">
        <v>140</v>
      </c>
      <c r="P72" s="114">
        <f ca="1">IF($J72="","",MAX(0,INT((IF(OR($L72="Active",$L72="On Leave"),TODAY(),IFERROR(VLOOKUP($A72,'09_Attrition_Tracker'!$B:$G,6,FALSE),TODAY()))-$J72)/30)))</f>
        <v>30</v>
      </c>
      <c r="Q72" s="83" t="str">
        <f t="shared" ca="1" si="2"/>
        <v>2-5 yrs</v>
      </c>
      <c r="R72" s="83" t="str">
        <f t="shared" si="3"/>
        <v>Yes</v>
      </c>
      <c r="S72" s="112" t="str">
        <f>IFERROR(VLOOKUP($A72,'09_Attrition_Tracker'!$B:$M,12,FALSE),"No")</f>
        <v>No</v>
      </c>
    </row>
    <row r="73" spans="1:19">
      <c r="A73" s="136" t="s">
        <v>614</v>
      </c>
      <c r="B73" s="122" t="s">
        <v>615</v>
      </c>
      <c r="C73" s="122" t="s">
        <v>421</v>
      </c>
      <c r="D73" s="123" t="s">
        <v>426</v>
      </c>
      <c r="E73" s="122" t="s">
        <v>553</v>
      </c>
      <c r="F73" s="122" t="s">
        <v>554</v>
      </c>
      <c r="G73" s="122" t="s">
        <v>420</v>
      </c>
      <c r="H73" s="122" t="s">
        <v>434</v>
      </c>
      <c r="I73" s="123" t="s">
        <v>121</v>
      </c>
      <c r="J73" s="124">
        <v>45309</v>
      </c>
      <c r="K73" s="124">
        <v>45489</v>
      </c>
      <c r="L73" s="123" t="s">
        <v>381</v>
      </c>
      <c r="M73" s="122" t="s">
        <v>523</v>
      </c>
      <c r="N73" s="122" t="s">
        <v>515</v>
      </c>
      <c r="O73" s="123" t="s">
        <v>459</v>
      </c>
      <c r="P73" s="114">
        <f ca="1">IF($J73="","",MAX(0,INT((IF(OR($L73="Active",$L73="On Leave"),TODAY(),IFERROR(VLOOKUP($A73,'09_Attrition_Tracker'!$B:$G,6,FALSE),TODAY()))-$J73)/30)))</f>
        <v>27</v>
      </c>
      <c r="Q73" s="83" t="str">
        <f t="shared" ca="1" si="2"/>
        <v>2-5 yrs</v>
      </c>
      <c r="R73" s="83" t="str">
        <f t="shared" si="3"/>
        <v>No</v>
      </c>
      <c r="S73" s="112" t="str">
        <f>IFERROR(VLOOKUP($A73,'09_Attrition_Tracker'!$B:$M,12,FALSE),"No")</f>
        <v>No</v>
      </c>
    </row>
    <row r="74" spans="1:19">
      <c r="A74" s="136" t="s">
        <v>616</v>
      </c>
      <c r="B74" s="122" t="s">
        <v>617</v>
      </c>
      <c r="C74" s="122" t="s">
        <v>37</v>
      </c>
      <c r="D74" s="123" t="s">
        <v>108</v>
      </c>
      <c r="E74" s="122" t="s">
        <v>549</v>
      </c>
      <c r="F74" s="122" t="s">
        <v>550</v>
      </c>
      <c r="G74" s="122" t="s">
        <v>37</v>
      </c>
      <c r="H74" s="122" t="s">
        <v>429</v>
      </c>
      <c r="I74" s="123" t="s">
        <v>121</v>
      </c>
      <c r="J74" s="124">
        <v>43558</v>
      </c>
      <c r="K74" s="124">
        <v>43738</v>
      </c>
      <c r="L74" s="123" t="s">
        <v>392</v>
      </c>
      <c r="M74" s="122"/>
      <c r="N74" s="122" t="s">
        <v>430</v>
      </c>
      <c r="O74" s="123" t="s">
        <v>140</v>
      </c>
      <c r="P74" s="114">
        <f ca="1">IF($J74="","",MAX(0,INT((IF(OR($L74="Active",$L74="On Leave"),TODAY(),IFERROR(VLOOKUP($A74,'09_Attrition_Tracker'!$B:$G,6,FALSE),TODAY()))-$J74)/30)))</f>
        <v>86</v>
      </c>
      <c r="Q74" s="83" t="str">
        <f t="shared" ca="1" si="2"/>
        <v>5+ yrs</v>
      </c>
      <c r="R74" s="83" t="str">
        <f t="shared" si="3"/>
        <v>No</v>
      </c>
      <c r="S74" s="112" t="str">
        <f>IFERROR(VLOOKUP($A74,'09_Attrition_Tracker'!$B:$M,12,FALSE),"No")</f>
        <v>No</v>
      </c>
    </row>
    <row r="75" spans="1:19">
      <c r="A75" s="136" t="s">
        <v>618</v>
      </c>
      <c r="B75" s="122" t="s">
        <v>619</v>
      </c>
      <c r="C75" s="122" t="s">
        <v>416</v>
      </c>
      <c r="D75" s="123" t="s">
        <v>450</v>
      </c>
      <c r="E75" s="122" t="s">
        <v>482</v>
      </c>
      <c r="F75" s="122" t="s">
        <v>483</v>
      </c>
      <c r="G75" s="122" t="s">
        <v>411</v>
      </c>
      <c r="H75" s="122" t="s">
        <v>434</v>
      </c>
      <c r="I75" s="123" t="s">
        <v>391</v>
      </c>
      <c r="J75" s="124">
        <v>46030</v>
      </c>
      <c r="K75" s="124">
        <v>46210</v>
      </c>
      <c r="L75" s="123" t="s">
        <v>381</v>
      </c>
      <c r="M75" s="122" t="s">
        <v>484</v>
      </c>
      <c r="N75" s="122" t="s">
        <v>458</v>
      </c>
      <c r="O75" s="123" t="s">
        <v>459</v>
      </c>
      <c r="P75" s="114">
        <f ca="1">IF($J75="","",MAX(0,INT((IF(OR($L75="Active",$L75="On Leave"),TODAY(),IFERROR(VLOOKUP($A75,'09_Attrition_Tracker'!$B:$G,6,FALSE),TODAY()))-$J75)/30)))</f>
        <v>3</v>
      </c>
      <c r="Q75" s="83" t="str">
        <f t="shared" ca="1" si="2"/>
        <v>0-3 mos</v>
      </c>
      <c r="R75" s="83" t="str">
        <f t="shared" si="3"/>
        <v>No</v>
      </c>
      <c r="S75" s="112" t="str">
        <f>IFERROR(VLOOKUP($A75,'09_Attrition_Tracker'!$B:$M,12,FALSE),"No")</f>
        <v>No</v>
      </c>
    </row>
    <row r="76" spans="1:19">
      <c r="A76" s="136" t="s">
        <v>620</v>
      </c>
      <c r="B76" s="122" t="s">
        <v>621</v>
      </c>
      <c r="C76" s="122" t="s">
        <v>152</v>
      </c>
      <c r="D76" s="123" t="s">
        <v>450</v>
      </c>
      <c r="E76" s="122" t="s">
        <v>451</v>
      </c>
      <c r="F76" s="122" t="s">
        <v>452</v>
      </c>
      <c r="G76" s="122" t="s">
        <v>154</v>
      </c>
      <c r="H76" s="122" t="s">
        <v>440</v>
      </c>
      <c r="I76" s="123" t="s">
        <v>380</v>
      </c>
      <c r="J76" s="124">
        <v>44598</v>
      </c>
      <c r="K76" s="124">
        <v>44778</v>
      </c>
      <c r="L76" s="123" t="s">
        <v>131</v>
      </c>
      <c r="M76" s="122" t="s">
        <v>489</v>
      </c>
      <c r="N76" s="122" t="s">
        <v>458</v>
      </c>
      <c r="O76" s="123" t="s">
        <v>459</v>
      </c>
      <c r="P76" s="114">
        <f ca="1">IF($J76="","",MAX(0,INT((IF(OR($L76="Active",$L76="On Leave"),TODAY(),IFERROR(VLOOKUP($A76,'09_Attrition_Tracker'!$B:$G,6,FALSE),TODAY()))-$J76)/30)))</f>
        <v>51</v>
      </c>
      <c r="Q76" s="83" t="str">
        <f t="shared" ca="1" si="2"/>
        <v>2-5 yrs</v>
      </c>
      <c r="R76" s="83" t="str">
        <f t="shared" si="3"/>
        <v>Yes</v>
      </c>
      <c r="S76" s="112" t="str">
        <f>IFERROR(VLOOKUP($A76,'09_Attrition_Tracker'!$B:$M,12,FALSE),"No")</f>
        <v>No</v>
      </c>
    </row>
    <row r="77" spans="1:19">
      <c r="A77" s="136" t="s">
        <v>622</v>
      </c>
      <c r="B77" s="122" t="s">
        <v>623</v>
      </c>
      <c r="C77" s="122" t="s">
        <v>416</v>
      </c>
      <c r="D77" s="123" t="s">
        <v>108</v>
      </c>
      <c r="E77" s="122" t="s">
        <v>557</v>
      </c>
      <c r="F77" s="122" t="s">
        <v>558</v>
      </c>
      <c r="G77" s="122" t="s">
        <v>411</v>
      </c>
      <c r="H77" s="122" t="s">
        <v>434</v>
      </c>
      <c r="I77" s="123" t="s">
        <v>121</v>
      </c>
      <c r="J77" s="124">
        <v>45234</v>
      </c>
      <c r="K77" s="124">
        <v>45414</v>
      </c>
      <c r="L77" s="123" t="s">
        <v>131</v>
      </c>
      <c r="M77" s="122" t="s">
        <v>525</v>
      </c>
      <c r="N77" s="122" t="s">
        <v>464</v>
      </c>
      <c r="O77" s="123" t="s">
        <v>140</v>
      </c>
      <c r="P77" s="114">
        <f ca="1">IF($J77="","",MAX(0,INT((IF(OR($L77="Active",$L77="On Leave"),TODAY(),IFERROR(VLOOKUP($A77,'09_Attrition_Tracker'!$B:$G,6,FALSE),TODAY()))-$J77)/30)))</f>
        <v>30</v>
      </c>
      <c r="Q77" s="83" t="str">
        <f t="shared" ca="1" si="2"/>
        <v>2-5 yrs</v>
      </c>
      <c r="R77" s="83" t="str">
        <f t="shared" si="3"/>
        <v>Yes</v>
      </c>
      <c r="S77" s="112" t="str">
        <f>IFERROR(VLOOKUP($A77,'09_Attrition_Tracker'!$B:$M,12,FALSE),"No")</f>
        <v>No</v>
      </c>
    </row>
    <row r="78" spans="1:19">
      <c r="A78" s="136" t="s">
        <v>624</v>
      </c>
      <c r="B78" s="122" t="s">
        <v>625</v>
      </c>
      <c r="C78" s="122" t="s">
        <v>152</v>
      </c>
      <c r="D78" s="123" t="s">
        <v>450</v>
      </c>
      <c r="E78" s="122" t="s">
        <v>451</v>
      </c>
      <c r="F78" s="122" t="s">
        <v>452</v>
      </c>
      <c r="G78" s="122" t="s">
        <v>154</v>
      </c>
      <c r="H78" s="122" t="s">
        <v>440</v>
      </c>
      <c r="I78" s="123" t="s">
        <v>121</v>
      </c>
      <c r="J78" s="124">
        <v>43134</v>
      </c>
      <c r="K78" s="124">
        <v>43314</v>
      </c>
      <c r="L78" s="123" t="s">
        <v>131</v>
      </c>
      <c r="M78" s="122" t="s">
        <v>513</v>
      </c>
      <c r="N78" s="122" t="s">
        <v>137</v>
      </c>
      <c r="O78" s="123" t="s">
        <v>431</v>
      </c>
      <c r="P78" s="114">
        <f ca="1">IF($J78="","",MAX(0,INT((IF(OR($L78="Active",$L78="On Leave"),TODAY(),IFERROR(VLOOKUP($A78,'09_Attrition_Tracker'!$B:$G,6,FALSE),TODAY()))-$J78)/30)))</f>
        <v>100</v>
      </c>
      <c r="Q78" s="83" t="str">
        <f t="shared" ca="1" si="2"/>
        <v>5+ yrs</v>
      </c>
      <c r="R78" s="83" t="str">
        <f t="shared" si="3"/>
        <v>Yes</v>
      </c>
      <c r="S78" s="112" t="str">
        <f>IFERROR(VLOOKUP($A78,'09_Attrition_Tracker'!$B:$M,12,FALSE),"No")</f>
        <v>No</v>
      </c>
    </row>
    <row r="79" spans="1:19">
      <c r="A79" s="136" t="s">
        <v>626</v>
      </c>
      <c r="B79" s="122" t="s">
        <v>627</v>
      </c>
      <c r="C79" s="122" t="s">
        <v>271</v>
      </c>
      <c r="D79" s="123" t="s">
        <v>426</v>
      </c>
      <c r="E79" s="122" t="s">
        <v>628</v>
      </c>
      <c r="F79" s="122" t="s">
        <v>20</v>
      </c>
      <c r="G79" s="122" t="s">
        <v>408</v>
      </c>
      <c r="H79" s="122" t="s">
        <v>429</v>
      </c>
      <c r="I79" s="123" t="s">
        <v>121</v>
      </c>
      <c r="J79" s="124">
        <v>45257</v>
      </c>
      <c r="K79" s="124"/>
      <c r="L79" s="123" t="s">
        <v>131</v>
      </c>
      <c r="M79" s="122"/>
      <c r="N79" s="122" t="s">
        <v>475</v>
      </c>
      <c r="O79" s="123" t="s">
        <v>453</v>
      </c>
      <c r="P79" s="114">
        <f ca="1">IF($J79="","",MAX(0,INT((IF(OR($L79="Active",$L79="On Leave"),TODAY(),IFERROR(VLOOKUP($A79,'09_Attrition_Tracker'!$B:$G,6,FALSE),TODAY()))-$J79)/30)))</f>
        <v>29</v>
      </c>
      <c r="Q79" s="83" t="str">
        <f t="shared" ca="1" si="2"/>
        <v>2-5 yrs</v>
      </c>
      <c r="R79" s="83" t="str">
        <f t="shared" si="3"/>
        <v>Yes</v>
      </c>
      <c r="S79" s="112" t="str">
        <f>IFERROR(VLOOKUP($A79,'09_Attrition_Tracker'!$B:$M,12,FALSE),"No")</f>
        <v>No</v>
      </c>
    </row>
    <row r="80" spans="1:19">
      <c r="A80" s="136" t="s">
        <v>629</v>
      </c>
      <c r="B80" s="122" t="s">
        <v>630</v>
      </c>
      <c r="C80" s="122" t="s">
        <v>371</v>
      </c>
      <c r="D80" s="123" t="s">
        <v>437</v>
      </c>
      <c r="E80" s="122" t="s">
        <v>505</v>
      </c>
      <c r="F80" s="122" t="s">
        <v>506</v>
      </c>
      <c r="G80" s="122" t="s">
        <v>371</v>
      </c>
      <c r="H80" s="122" t="s">
        <v>118</v>
      </c>
      <c r="I80" s="123" t="s">
        <v>391</v>
      </c>
      <c r="J80" s="124">
        <v>44966</v>
      </c>
      <c r="K80" s="124">
        <v>45146</v>
      </c>
      <c r="L80" s="123" t="s">
        <v>131</v>
      </c>
      <c r="M80" s="122" t="s">
        <v>493</v>
      </c>
      <c r="N80" s="122" t="s">
        <v>441</v>
      </c>
      <c r="O80" s="123" t="s">
        <v>459</v>
      </c>
      <c r="P80" s="114">
        <f ca="1">IF($J80="","",MAX(0,INT((IF(OR($L80="Active",$L80="On Leave"),TODAY(),IFERROR(VLOOKUP($A80,'09_Attrition_Tracker'!$B:$G,6,FALSE),TODAY()))-$J80)/30)))</f>
        <v>39</v>
      </c>
      <c r="Q80" s="83" t="str">
        <f t="shared" ca="1" si="2"/>
        <v>2-5 yrs</v>
      </c>
      <c r="R80" s="83" t="str">
        <f t="shared" si="3"/>
        <v>Yes</v>
      </c>
      <c r="S80" s="112" t="str">
        <f>IFERROR(VLOOKUP($A80,'09_Attrition_Tracker'!$B:$M,12,FALSE),"No")</f>
        <v>No</v>
      </c>
    </row>
    <row r="81" spans="1:19">
      <c r="A81" s="136" t="s">
        <v>631</v>
      </c>
      <c r="B81" s="122" t="s">
        <v>632</v>
      </c>
      <c r="C81" s="122" t="s">
        <v>421</v>
      </c>
      <c r="D81" s="123" t="s">
        <v>437</v>
      </c>
      <c r="E81" s="122" t="s">
        <v>478</v>
      </c>
      <c r="F81" s="122" t="s">
        <v>479</v>
      </c>
      <c r="G81" s="122" t="s">
        <v>420</v>
      </c>
      <c r="H81" s="122" t="s">
        <v>434</v>
      </c>
      <c r="I81" s="123" t="s">
        <v>121</v>
      </c>
      <c r="J81" s="124">
        <v>43733</v>
      </c>
      <c r="K81" s="124">
        <v>43913</v>
      </c>
      <c r="L81" s="123" t="s">
        <v>131</v>
      </c>
      <c r="M81" s="122" t="s">
        <v>571</v>
      </c>
      <c r="N81" s="122" t="s">
        <v>475</v>
      </c>
      <c r="O81" s="123" t="s">
        <v>446</v>
      </c>
      <c r="P81" s="114">
        <f ca="1">IF($J81="","",MAX(0,INT((IF(OR($L81="Active",$L81="On Leave"),TODAY(),IFERROR(VLOOKUP($A81,'09_Attrition_Tracker'!$B:$G,6,FALSE),TODAY()))-$J81)/30)))</f>
        <v>80</v>
      </c>
      <c r="Q81" s="83" t="str">
        <f t="shared" ca="1" si="2"/>
        <v>5+ yrs</v>
      </c>
      <c r="R81" s="83" t="str">
        <f t="shared" si="3"/>
        <v>Yes</v>
      </c>
      <c r="S81" s="112" t="str">
        <f>IFERROR(VLOOKUP($A81,'09_Attrition_Tracker'!$B:$M,12,FALSE),"No")</f>
        <v>No</v>
      </c>
    </row>
    <row r="82" spans="1:19">
      <c r="A82" s="136" t="s">
        <v>633</v>
      </c>
      <c r="B82" s="122" t="s">
        <v>634</v>
      </c>
      <c r="C82" s="122" t="s">
        <v>421</v>
      </c>
      <c r="D82" s="123" t="s">
        <v>437</v>
      </c>
      <c r="E82" s="122" t="s">
        <v>478</v>
      </c>
      <c r="F82" s="122" t="s">
        <v>479</v>
      </c>
      <c r="G82" s="122" t="s">
        <v>420</v>
      </c>
      <c r="H82" s="122" t="s">
        <v>434</v>
      </c>
      <c r="I82" s="123" t="s">
        <v>121</v>
      </c>
      <c r="J82" s="124">
        <v>43268</v>
      </c>
      <c r="K82" s="124">
        <v>43448</v>
      </c>
      <c r="L82" s="123" t="s">
        <v>131</v>
      </c>
      <c r="M82" s="122" t="s">
        <v>424</v>
      </c>
      <c r="N82" s="122" t="s">
        <v>475</v>
      </c>
      <c r="O82" s="123" t="s">
        <v>431</v>
      </c>
      <c r="P82" s="114">
        <f ca="1">IF($J82="","",MAX(0,INT((IF(OR($L82="Active",$L82="On Leave"),TODAY(),IFERROR(VLOOKUP($A82,'09_Attrition_Tracker'!$B:$G,6,FALSE),TODAY()))-$J82)/30)))</f>
        <v>95</v>
      </c>
      <c r="Q82" s="83" t="str">
        <f t="shared" ca="1" si="2"/>
        <v>5+ yrs</v>
      </c>
      <c r="R82" s="83" t="str">
        <f t="shared" si="3"/>
        <v>Yes</v>
      </c>
      <c r="S82" s="112" t="str">
        <f>IFERROR(VLOOKUP($A82,'09_Attrition_Tracker'!$B:$M,12,FALSE),"No")</f>
        <v>No</v>
      </c>
    </row>
    <row r="83" spans="1:19">
      <c r="A83" s="136" t="s">
        <v>635</v>
      </c>
      <c r="B83" s="122" t="s">
        <v>636</v>
      </c>
      <c r="C83" s="122" t="s">
        <v>152</v>
      </c>
      <c r="D83" s="123" t="s">
        <v>450</v>
      </c>
      <c r="E83" s="122" t="s">
        <v>151</v>
      </c>
      <c r="F83" s="122" t="s">
        <v>153</v>
      </c>
      <c r="G83" s="122" t="s">
        <v>154</v>
      </c>
      <c r="H83" s="122" t="s">
        <v>434</v>
      </c>
      <c r="I83" s="123" t="s">
        <v>380</v>
      </c>
      <c r="J83" s="124">
        <v>43255</v>
      </c>
      <c r="K83" s="124">
        <v>43435</v>
      </c>
      <c r="L83" s="123" t="s">
        <v>131</v>
      </c>
      <c r="M83" s="122" t="s">
        <v>527</v>
      </c>
      <c r="N83" s="122" t="s">
        <v>464</v>
      </c>
      <c r="O83" s="123" t="s">
        <v>453</v>
      </c>
      <c r="P83" s="114">
        <f ca="1">IF($J83="","",MAX(0,INT((IF(OR($L83="Active",$L83="On Leave"),TODAY(),IFERROR(VLOOKUP($A83,'09_Attrition_Tracker'!$B:$G,6,FALSE),TODAY()))-$J83)/30)))</f>
        <v>96</v>
      </c>
      <c r="Q83" s="83" t="str">
        <f t="shared" ca="1" si="2"/>
        <v>5+ yrs</v>
      </c>
      <c r="R83" s="83" t="str">
        <f t="shared" si="3"/>
        <v>Yes</v>
      </c>
      <c r="S83" s="112" t="str">
        <f>IFERROR(VLOOKUP($A83,'09_Attrition_Tracker'!$B:$M,12,FALSE),"No")</f>
        <v>No</v>
      </c>
    </row>
    <row r="84" spans="1:19">
      <c r="A84" s="136" t="s">
        <v>637</v>
      </c>
      <c r="B84" s="122" t="s">
        <v>638</v>
      </c>
      <c r="C84" s="122" t="s">
        <v>421</v>
      </c>
      <c r="D84" s="123" t="s">
        <v>450</v>
      </c>
      <c r="E84" s="122" t="s">
        <v>478</v>
      </c>
      <c r="F84" s="122" t="s">
        <v>479</v>
      </c>
      <c r="G84" s="122" t="s">
        <v>420</v>
      </c>
      <c r="H84" s="122" t="s">
        <v>434</v>
      </c>
      <c r="I84" s="123" t="s">
        <v>121</v>
      </c>
      <c r="J84" s="124">
        <v>44612</v>
      </c>
      <c r="K84" s="124">
        <v>44792</v>
      </c>
      <c r="L84" s="123" t="s">
        <v>131</v>
      </c>
      <c r="M84" s="122" t="s">
        <v>527</v>
      </c>
      <c r="N84" s="122" t="s">
        <v>464</v>
      </c>
      <c r="O84" s="123" t="s">
        <v>453</v>
      </c>
      <c r="P84" s="114">
        <f ca="1">IF($J84="","",MAX(0,INT((IF(OR($L84="Active",$L84="On Leave"),TODAY(),IFERROR(VLOOKUP($A84,'09_Attrition_Tracker'!$B:$G,6,FALSE),TODAY()))-$J84)/30)))</f>
        <v>51</v>
      </c>
      <c r="Q84" s="83" t="str">
        <f t="shared" ca="1" si="2"/>
        <v>2-5 yrs</v>
      </c>
      <c r="R84" s="83" t="str">
        <f t="shared" si="3"/>
        <v>Yes</v>
      </c>
      <c r="S84" s="112" t="str">
        <f>IFERROR(VLOOKUP($A84,'09_Attrition_Tracker'!$B:$M,12,FALSE),"No")</f>
        <v>No</v>
      </c>
    </row>
    <row r="85" spans="1:19">
      <c r="A85" s="136" t="s">
        <v>639</v>
      </c>
      <c r="B85" s="122" t="s">
        <v>640</v>
      </c>
      <c r="C85" s="122" t="s">
        <v>379</v>
      </c>
      <c r="D85" s="123" t="s">
        <v>108</v>
      </c>
      <c r="E85" s="122" t="s">
        <v>456</v>
      </c>
      <c r="F85" s="122" t="s">
        <v>457</v>
      </c>
      <c r="G85" s="122" t="s">
        <v>390</v>
      </c>
      <c r="H85" s="122" t="s">
        <v>118</v>
      </c>
      <c r="I85" s="123" t="s">
        <v>121</v>
      </c>
      <c r="J85" s="124">
        <v>43005</v>
      </c>
      <c r="K85" s="124">
        <v>43185</v>
      </c>
      <c r="L85" s="123" t="s">
        <v>381</v>
      </c>
      <c r="M85" s="122" t="s">
        <v>547</v>
      </c>
      <c r="N85" s="122" t="s">
        <v>137</v>
      </c>
      <c r="O85" s="123" t="s">
        <v>459</v>
      </c>
      <c r="P85" s="114">
        <f ca="1">IF($J85="","",MAX(0,INT((IF(OR($L85="Active",$L85="On Leave"),TODAY(),IFERROR(VLOOKUP($A85,'09_Attrition_Tracker'!$B:$G,6,FALSE),TODAY()))-$J85)/30)))</f>
        <v>104</v>
      </c>
      <c r="Q85" s="83" t="str">
        <f t="shared" ca="1" si="2"/>
        <v>5+ yrs</v>
      </c>
      <c r="R85" s="83" t="str">
        <f t="shared" si="3"/>
        <v>No</v>
      </c>
      <c r="S85" s="112" t="str">
        <f>IFERROR(VLOOKUP($A85,'09_Attrition_Tracker'!$B:$M,12,FALSE),"No")</f>
        <v>No</v>
      </c>
    </row>
    <row r="86" spans="1:19">
      <c r="A86" s="136" t="s">
        <v>641</v>
      </c>
      <c r="B86" s="122" t="s">
        <v>514</v>
      </c>
      <c r="C86" s="122" t="s">
        <v>104</v>
      </c>
      <c r="D86" s="123" t="s">
        <v>450</v>
      </c>
      <c r="E86" s="122" t="s">
        <v>473</v>
      </c>
      <c r="F86" s="122" t="s">
        <v>474</v>
      </c>
      <c r="G86" s="122" t="s">
        <v>104</v>
      </c>
      <c r="H86" s="122" t="s">
        <v>429</v>
      </c>
      <c r="I86" s="123" t="s">
        <v>121</v>
      </c>
      <c r="J86" s="124">
        <v>44585</v>
      </c>
      <c r="K86" s="124">
        <v>44765</v>
      </c>
      <c r="L86" s="123" t="s">
        <v>131</v>
      </c>
      <c r="M86" s="122"/>
      <c r="N86" s="122" t="s">
        <v>464</v>
      </c>
      <c r="O86" s="123" t="s">
        <v>446</v>
      </c>
      <c r="P86" s="114">
        <f ca="1">IF($J86="","",MAX(0,INT((IF(OR($L86="Active",$L86="On Leave"),TODAY(),IFERROR(VLOOKUP($A86,'09_Attrition_Tracker'!$B:$G,6,FALSE),TODAY()))-$J86)/30)))</f>
        <v>52</v>
      </c>
      <c r="Q86" s="83" t="str">
        <f t="shared" ca="1" si="2"/>
        <v>2-5 yrs</v>
      </c>
      <c r="R86" s="83" t="str">
        <f t="shared" si="3"/>
        <v>Yes</v>
      </c>
      <c r="S86" s="112" t="str">
        <f>IFERROR(VLOOKUP($A86,'09_Attrition_Tracker'!$B:$M,12,FALSE),"No")</f>
        <v>No</v>
      </c>
    </row>
    <row r="87" spans="1:19">
      <c r="A87" s="136" t="s">
        <v>642</v>
      </c>
      <c r="B87" s="122" t="s">
        <v>643</v>
      </c>
      <c r="C87" s="122" t="s">
        <v>37</v>
      </c>
      <c r="D87" s="123" t="s">
        <v>426</v>
      </c>
      <c r="E87" s="122" t="s">
        <v>549</v>
      </c>
      <c r="F87" s="122" t="s">
        <v>550</v>
      </c>
      <c r="G87" s="122" t="s">
        <v>37</v>
      </c>
      <c r="H87" s="122" t="s">
        <v>429</v>
      </c>
      <c r="I87" s="123" t="s">
        <v>380</v>
      </c>
      <c r="J87" s="124">
        <v>43361</v>
      </c>
      <c r="K87" s="124">
        <v>43541</v>
      </c>
      <c r="L87" s="123" t="s">
        <v>131</v>
      </c>
      <c r="M87" s="122"/>
      <c r="N87" s="122" t="s">
        <v>464</v>
      </c>
      <c r="O87" s="123" t="s">
        <v>453</v>
      </c>
      <c r="P87" s="114">
        <f ca="1">IF($J87="","",MAX(0,INT((IF(OR($L87="Active",$L87="On Leave"),TODAY(),IFERROR(VLOOKUP($A87,'09_Attrition_Tracker'!$B:$G,6,FALSE),TODAY()))-$J87)/30)))</f>
        <v>92</v>
      </c>
      <c r="Q87" s="83" t="str">
        <f t="shared" ca="1" si="2"/>
        <v>5+ yrs</v>
      </c>
      <c r="R87" s="83" t="str">
        <f t="shared" si="3"/>
        <v>Yes</v>
      </c>
      <c r="S87" s="112" t="str">
        <f>IFERROR(VLOOKUP($A87,'09_Attrition_Tracker'!$B:$M,12,FALSE),"No")</f>
        <v>No</v>
      </c>
    </row>
    <row r="88" spans="1:19">
      <c r="A88" s="136" t="s">
        <v>644</v>
      </c>
      <c r="B88" s="122" t="s">
        <v>645</v>
      </c>
      <c r="C88" s="122" t="s">
        <v>37</v>
      </c>
      <c r="D88" s="123" t="s">
        <v>108</v>
      </c>
      <c r="E88" s="122" t="s">
        <v>536</v>
      </c>
      <c r="F88" s="122" t="s">
        <v>537</v>
      </c>
      <c r="G88" s="122" t="s">
        <v>37</v>
      </c>
      <c r="H88" s="122" t="s">
        <v>118</v>
      </c>
      <c r="I88" s="123" t="s">
        <v>380</v>
      </c>
      <c r="J88" s="124">
        <v>45138</v>
      </c>
      <c r="K88" s="124">
        <v>45318</v>
      </c>
      <c r="L88" s="123" t="s">
        <v>131</v>
      </c>
      <c r="M88" s="122" t="s">
        <v>518</v>
      </c>
      <c r="N88" s="122" t="s">
        <v>137</v>
      </c>
      <c r="O88" s="123" t="s">
        <v>459</v>
      </c>
      <c r="P88" s="114">
        <f ca="1">IF($J88="","",MAX(0,INT((IF(OR($L88="Active",$L88="On Leave"),TODAY(),IFERROR(VLOOKUP($A88,'09_Attrition_Tracker'!$B:$G,6,FALSE),TODAY()))-$J88)/30)))</f>
        <v>33</v>
      </c>
      <c r="Q88" s="83" t="str">
        <f t="shared" ca="1" si="2"/>
        <v>2-5 yrs</v>
      </c>
      <c r="R88" s="83" t="str">
        <f t="shared" si="3"/>
        <v>Yes</v>
      </c>
      <c r="S88" s="112" t="str">
        <f>IFERROR(VLOOKUP($A88,'09_Attrition_Tracker'!$B:$M,12,FALSE),"No")</f>
        <v>No</v>
      </c>
    </row>
    <row r="89" spans="1:19">
      <c r="A89" s="136" t="s">
        <v>646</v>
      </c>
      <c r="B89" s="122" t="s">
        <v>647</v>
      </c>
      <c r="C89" s="122" t="s">
        <v>421</v>
      </c>
      <c r="D89" s="123" t="s">
        <v>426</v>
      </c>
      <c r="E89" s="122" t="s">
        <v>553</v>
      </c>
      <c r="F89" s="122" t="s">
        <v>554</v>
      </c>
      <c r="G89" s="122" t="s">
        <v>420</v>
      </c>
      <c r="H89" s="122" t="s">
        <v>434</v>
      </c>
      <c r="I89" s="123" t="s">
        <v>121</v>
      </c>
      <c r="J89" s="124">
        <v>45103</v>
      </c>
      <c r="K89" s="124">
        <v>45283</v>
      </c>
      <c r="L89" s="123" t="s">
        <v>131</v>
      </c>
      <c r="M89" s="122" t="s">
        <v>484</v>
      </c>
      <c r="N89" s="122" t="s">
        <v>458</v>
      </c>
      <c r="O89" s="123" t="s">
        <v>459</v>
      </c>
      <c r="P89" s="114">
        <f ca="1">IF($J89="","",MAX(0,INT((IF(OR($L89="Active",$L89="On Leave"),TODAY(),IFERROR(VLOOKUP($A89,'09_Attrition_Tracker'!$B:$G,6,FALSE),TODAY()))-$J89)/30)))</f>
        <v>34</v>
      </c>
      <c r="Q89" s="83" t="str">
        <f t="shared" ca="1" si="2"/>
        <v>2-5 yrs</v>
      </c>
      <c r="R89" s="83" t="str">
        <f t="shared" si="3"/>
        <v>Yes</v>
      </c>
      <c r="S89" s="112" t="str">
        <f>IFERROR(VLOOKUP($A89,'09_Attrition_Tracker'!$B:$M,12,FALSE),"No")</f>
        <v>No</v>
      </c>
    </row>
    <row r="90" spans="1:19">
      <c r="A90" s="136" t="s">
        <v>648</v>
      </c>
      <c r="B90" s="122" t="s">
        <v>649</v>
      </c>
      <c r="C90" s="122" t="s">
        <v>421</v>
      </c>
      <c r="D90" s="123" t="s">
        <v>108</v>
      </c>
      <c r="E90" s="122" t="s">
        <v>478</v>
      </c>
      <c r="F90" s="122" t="s">
        <v>479</v>
      </c>
      <c r="G90" s="122" t="s">
        <v>420</v>
      </c>
      <c r="H90" s="122" t="s">
        <v>118</v>
      </c>
      <c r="I90" s="123" t="s">
        <v>391</v>
      </c>
      <c r="J90" s="124">
        <v>45230</v>
      </c>
      <c r="K90" s="124">
        <v>45410</v>
      </c>
      <c r="L90" s="123" t="s">
        <v>131</v>
      </c>
      <c r="M90" s="122" t="s">
        <v>493</v>
      </c>
      <c r="N90" s="122" t="s">
        <v>458</v>
      </c>
      <c r="O90" s="123" t="s">
        <v>459</v>
      </c>
      <c r="P90" s="114">
        <f ca="1">IF($J90="","",MAX(0,INT((IF(OR($L90="Active",$L90="On Leave"),TODAY(),IFERROR(VLOOKUP($A90,'09_Attrition_Tracker'!$B:$G,6,FALSE),TODAY()))-$J90)/30)))</f>
        <v>30</v>
      </c>
      <c r="Q90" s="83" t="str">
        <f t="shared" ca="1" si="2"/>
        <v>2-5 yrs</v>
      </c>
      <c r="R90" s="83" t="str">
        <f t="shared" si="3"/>
        <v>Yes</v>
      </c>
      <c r="S90" s="112" t="str">
        <f>IFERROR(VLOOKUP($A90,'09_Attrition_Tracker'!$B:$M,12,FALSE),"No")</f>
        <v>No</v>
      </c>
    </row>
    <row r="91" spans="1:19">
      <c r="A91" s="136" t="s">
        <v>650</v>
      </c>
      <c r="B91" s="122" t="s">
        <v>651</v>
      </c>
      <c r="C91" s="122" t="s">
        <v>176</v>
      </c>
      <c r="D91" s="123" t="s">
        <v>426</v>
      </c>
      <c r="E91" s="122" t="s">
        <v>652</v>
      </c>
      <c r="F91" s="122" t="s">
        <v>653</v>
      </c>
      <c r="G91" s="122" t="s">
        <v>154</v>
      </c>
      <c r="H91" s="122" t="s">
        <v>440</v>
      </c>
      <c r="I91" s="123" t="s">
        <v>121</v>
      </c>
      <c r="J91" s="124">
        <v>43021</v>
      </c>
      <c r="K91" s="124">
        <v>43201</v>
      </c>
      <c r="L91" s="123" t="s">
        <v>392</v>
      </c>
      <c r="M91" s="122" t="s">
        <v>424</v>
      </c>
      <c r="N91" s="122" t="s">
        <v>475</v>
      </c>
      <c r="O91" s="123" t="s">
        <v>453</v>
      </c>
      <c r="P91" s="114">
        <f ca="1">IF($J91="","",MAX(0,INT((IF(OR($L91="Active",$L91="On Leave"),TODAY(),IFERROR(VLOOKUP($A91,'09_Attrition_Tracker'!$B:$G,6,FALSE),TODAY()))-$J91)/30)))</f>
        <v>88</v>
      </c>
      <c r="Q91" s="83" t="str">
        <f t="shared" ca="1" si="2"/>
        <v>5+ yrs</v>
      </c>
      <c r="R91" s="83" t="str">
        <f t="shared" si="3"/>
        <v>No</v>
      </c>
      <c r="S91" s="112" t="str">
        <f>IFERROR(VLOOKUP($A91,'09_Attrition_Tracker'!$B:$M,12,FALSE),"No")</f>
        <v>No</v>
      </c>
    </row>
    <row r="92" spans="1:19">
      <c r="A92" s="136" t="s">
        <v>654</v>
      </c>
      <c r="B92" s="122" t="s">
        <v>655</v>
      </c>
      <c r="C92" s="122" t="s">
        <v>416</v>
      </c>
      <c r="D92" s="123" t="s">
        <v>437</v>
      </c>
      <c r="E92" s="122" t="s">
        <v>482</v>
      </c>
      <c r="F92" s="122" t="s">
        <v>483</v>
      </c>
      <c r="G92" s="122" t="s">
        <v>411</v>
      </c>
      <c r="H92" s="122" t="s">
        <v>434</v>
      </c>
      <c r="I92" s="123" t="s">
        <v>121</v>
      </c>
      <c r="J92" s="124">
        <v>44012</v>
      </c>
      <c r="K92" s="124"/>
      <c r="L92" s="123" t="s">
        <v>131</v>
      </c>
      <c r="M92" s="122" t="s">
        <v>465</v>
      </c>
      <c r="N92" s="122" t="s">
        <v>447</v>
      </c>
      <c r="O92" s="123" t="s">
        <v>459</v>
      </c>
      <c r="P92" s="114">
        <f ca="1">IF($J92="","",MAX(0,INT((IF(OR($L92="Active",$L92="On Leave"),TODAY(),IFERROR(VLOOKUP($A92,'09_Attrition_Tracker'!$B:$G,6,FALSE),TODAY()))-$J92)/30)))</f>
        <v>71</v>
      </c>
      <c r="Q92" s="83" t="str">
        <f t="shared" ca="1" si="2"/>
        <v>5+ yrs</v>
      </c>
      <c r="R92" s="83" t="str">
        <f t="shared" si="3"/>
        <v>Yes</v>
      </c>
      <c r="S92" s="112" t="str">
        <f>IFERROR(VLOOKUP($A92,'09_Attrition_Tracker'!$B:$M,12,FALSE),"No")</f>
        <v>No</v>
      </c>
    </row>
    <row r="93" spans="1:19">
      <c r="A93" s="136" t="s">
        <v>656</v>
      </c>
      <c r="B93" s="122" t="s">
        <v>657</v>
      </c>
      <c r="C93" s="122" t="s">
        <v>416</v>
      </c>
      <c r="D93" s="123" t="s">
        <v>426</v>
      </c>
      <c r="E93" s="122" t="s">
        <v>540</v>
      </c>
      <c r="F93" s="122" t="s">
        <v>541</v>
      </c>
      <c r="G93" s="122" t="s">
        <v>411</v>
      </c>
      <c r="H93" s="122" t="s">
        <v>429</v>
      </c>
      <c r="I93" s="123" t="s">
        <v>121</v>
      </c>
      <c r="J93" s="124">
        <v>45222</v>
      </c>
      <c r="K93" s="124">
        <v>45402</v>
      </c>
      <c r="L93" s="123" t="s">
        <v>131</v>
      </c>
      <c r="M93" s="122"/>
      <c r="N93" s="122" t="s">
        <v>464</v>
      </c>
      <c r="O93" s="123" t="s">
        <v>446</v>
      </c>
      <c r="P93" s="114">
        <f ca="1">IF($J93="","",MAX(0,INT((IF(OR($L93="Active",$L93="On Leave"),TODAY(),IFERROR(VLOOKUP($A93,'09_Attrition_Tracker'!$B:$G,6,FALSE),TODAY()))-$J93)/30)))</f>
        <v>30</v>
      </c>
      <c r="Q93" s="83" t="str">
        <f t="shared" ca="1" si="2"/>
        <v>2-5 yrs</v>
      </c>
      <c r="R93" s="83" t="str">
        <f t="shared" si="3"/>
        <v>Yes</v>
      </c>
      <c r="S93" s="112" t="str">
        <f>IFERROR(VLOOKUP($A93,'09_Attrition_Tracker'!$B:$M,12,FALSE),"No")</f>
        <v>No</v>
      </c>
    </row>
    <row r="94" spans="1:19">
      <c r="A94" s="136" t="s">
        <v>658</v>
      </c>
      <c r="B94" s="122" t="s">
        <v>659</v>
      </c>
      <c r="C94" s="122" t="s">
        <v>104</v>
      </c>
      <c r="D94" s="123" t="s">
        <v>426</v>
      </c>
      <c r="E94" s="122" t="s">
        <v>473</v>
      </c>
      <c r="F94" s="122" t="s">
        <v>474</v>
      </c>
      <c r="G94" s="122" t="s">
        <v>104</v>
      </c>
      <c r="H94" s="122" t="s">
        <v>429</v>
      </c>
      <c r="I94" s="123" t="s">
        <v>121</v>
      </c>
      <c r="J94" s="124">
        <v>43639</v>
      </c>
      <c r="K94" s="124">
        <v>43819</v>
      </c>
      <c r="L94" s="123" t="s">
        <v>131</v>
      </c>
      <c r="M94" s="122"/>
      <c r="N94" s="122" t="s">
        <v>475</v>
      </c>
      <c r="O94" s="123" t="s">
        <v>140</v>
      </c>
      <c r="P94" s="114">
        <f ca="1">IF($J94="","",MAX(0,INT((IF(OR($L94="Active",$L94="On Leave"),TODAY(),IFERROR(VLOOKUP($A94,'09_Attrition_Tracker'!$B:$G,6,FALSE),TODAY()))-$J94)/30)))</f>
        <v>83</v>
      </c>
      <c r="Q94" s="83" t="str">
        <f t="shared" ca="1" si="2"/>
        <v>5+ yrs</v>
      </c>
      <c r="R94" s="83" t="str">
        <f t="shared" si="3"/>
        <v>Yes</v>
      </c>
      <c r="S94" s="112" t="str">
        <f>IFERROR(VLOOKUP($A94,'09_Attrition_Tracker'!$B:$M,12,FALSE),"No")</f>
        <v>No</v>
      </c>
    </row>
    <row r="95" spans="1:19">
      <c r="A95" s="136" t="s">
        <v>660</v>
      </c>
      <c r="B95" s="122" t="s">
        <v>661</v>
      </c>
      <c r="C95" s="122" t="s">
        <v>407</v>
      </c>
      <c r="D95" s="123" t="s">
        <v>437</v>
      </c>
      <c r="E95" s="122" t="s">
        <v>469</v>
      </c>
      <c r="F95" s="122" t="s">
        <v>470</v>
      </c>
      <c r="G95" s="122" t="s">
        <v>417</v>
      </c>
      <c r="H95" s="122" t="s">
        <v>434</v>
      </c>
      <c r="I95" s="123" t="s">
        <v>121</v>
      </c>
      <c r="J95" s="124">
        <v>44773</v>
      </c>
      <c r="K95" s="124">
        <v>44953</v>
      </c>
      <c r="L95" s="123" t="s">
        <v>131</v>
      </c>
      <c r="M95" s="122" t="s">
        <v>534</v>
      </c>
      <c r="N95" s="122" t="s">
        <v>458</v>
      </c>
      <c r="O95" s="123" t="s">
        <v>459</v>
      </c>
      <c r="P95" s="114">
        <f ca="1">IF($J95="","",MAX(0,INT((IF(OR($L95="Active",$L95="On Leave"),TODAY(),IFERROR(VLOOKUP($A95,'09_Attrition_Tracker'!$B:$G,6,FALSE),TODAY()))-$J95)/30)))</f>
        <v>45</v>
      </c>
      <c r="Q95" s="83" t="str">
        <f t="shared" ca="1" si="2"/>
        <v>2-5 yrs</v>
      </c>
      <c r="R95" s="83" t="str">
        <f t="shared" si="3"/>
        <v>Yes</v>
      </c>
      <c r="S95" s="112" t="str">
        <f>IFERROR(VLOOKUP($A95,'09_Attrition_Tracker'!$B:$M,12,FALSE),"No")</f>
        <v>No</v>
      </c>
    </row>
    <row r="96" spans="1:19">
      <c r="A96" s="136" t="s">
        <v>662</v>
      </c>
      <c r="B96" s="122" t="s">
        <v>663</v>
      </c>
      <c r="C96" s="122" t="s">
        <v>152</v>
      </c>
      <c r="D96" s="123" t="s">
        <v>450</v>
      </c>
      <c r="E96" s="122" t="s">
        <v>451</v>
      </c>
      <c r="F96" s="122" t="s">
        <v>452</v>
      </c>
      <c r="G96" s="122" t="s">
        <v>154</v>
      </c>
      <c r="H96" s="122" t="s">
        <v>440</v>
      </c>
      <c r="I96" s="123" t="s">
        <v>121</v>
      </c>
      <c r="J96" s="124">
        <v>43054</v>
      </c>
      <c r="K96" s="124">
        <v>43234</v>
      </c>
      <c r="L96" s="123" t="s">
        <v>131</v>
      </c>
      <c r="M96" s="122" t="s">
        <v>542</v>
      </c>
      <c r="N96" s="122" t="s">
        <v>137</v>
      </c>
      <c r="O96" s="123" t="s">
        <v>446</v>
      </c>
      <c r="P96" s="114">
        <f ca="1">IF($J96="","",MAX(0,INT((IF(OR($L96="Active",$L96="On Leave"),TODAY(),IFERROR(VLOOKUP($A96,'09_Attrition_Tracker'!$B:$G,6,FALSE),TODAY()))-$J96)/30)))</f>
        <v>103</v>
      </c>
      <c r="Q96" s="83" t="str">
        <f t="shared" ca="1" si="2"/>
        <v>5+ yrs</v>
      </c>
      <c r="R96" s="83" t="str">
        <f t="shared" si="3"/>
        <v>Yes</v>
      </c>
      <c r="S96" s="112" t="str">
        <f>IFERROR(VLOOKUP($A96,'09_Attrition_Tracker'!$B:$M,12,FALSE),"No")</f>
        <v>No</v>
      </c>
    </row>
    <row r="97" spans="1:19">
      <c r="A97" s="136" t="s">
        <v>664</v>
      </c>
      <c r="B97" s="122" t="s">
        <v>665</v>
      </c>
      <c r="C97" s="122" t="s">
        <v>271</v>
      </c>
      <c r="D97" s="123" t="s">
        <v>426</v>
      </c>
      <c r="E97" s="122" t="s">
        <v>521</v>
      </c>
      <c r="F97" s="122" t="s">
        <v>522</v>
      </c>
      <c r="G97" s="122" t="s">
        <v>408</v>
      </c>
      <c r="H97" s="122" t="s">
        <v>118</v>
      </c>
      <c r="I97" s="123" t="s">
        <v>121</v>
      </c>
      <c r="J97" s="124">
        <v>46018</v>
      </c>
      <c r="K97" s="124">
        <v>46198</v>
      </c>
      <c r="L97" s="123" t="s">
        <v>131</v>
      </c>
      <c r="M97" s="122" t="s">
        <v>511</v>
      </c>
      <c r="N97" s="122" t="s">
        <v>464</v>
      </c>
      <c r="O97" s="123" t="s">
        <v>140</v>
      </c>
      <c r="P97" s="114">
        <f ca="1">IF($J97="","",MAX(0,INT((IF(OR($L97="Active",$L97="On Leave"),TODAY(),IFERROR(VLOOKUP($A97,'09_Attrition_Tracker'!$B:$G,6,FALSE),TODAY()))-$J97)/30)))</f>
        <v>4</v>
      </c>
      <c r="Q97" s="83" t="str">
        <f t="shared" ca="1" si="2"/>
        <v>4-6 mos</v>
      </c>
      <c r="R97" s="83" t="str">
        <f t="shared" si="3"/>
        <v>Yes</v>
      </c>
      <c r="S97" s="112" t="str">
        <f>IFERROR(VLOOKUP($A97,'09_Attrition_Tracker'!$B:$M,12,FALSE),"No")</f>
        <v>No</v>
      </c>
    </row>
    <row r="98" spans="1:19">
      <c r="A98" s="136" t="s">
        <v>666</v>
      </c>
      <c r="B98" s="122" t="s">
        <v>667</v>
      </c>
      <c r="C98" s="122" t="s">
        <v>421</v>
      </c>
      <c r="D98" s="123" t="s">
        <v>437</v>
      </c>
      <c r="E98" s="122" t="s">
        <v>553</v>
      </c>
      <c r="F98" s="122" t="s">
        <v>554</v>
      </c>
      <c r="G98" s="122" t="s">
        <v>420</v>
      </c>
      <c r="H98" s="122" t="s">
        <v>118</v>
      </c>
      <c r="I98" s="123" t="s">
        <v>121</v>
      </c>
      <c r="J98" s="124">
        <v>44357</v>
      </c>
      <c r="K98" s="124">
        <v>44537</v>
      </c>
      <c r="L98" s="123" t="s">
        <v>131</v>
      </c>
      <c r="M98" s="122" t="s">
        <v>573</v>
      </c>
      <c r="N98" s="122" t="s">
        <v>464</v>
      </c>
      <c r="O98" s="123" t="s">
        <v>431</v>
      </c>
      <c r="P98" s="114">
        <f ca="1">IF($J98="","",MAX(0,INT((IF(OR($L98="Active",$L98="On Leave"),TODAY(),IFERROR(VLOOKUP($A98,'09_Attrition_Tracker'!$B:$G,6,FALSE),TODAY()))-$J98)/30)))</f>
        <v>59</v>
      </c>
      <c r="Q98" s="83" t="str">
        <f t="shared" ca="1" si="2"/>
        <v>2-5 yrs</v>
      </c>
      <c r="R98" s="83" t="str">
        <f t="shared" si="3"/>
        <v>Yes</v>
      </c>
      <c r="S98" s="112" t="str">
        <f>IFERROR(VLOOKUP($A98,'09_Attrition_Tracker'!$B:$M,12,FALSE),"No")</f>
        <v>No</v>
      </c>
    </row>
    <row r="99" spans="1:19">
      <c r="A99" s="136" t="s">
        <v>668</v>
      </c>
      <c r="B99" s="122" t="s">
        <v>488</v>
      </c>
      <c r="C99" s="122" t="s">
        <v>37</v>
      </c>
      <c r="D99" s="123" t="s">
        <v>437</v>
      </c>
      <c r="E99" s="122" t="s">
        <v>486</v>
      </c>
      <c r="F99" s="122" t="s">
        <v>260</v>
      </c>
      <c r="G99" s="122" t="s">
        <v>37</v>
      </c>
      <c r="H99" s="122" t="s">
        <v>118</v>
      </c>
      <c r="I99" s="123" t="s">
        <v>380</v>
      </c>
      <c r="J99" s="124">
        <v>43703</v>
      </c>
      <c r="K99" s="124">
        <v>43883</v>
      </c>
      <c r="L99" s="123" t="s">
        <v>381</v>
      </c>
      <c r="M99" s="122" t="s">
        <v>547</v>
      </c>
      <c r="N99" s="122" t="s">
        <v>464</v>
      </c>
      <c r="O99" s="123" t="s">
        <v>140</v>
      </c>
      <c r="P99" s="114">
        <f ca="1">IF($J99="","",MAX(0,INT((IF(OR($L99="Active",$L99="On Leave"),TODAY(),IFERROR(VLOOKUP($A99,'09_Attrition_Tracker'!$B:$G,6,FALSE),TODAY()))-$J99)/30)))</f>
        <v>79</v>
      </c>
      <c r="Q99" s="83" t="str">
        <f t="shared" ca="1" si="2"/>
        <v>5+ yrs</v>
      </c>
      <c r="R99" s="83" t="str">
        <f t="shared" si="3"/>
        <v>No</v>
      </c>
      <c r="S99" s="112" t="str">
        <f>IFERROR(VLOOKUP($A99,'09_Attrition_Tracker'!$B:$M,12,FALSE),"No")</f>
        <v>No</v>
      </c>
    </row>
    <row r="100" spans="1:19">
      <c r="A100" s="136" t="s">
        <v>669</v>
      </c>
      <c r="B100" s="122" t="s">
        <v>670</v>
      </c>
      <c r="C100" s="122" t="s">
        <v>416</v>
      </c>
      <c r="D100" s="123" t="s">
        <v>108</v>
      </c>
      <c r="E100" s="122" t="s">
        <v>540</v>
      </c>
      <c r="F100" s="122" t="s">
        <v>541</v>
      </c>
      <c r="G100" s="122" t="s">
        <v>411</v>
      </c>
      <c r="H100" s="122" t="s">
        <v>429</v>
      </c>
      <c r="I100" s="123" t="s">
        <v>380</v>
      </c>
      <c r="J100" s="124">
        <v>45525</v>
      </c>
      <c r="K100" s="124">
        <v>45705</v>
      </c>
      <c r="L100" s="123" t="s">
        <v>131</v>
      </c>
      <c r="M100" s="122"/>
      <c r="N100" s="122" t="s">
        <v>458</v>
      </c>
      <c r="O100" s="123" t="s">
        <v>140</v>
      </c>
      <c r="P100" s="114">
        <f ca="1">IF($J100="","",MAX(0,INT((IF(OR($L100="Active",$L100="On Leave"),TODAY(),IFERROR(VLOOKUP($A100,'09_Attrition_Tracker'!$B:$G,6,FALSE),TODAY()))-$J100)/30)))</f>
        <v>20</v>
      </c>
      <c r="Q100" s="83" t="str">
        <f t="shared" ca="1" si="2"/>
        <v>1-2 yrs</v>
      </c>
      <c r="R100" s="83" t="str">
        <f t="shared" si="3"/>
        <v>Yes</v>
      </c>
      <c r="S100" s="112" t="str">
        <f>IFERROR(VLOOKUP($A100,'09_Attrition_Tracker'!$B:$M,12,FALSE),"No")</f>
        <v>No</v>
      </c>
    </row>
    <row r="101" spans="1:19">
      <c r="A101" s="136" t="s">
        <v>671</v>
      </c>
      <c r="B101" s="122" t="s">
        <v>672</v>
      </c>
      <c r="C101" s="122" t="s">
        <v>379</v>
      </c>
      <c r="D101" s="123" t="s">
        <v>108</v>
      </c>
      <c r="E101" s="122" t="s">
        <v>587</v>
      </c>
      <c r="F101" s="122" t="s">
        <v>588</v>
      </c>
      <c r="G101" s="122" t="s">
        <v>390</v>
      </c>
      <c r="H101" s="122" t="s">
        <v>434</v>
      </c>
      <c r="I101" s="123" t="s">
        <v>121</v>
      </c>
      <c r="J101" s="124">
        <v>45997</v>
      </c>
      <c r="K101" s="124">
        <v>46177</v>
      </c>
      <c r="L101" s="123" t="s">
        <v>131</v>
      </c>
      <c r="M101" s="122" t="s">
        <v>442</v>
      </c>
      <c r="N101" s="122" t="s">
        <v>447</v>
      </c>
      <c r="O101" s="123" t="s">
        <v>459</v>
      </c>
      <c r="P101" s="114">
        <f ca="1">IF($J101="","",MAX(0,INT((IF(OR($L101="Active",$L101="On Leave"),TODAY(),IFERROR(VLOOKUP($A101,'09_Attrition_Tracker'!$B:$G,6,FALSE),TODAY()))-$J101)/30)))</f>
        <v>4</v>
      </c>
      <c r="Q101" s="83" t="str">
        <f t="shared" ca="1" si="2"/>
        <v>4-6 mos</v>
      </c>
      <c r="R101" s="83" t="str">
        <f t="shared" si="3"/>
        <v>Yes</v>
      </c>
      <c r="S101" s="112" t="str">
        <f>IFERROR(VLOOKUP($A101,'09_Attrition_Tracker'!$B:$M,12,FALSE),"No")</f>
        <v>No</v>
      </c>
    </row>
    <row r="102" spans="1:19">
      <c r="A102" s="136" t="s">
        <v>673</v>
      </c>
      <c r="B102" s="122" t="s">
        <v>535</v>
      </c>
      <c r="C102" s="122" t="s">
        <v>407</v>
      </c>
      <c r="D102" s="123" t="s">
        <v>426</v>
      </c>
      <c r="E102" s="122" t="s">
        <v>501</v>
      </c>
      <c r="F102" s="122" t="s">
        <v>502</v>
      </c>
      <c r="G102" s="122" t="s">
        <v>417</v>
      </c>
      <c r="H102" s="122" t="s">
        <v>118</v>
      </c>
      <c r="I102" s="123" t="s">
        <v>121</v>
      </c>
      <c r="J102" s="124">
        <v>45255</v>
      </c>
      <c r="K102" s="124">
        <v>45435</v>
      </c>
      <c r="L102" s="123" t="s">
        <v>131</v>
      </c>
      <c r="M102" s="122" t="s">
        <v>538</v>
      </c>
      <c r="N102" s="122" t="s">
        <v>475</v>
      </c>
      <c r="O102" s="123" t="s">
        <v>446</v>
      </c>
      <c r="P102" s="114">
        <f ca="1">IF($J102="","",MAX(0,INT((IF(OR($L102="Active",$L102="On Leave"),TODAY(),IFERROR(VLOOKUP($A102,'09_Attrition_Tracker'!$B:$G,6,FALSE),TODAY()))-$J102)/30)))</f>
        <v>29</v>
      </c>
      <c r="Q102" s="83" t="str">
        <f t="shared" ca="1" si="2"/>
        <v>2-5 yrs</v>
      </c>
      <c r="R102" s="83" t="str">
        <f t="shared" si="3"/>
        <v>Yes</v>
      </c>
      <c r="S102" s="112" t="str">
        <f>IFERROR(VLOOKUP($A102,'09_Attrition_Tracker'!$B:$M,12,FALSE),"No")</f>
        <v>No</v>
      </c>
    </row>
    <row r="103" spans="1:19">
      <c r="A103" s="136" t="s">
        <v>674</v>
      </c>
      <c r="B103" s="122" t="s">
        <v>675</v>
      </c>
      <c r="C103" s="122" t="s">
        <v>104</v>
      </c>
      <c r="D103" s="123" t="s">
        <v>437</v>
      </c>
      <c r="E103" s="122" t="s">
        <v>495</v>
      </c>
      <c r="F103" s="122" t="s">
        <v>496</v>
      </c>
      <c r="G103" s="122" t="s">
        <v>104</v>
      </c>
      <c r="H103" s="122" t="s">
        <v>118</v>
      </c>
      <c r="I103" s="123" t="s">
        <v>121</v>
      </c>
      <c r="J103" s="124">
        <v>43159</v>
      </c>
      <c r="K103" s="124"/>
      <c r="L103" s="123" t="s">
        <v>131</v>
      </c>
      <c r="M103" s="122" t="s">
        <v>302</v>
      </c>
      <c r="N103" s="122" t="s">
        <v>441</v>
      </c>
      <c r="O103" s="123" t="s">
        <v>453</v>
      </c>
      <c r="P103" s="114">
        <f ca="1">IF($J103="","",MAX(0,INT((IF(OR($L103="Active",$L103="On Leave"),TODAY(),IFERROR(VLOOKUP($A103,'09_Attrition_Tracker'!$B:$G,6,FALSE),TODAY()))-$J103)/30)))</f>
        <v>99</v>
      </c>
      <c r="Q103" s="83" t="str">
        <f t="shared" ca="1" si="2"/>
        <v>5+ yrs</v>
      </c>
      <c r="R103" s="83" t="str">
        <f t="shared" si="3"/>
        <v>Yes</v>
      </c>
      <c r="S103" s="112" t="str">
        <f>IFERROR(VLOOKUP($A103,'09_Attrition_Tracker'!$B:$M,12,FALSE),"No")</f>
        <v>No</v>
      </c>
    </row>
    <row r="104" spans="1:19">
      <c r="A104" s="136" t="s">
        <v>676</v>
      </c>
      <c r="B104" s="122" t="s">
        <v>677</v>
      </c>
      <c r="C104" s="122" t="s">
        <v>37</v>
      </c>
      <c r="D104" s="123" t="s">
        <v>108</v>
      </c>
      <c r="E104" s="122" t="s">
        <v>486</v>
      </c>
      <c r="F104" s="122" t="s">
        <v>260</v>
      </c>
      <c r="G104" s="122" t="s">
        <v>37</v>
      </c>
      <c r="H104" s="122" t="s">
        <v>434</v>
      </c>
      <c r="I104" s="123" t="s">
        <v>121</v>
      </c>
      <c r="J104" s="124">
        <v>44410</v>
      </c>
      <c r="K104" s="124">
        <v>44590</v>
      </c>
      <c r="L104" s="123" t="s">
        <v>131</v>
      </c>
      <c r="M104" s="122" t="s">
        <v>559</v>
      </c>
      <c r="N104" s="122" t="s">
        <v>464</v>
      </c>
      <c r="O104" s="123" t="s">
        <v>431</v>
      </c>
      <c r="P104" s="114">
        <f ca="1">IF($J104="","",MAX(0,INT((IF(OR($L104="Active",$L104="On Leave"),TODAY(),IFERROR(VLOOKUP($A104,'09_Attrition_Tracker'!$B:$G,6,FALSE),TODAY()))-$J104)/30)))</f>
        <v>57</v>
      </c>
      <c r="Q104" s="83" t="str">
        <f t="shared" ca="1" si="2"/>
        <v>2-5 yrs</v>
      </c>
      <c r="R104" s="83" t="str">
        <f t="shared" si="3"/>
        <v>Yes</v>
      </c>
      <c r="S104" s="112" t="str">
        <f>IFERROR(VLOOKUP($A104,'09_Attrition_Tracker'!$B:$M,12,FALSE),"No")</f>
        <v>No</v>
      </c>
    </row>
    <row r="105" spans="1:19">
      <c r="A105" s="136" t="s">
        <v>678</v>
      </c>
      <c r="B105" s="122" t="s">
        <v>488</v>
      </c>
      <c r="C105" s="122" t="s">
        <v>407</v>
      </c>
      <c r="D105" s="123" t="s">
        <v>450</v>
      </c>
      <c r="E105" s="122" t="s">
        <v>469</v>
      </c>
      <c r="F105" s="122" t="s">
        <v>470</v>
      </c>
      <c r="G105" s="122" t="s">
        <v>417</v>
      </c>
      <c r="H105" s="122" t="s">
        <v>434</v>
      </c>
      <c r="I105" s="123" t="s">
        <v>121</v>
      </c>
      <c r="J105" s="124">
        <v>44101</v>
      </c>
      <c r="K105" s="124"/>
      <c r="L105" s="123" t="s">
        <v>381</v>
      </c>
      <c r="M105" s="122" t="s">
        <v>499</v>
      </c>
      <c r="N105" s="122" t="s">
        <v>464</v>
      </c>
      <c r="O105" s="123" t="s">
        <v>446</v>
      </c>
      <c r="P105" s="114">
        <f ca="1">IF($J105="","",MAX(0,INT((IF(OR($L105="Active",$L105="On Leave"),TODAY(),IFERROR(VLOOKUP($A105,'09_Attrition_Tracker'!$B:$G,6,FALSE),TODAY()))-$J105)/30)))</f>
        <v>54</v>
      </c>
      <c r="Q105" s="83" t="str">
        <f t="shared" ca="1" si="2"/>
        <v>2-5 yrs</v>
      </c>
      <c r="R105" s="83" t="str">
        <f t="shared" si="3"/>
        <v>No</v>
      </c>
      <c r="S105" s="112" t="str">
        <f>IFERROR(VLOOKUP($A105,'09_Attrition_Tracker'!$B:$M,12,FALSE),"No")</f>
        <v>Yes</v>
      </c>
    </row>
    <row r="106" spans="1:19">
      <c r="A106" s="136" t="s">
        <v>679</v>
      </c>
      <c r="B106" s="122" t="s">
        <v>680</v>
      </c>
      <c r="C106" s="122" t="s">
        <v>37</v>
      </c>
      <c r="D106" s="123" t="s">
        <v>437</v>
      </c>
      <c r="E106" s="122" t="s">
        <v>536</v>
      </c>
      <c r="F106" s="122" t="s">
        <v>537</v>
      </c>
      <c r="G106" s="122" t="s">
        <v>37</v>
      </c>
      <c r="H106" s="122" t="s">
        <v>118</v>
      </c>
      <c r="I106" s="123" t="s">
        <v>391</v>
      </c>
      <c r="J106" s="124">
        <v>45382</v>
      </c>
      <c r="K106" s="124">
        <v>45562</v>
      </c>
      <c r="L106" s="123" t="s">
        <v>131</v>
      </c>
      <c r="M106" s="122" t="s">
        <v>499</v>
      </c>
      <c r="N106" s="122" t="s">
        <v>458</v>
      </c>
      <c r="O106" s="123" t="s">
        <v>453</v>
      </c>
      <c r="P106" s="114">
        <f ca="1">IF($J106="","",MAX(0,INT((IF(OR($L106="Active",$L106="On Leave"),TODAY(),IFERROR(VLOOKUP($A106,'09_Attrition_Tracker'!$B:$G,6,FALSE),TODAY()))-$J106)/30)))</f>
        <v>25</v>
      </c>
      <c r="Q106" s="83" t="str">
        <f t="shared" ca="1" si="2"/>
        <v>2-5 yrs</v>
      </c>
      <c r="R106" s="83" t="str">
        <f t="shared" si="3"/>
        <v>Yes</v>
      </c>
      <c r="S106" s="112" t="str">
        <f>IFERROR(VLOOKUP($A106,'09_Attrition_Tracker'!$B:$M,12,FALSE),"No")</f>
        <v>No</v>
      </c>
    </row>
    <row r="107" spans="1:19">
      <c r="A107" s="136" t="s">
        <v>681</v>
      </c>
      <c r="B107" s="122" t="s">
        <v>682</v>
      </c>
      <c r="C107" s="122" t="s">
        <v>371</v>
      </c>
      <c r="D107" s="123" t="s">
        <v>426</v>
      </c>
      <c r="E107" s="122" t="s">
        <v>462</v>
      </c>
      <c r="F107" s="122" t="s">
        <v>463</v>
      </c>
      <c r="G107" s="122" t="s">
        <v>371</v>
      </c>
      <c r="H107" s="122" t="s">
        <v>434</v>
      </c>
      <c r="I107" s="123" t="s">
        <v>121</v>
      </c>
      <c r="J107" s="124">
        <v>43947</v>
      </c>
      <c r="K107" s="124">
        <v>44127</v>
      </c>
      <c r="L107" s="123" t="s">
        <v>131</v>
      </c>
      <c r="M107" s="122" t="s">
        <v>534</v>
      </c>
      <c r="N107" s="122" t="s">
        <v>515</v>
      </c>
      <c r="O107" s="123" t="s">
        <v>431</v>
      </c>
      <c r="P107" s="114">
        <f ca="1">IF($J107="","",MAX(0,INT((IF(OR($L107="Active",$L107="On Leave"),TODAY(),IFERROR(VLOOKUP($A107,'09_Attrition_Tracker'!$B:$G,6,FALSE),TODAY()))-$J107)/30)))</f>
        <v>73</v>
      </c>
      <c r="Q107" s="83" t="str">
        <f t="shared" ca="1" si="2"/>
        <v>5+ yrs</v>
      </c>
      <c r="R107" s="83" t="str">
        <f t="shared" si="3"/>
        <v>Yes</v>
      </c>
      <c r="S107" s="112" t="str">
        <f>IFERROR(VLOOKUP($A107,'09_Attrition_Tracker'!$B:$M,12,FALSE),"No")</f>
        <v>No</v>
      </c>
    </row>
    <row r="108" spans="1:19">
      <c r="A108" s="136" t="s">
        <v>683</v>
      </c>
      <c r="B108" s="122" t="s">
        <v>684</v>
      </c>
      <c r="C108" s="122" t="s">
        <v>176</v>
      </c>
      <c r="D108" s="123" t="s">
        <v>437</v>
      </c>
      <c r="E108" s="122" t="s">
        <v>577</v>
      </c>
      <c r="F108" s="122" t="s">
        <v>578</v>
      </c>
      <c r="G108" s="122" t="s">
        <v>154</v>
      </c>
      <c r="H108" s="122" t="s">
        <v>118</v>
      </c>
      <c r="I108" s="123" t="s">
        <v>391</v>
      </c>
      <c r="J108" s="124">
        <v>45689</v>
      </c>
      <c r="K108" s="124">
        <v>45869</v>
      </c>
      <c r="L108" s="123" t="s">
        <v>131</v>
      </c>
      <c r="M108" s="122" t="s">
        <v>567</v>
      </c>
      <c r="N108" s="122" t="s">
        <v>430</v>
      </c>
      <c r="O108" s="123" t="s">
        <v>453</v>
      </c>
      <c r="P108" s="114">
        <f ca="1">IF($J108="","",MAX(0,INT((IF(OR($L108="Active",$L108="On Leave"),TODAY(),IFERROR(VLOOKUP($A108,'09_Attrition_Tracker'!$B:$G,6,FALSE),TODAY()))-$J108)/30)))</f>
        <v>15</v>
      </c>
      <c r="Q108" s="83" t="str">
        <f t="shared" ca="1" si="2"/>
        <v>1-2 yrs</v>
      </c>
      <c r="R108" s="83" t="str">
        <f t="shared" si="3"/>
        <v>Yes</v>
      </c>
      <c r="S108" s="112" t="str">
        <f>IFERROR(VLOOKUP($A108,'09_Attrition_Tracker'!$B:$M,12,FALSE),"No")</f>
        <v>No</v>
      </c>
    </row>
    <row r="109" spans="1:19">
      <c r="A109" s="136" t="s">
        <v>685</v>
      </c>
      <c r="B109" s="122" t="s">
        <v>566</v>
      </c>
      <c r="C109" s="122" t="s">
        <v>104</v>
      </c>
      <c r="D109" s="123" t="s">
        <v>450</v>
      </c>
      <c r="E109" s="122" t="s">
        <v>495</v>
      </c>
      <c r="F109" s="122" t="s">
        <v>496</v>
      </c>
      <c r="G109" s="122" t="s">
        <v>104</v>
      </c>
      <c r="H109" s="122" t="s">
        <v>118</v>
      </c>
      <c r="I109" s="123" t="s">
        <v>121</v>
      </c>
      <c r="J109" s="124">
        <v>43530</v>
      </c>
      <c r="K109" s="124">
        <v>43710</v>
      </c>
      <c r="L109" s="123" t="s">
        <v>131</v>
      </c>
      <c r="M109" s="122" t="s">
        <v>497</v>
      </c>
      <c r="N109" s="122" t="s">
        <v>137</v>
      </c>
      <c r="O109" s="123" t="s">
        <v>140</v>
      </c>
      <c r="P109" s="114">
        <f ca="1">IF($J109="","",MAX(0,INT((IF(OR($L109="Active",$L109="On Leave"),TODAY(),IFERROR(VLOOKUP($A109,'09_Attrition_Tracker'!$B:$G,6,FALSE),TODAY()))-$J109)/30)))</f>
        <v>87</v>
      </c>
      <c r="Q109" s="83" t="str">
        <f t="shared" ca="1" si="2"/>
        <v>5+ yrs</v>
      </c>
      <c r="R109" s="83" t="str">
        <f t="shared" si="3"/>
        <v>Yes</v>
      </c>
      <c r="S109" s="112" t="str">
        <f>IFERROR(VLOOKUP($A109,'09_Attrition_Tracker'!$B:$M,12,FALSE),"No")</f>
        <v>No</v>
      </c>
    </row>
    <row r="110" spans="1:19">
      <c r="A110" s="136" t="s">
        <v>686</v>
      </c>
      <c r="B110" s="122" t="s">
        <v>636</v>
      </c>
      <c r="C110" s="122" t="s">
        <v>421</v>
      </c>
      <c r="D110" s="123" t="s">
        <v>426</v>
      </c>
      <c r="E110" s="122" t="s">
        <v>478</v>
      </c>
      <c r="F110" s="122" t="s">
        <v>479</v>
      </c>
      <c r="G110" s="122" t="s">
        <v>420</v>
      </c>
      <c r="H110" s="122" t="s">
        <v>118</v>
      </c>
      <c r="I110" s="123" t="s">
        <v>121</v>
      </c>
      <c r="J110" s="124">
        <v>45362</v>
      </c>
      <c r="K110" s="124">
        <v>45542</v>
      </c>
      <c r="L110" s="123" t="s">
        <v>131</v>
      </c>
      <c r="M110" s="122" t="s">
        <v>448</v>
      </c>
      <c r="N110" s="122" t="s">
        <v>515</v>
      </c>
      <c r="O110" s="123" t="s">
        <v>446</v>
      </c>
      <c r="P110" s="114">
        <f ca="1">IF($J110="","",MAX(0,INT((IF(OR($L110="Active",$L110="On Leave"),TODAY(),IFERROR(VLOOKUP($A110,'09_Attrition_Tracker'!$B:$G,6,FALSE),TODAY()))-$J110)/30)))</f>
        <v>26</v>
      </c>
      <c r="Q110" s="83" t="str">
        <f t="shared" ca="1" si="2"/>
        <v>2-5 yrs</v>
      </c>
      <c r="R110" s="83" t="str">
        <f t="shared" si="3"/>
        <v>Yes</v>
      </c>
      <c r="S110" s="112" t="str">
        <f>IFERROR(VLOOKUP($A110,'09_Attrition_Tracker'!$B:$M,12,FALSE),"No")</f>
        <v>No</v>
      </c>
    </row>
    <row r="111" spans="1:19">
      <c r="A111" s="136" t="s">
        <v>687</v>
      </c>
      <c r="B111" s="122" t="s">
        <v>688</v>
      </c>
      <c r="C111" s="122" t="s">
        <v>104</v>
      </c>
      <c r="D111" s="123" t="s">
        <v>426</v>
      </c>
      <c r="E111" s="122" t="s">
        <v>495</v>
      </c>
      <c r="F111" s="122" t="s">
        <v>496</v>
      </c>
      <c r="G111" s="122" t="s">
        <v>104</v>
      </c>
      <c r="H111" s="122" t="s">
        <v>118</v>
      </c>
      <c r="I111" s="123" t="s">
        <v>121</v>
      </c>
      <c r="J111" s="124">
        <v>43645</v>
      </c>
      <c r="K111" s="124"/>
      <c r="L111" s="123" t="s">
        <v>131</v>
      </c>
      <c r="M111" s="122" t="s">
        <v>518</v>
      </c>
      <c r="N111" s="122" t="s">
        <v>458</v>
      </c>
      <c r="O111" s="123" t="s">
        <v>140</v>
      </c>
      <c r="P111" s="114">
        <f ca="1">IF($J111="","",MAX(0,INT((IF(OR($L111="Active",$L111="On Leave"),TODAY(),IFERROR(VLOOKUP($A111,'09_Attrition_Tracker'!$B:$G,6,FALSE),TODAY()))-$J111)/30)))</f>
        <v>83</v>
      </c>
      <c r="Q111" s="83" t="str">
        <f t="shared" ca="1" si="2"/>
        <v>5+ yrs</v>
      </c>
      <c r="R111" s="83" t="str">
        <f t="shared" si="3"/>
        <v>Yes</v>
      </c>
      <c r="S111" s="112" t="str">
        <f>IFERROR(VLOOKUP($A111,'09_Attrition_Tracker'!$B:$M,12,FALSE),"No")</f>
        <v>No</v>
      </c>
    </row>
    <row r="112" spans="1:19">
      <c r="A112" s="136" t="s">
        <v>689</v>
      </c>
      <c r="B112" s="122" t="s">
        <v>690</v>
      </c>
      <c r="C112" s="122" t="s">
        <v>379</v>
      </c>
      <c r="D112" s="123" t="s">
        <v>426</v>
      </c>
      <c r="E112" s="122" t="s">
        <v>587</v>
      </c>
      <c r="F112" s="122" t="s">
        <v>588</v>
      </c>
      <c r="G112" s="122" t="s">
        <v>390</v>
      </c>
      <c r="H112" s="122" t="s">
        <v>118</v>
      </c>
      <c r="I112" s="123" t="s">
        <v>121</v>
      </c>
      <c r="J112" s="124">
        <v>44041</v>
      </c>
      <c r="K112" s="124">
        <v>44221</v>
      </c>
      <c r="L112" s="123" t="s">
        <v>131</v>
      </c>
      <c r="M112" s="122" t="s">
        <v>460</v>
      </c>
      <c r="N112" s="122" t="s">
        <v>441</v>
      </c>
      <c r="O112" s="123" t="s">
        <v>140</v>
      </c>
      <c r="P112" s="114">
        <f ca="1">IF($J112="","",MAX(0,INT((IF(OR($L112="Active",$L112="On Leave"),TODAY(),IFERROR(VLOOKUP($A112,'09_Attrition_Tracker'!$B:$G,6,FALSE),TODAY()))-$J112)/30)))</f>
        <v>70</v>
      </c>
      <c r="Q112" s="83" t="str">
        <f t="shared" ca="1" si="2"/>
        <v>5+ yrs</v>
      </c>
      <c r="R112" s="83" t="str">
        <f t="shared" si="3"/>
        <v>Yes</v>
      </c>
      <c r="S112" s="112" t="str">
        <f>IFERROR(VLOOKUP($A112,'09_Attrition_Tracker'!$B:$M,12,FALSE),"No")</f>
        <v>No</v>
      </c>
    </row>
    <row r="113" spans="1:19">
      <c r="A113" s="136" t="s">
        <v>691</v>
      </c>
      <c r="B113" s="122" t="s">
        <v>692</v>
      </c>
      <c r="C113" s="122" t="s">
        <v>416</v>
      </c>
      <c r="D113" s="123" t="s">
        <v>450</v>
      </c>
      <c r="E113" s="122" t="s">
        <v>540</v>
      </c>
      <c r="F113" s="122" t="s">
        <v>541</v>
      </c>
      <c r="G113" s="122" t="s">
        <v>411</v>
      </c>
      <c r="H113" s="122" t="s">
        <v>429</v>
      </c>
      <c r="I113" s="123" t="s">
        <v>121</v>
      </c>
      <c r="J113" s="124">
        <v>42813</v>
      </c>
      <c r="K113" s="124">
        <v>42993</v>
      </c>
      <c r="L113" s="123" t="s">
        <v>131</v>
      </c>
      <c r="M113" s="122"/>
      <c r="N113" s="122" t="s">
        <v>430</v>
      </c>
      <c r="O113" s="123" t="s">
        <v>140</v>
      </c>
      <c r="P113" s="114">
        <f ca="1">IF($J113="","",MAX(0,INT((IF(OR($L113="Active",$L113="On Leave"),TODAY(),IFERROR(VLOOKUP($A113,'09_Attrition_Tracker'!$B:$G,6,FALSE),TODAY()))-$J113)/30)))</f>
        <v>111</v>
      </c>
      <c r="Q113" s="83" t="str">
        <f t="shared" ca="1" si="2"/>
        <v>5+ yrs</v>
      </c>
      <c r="R113" s="83" t="str">
        <f t="shared" si="3"/>
        <v>Yes</v>
      </c>
      <c r="S113" s="112" t="str">
        <f>IFERROR(VLOOKUP($A113,'09_Attrition_Tracker'!$B:$M,12,FALSE),"No")</f>
        <v>No</v>
      </c>
    </row>
    <row r="114" spans="1:19">
      <c r="A114" s="136" t="s">
        <v>693</v>
      </c>
      <c r="B114" s="122" t="s">
        <v>694</v>
      </c>
      <c r="C114" s="122" t="s">
        <v>379</v>
      </c>
      <c r="D114" s="123" t="s">
        <v>426</v>
      </c>
      <c r="E114" s="122" t="s">
        <v>456</v>
      </c>
      <c r="F114" s="122" t="s">
        <v>457</v>
      </c>
      <c r="G114" s="122" t="s">
        <v>390</v>
      </c>
      <c r="H114" s="122" t="s">
        <v>118</v>
      </c>
      <c r="I114" s="123" t="s">
        <v>121</v>
      </c>
      <c r="J114" s="124">
        <v>45353</v>
      </c>
      <c r="K114" s="124">
        <v>45533</v>
      </c>
      <c r="L114" s="123" t="s">
        <v>131</v>
      </c>
      <c r="M114" s="122" t="s">
        <v>528</v>
      </c>
      <c r="N114" s="122" t="s">
        <v>475</v>
      </c>
      <c r="O114" s="123" t="s">
        <v>140</v>
      </c>
      <c r="P114" s="114">
        <f ca="1">IF($J114="","",MAX(0,INT((IF(OR($L114="Active",$L114="On Leave"),TODAY(),IFERROR(VLOOKUP($A114,'09_Attrition_Tracker'!$B:$G,6,FALSE),TODAY()))-$J114)/30)))</f>
        <v>26</v>
      </c>
      <c r="Q114" s="83" t="str">
        <f t="shared" ca="1" si="2"/>
        <v>2-5 yrs</v>
      </c>
      <c r="R114" s="83" t="str">
        <f t="shared" si="3"/>
        <v>Yes</v>
      </c>
      <c r="S114" s="112" t="str">
        <f>IFERROR(VLOOKUP($A114,'09_Attrition_Tracker'!$B:$M,12,FALSE),"No")</f>
        <v>No</v>
      </c>
    </row>
    <row r="115" spans="1:19">
      <c r="A115" s="136" t="s">
        <v>695</v>
      </c>
      <c r="B115" s="122" t="s">
        <v>696</v>
      </c>
      <c r="C115" s="122" t="s">
        <v>271</v>
      </c>
      <c r="D115" s="123" t="s">
        <v>108</v>
      </c>
      <c r="E115" s="122" t="s">
        <v>521</v>
      </c>
      <c r="F115" s="122" t="s">
        <v>522</v>
      </c>
      <c r="G115" s="122" t="s">
        <v>408</v>
      </c>
      <c r="H115" s="122" t="s">
        <v>434</v>
      </c>
      <c r="I115" s="123" t="s">
        <v>121</v>
      </c>
      <c r="J115" s="124">
        <v>43721</v>
      </c>
      <c r="K115" s="124">
        <v>43901</v>
      </c>
      <c r="L115" s="123" t="s">
        <v>131</v>
      </c>
      <c r="M115" s="122" t="s">
        <v>302</v>
      </c>
      <c r="N115" s="122" t="s">
        <v>447</v>
      </c>
      <c r="O115" s="123" t="s">
        <v>453</v>
      </c>
      <c r="P115" s="114">
        <f ca="1">IF($J115="","",MAX(0,INT((IF(OR($L115="Active",$L115="On Leave"),TODAY(),IFERROR(VLOOKUP($A115,'09_Attrition_Tracker'!$B:$G,6,FALSE),TODAY()))-$J115)/30)))</f>
        <v>80</v>
      </c>
      <c r="Q115" s="83" t="str">
        <f t="shared" ca="1" si="2"/>
        <v>5+ yrs</v>
      </c>
      <c r="R115" s="83" t="str">
        <f t="shared" si="3"/>
        <v>Yes</v>
      </c>
      <c r="S115" s="112" t="str">
        <f>IFERROR(VLOOKUP($A115,'09_Attrition_Tracker'!$B:$M,12,FALSE),"No")</f>
        <v>No</v>
      </c>
    </row>
    <row r="116" spans="1:19">
      <c r="A116" s="136" t="s">
        <v>697</v>
      </c>
      <c r="B116" s="122" t="s">
        <v>698</v>
      </c>
      <c r="C116" s="122" t="s">
        <v>152</v>
      </c>
      <c r="D116" s="123" t="s">
        <v>426</v>
      </c>
      <c r="E116" s="122" t="s">
        <v>427</v>
      </c>
      <c r="F116" s="122" t="s">
        <v>428</v>
      </c>
      <c r="G116" s="122" t="s">
        <v>154</v>
      </c>
      <c r="H116" s="122" t="s">
        <v>429</v>
      </c>
      <c r="I116" s="123" t="s">
        <v>121</v>
      </c>
      <c r="J116" s="124">
        <v>43774</v>
      </c>
      <c r="K116" s="124">
        <v>43954</v>
      </c>
      <c r="L116" s="123" t="s">
        <v>131</v>
      </c>
      <c r="M116" s="122"/>
      <c r="N116" s="122" t="s">
        <v>464</v>
      </c>
      <c r="O116" s="123" t="s">
        <v>431</v>
      </c>
      <c r="P116" s="114">
        <f ca="1">IF($J116="","",MAX(0,INT((IF(OR($L116="Active",$L116="On Leave"),TODAY(),IFERROR(VLOOKUP($A116,'09_Attrition_Tracker'!$B:$G,6,FALSE),TODAY()))-$J116)/30)))</f>
        <v>79</v>
      </c>
      <c r="Q116" s="83" t="str">
        <f t="shared" ca="1" si="2"/>
        <v>5+ yrs</v>
      </c>
      <c r="R116" s="83" t="str">
        <f t="shared" si="3"/>
        <v>Yes</v>
      </c>
      <c r="S116" s="112" t="str">
        <f>IFERROR(VLOOKUP($A116,'09_Attrition_Tracker'!$B:$M,12,FALSE),"No")</f>
        <v>No</v>
      </c>
    </row>
    <row r="117" spans="1:19">
      <c r="A117" s="136" t="s">
        <v>699</v>
      </c>
      <c r="B117" s="122" t="s">
        <v>700</v>
      </c>
      <c r="C117" s="122" t="s">
        <v>176</v>
      </c>
      <c r="D117" s="123" t="s">
        <v>437</v>
      </c>
      <c r="E117" s="122" t="s">
        <v>577</v>
      </c>
      <c r="F117" s="122" t="s">
        <v>578</v>
      </c>
      <c r="G117" s="122" t="s">
        <v>154</v>
      </c>
      <c r="H117" s="122" t="s">
        <v>118</v>
      </c>
      <c r="I117" s="123" t="s">
        <v>380</v>
      </c>
      <c r="J117" s="124">
        <v>46068</v>
      </c>
      <c r="K117" s="124"/>
      <c r="L117" s="123" t="s">
        <v>131</v>
      </c>
      <c r="M117" s="122" t="s">
        <v>527</v>
      </c>
      <c r="N117" s="122" t="s">
        <v>464</v>
      </c>
      <c r="O117" s="123" t="s">
        <v>453</v>
      </c>
      <c r="P117" s="114">
        <f ca="1">IF($J117="","",MAX(0,INT((IF(OR($L117="Active",$L117="On Leave"),TODAY(),IFERROR(VLOOKUP($A117,'09_Attrition_Tracker'!$B:$G,6,FALSE),TODAY()))-$J117)/30)))</f>
        <v>2</v>
      </c>
      <c r="Q117" s="83" t="str">
        <f t="shared" ca="1" si="2"/>
        <v>0-3 mos</v>
      </c>
      <c r="R117" s="83" t="str">
        <f t="shared" si="3"/>
        <v>Yes</v>
      </c>
      <c r="S117" s="112" t="str">
        <f>IFERROR(VLOOKUP($A117,'09_Attrition_Tracker'!$B:$M,12,FALSE),"No")</f>
        <v>No</v>
      </c>
    </row>
    <row r="118" spans="1:19">
      <c r="A118" s="136" t="s">
        <v>701</v>
      </c>
      <c r="B118" s="122" t="s">
        <v>702</v>
      </c>
      <c r="C118" s="122" t="s">
        <v>407</v>
      </c>
      <c r="D118" s="123" t="s">
        <v>450</v>
      </c>
      <c r="E118" s="122" t="s">
        <v>501</v>
      </c>
      <c r="F118" s="122" t="s">
        <v>502</v>
      </c>
      <c r="G118" s="122" t="s">
        <v>417</v>
      </c>
      <c r="H118" s="122" t="s">
        <v>118</v>
      </c>
      <c r="I118" s="123" t="s">
        <v>121</v>
      </c>
      <c r="J118" s="124">
        <v>42907</v>
      </c>
      <c r="K118" s="124">
        <v>43087</v>
      </c>
      <c r="L118" s="123" t="s">
        <v>131</v>
      </c>
      <c r="M118" s="122" t="s">
        <v>534</v>
      </c>
      <c r="N118" s="122" t="s">
        <v>475</v>
      </c>
      <c r="O118" s="123" t="s">
        <v>446</v>
      </c>
      <c r="P118" s="114">
        <f ca="1">IF($J118="","",MAX(0,INT((IF(OR($L118="Active",$L118="On Leave"),TODAY(),IFERROR(VLOOKUP($A118,'09_Attrition_Tracker'!$B:$G,6,FALSE),TODAY()))-$J118)/30)))</f>
        <v>107</v>
      </c>
      <c r="Q118" s="83" t="str">
        <f t="shared" ca="1" si="2"/>
        <v>5+ yrs</v>
      </c>
      <c r="R118" s="83" t="str">
        <f t="shared" si="3"/>
        <v>Yes</v>
      </c>
      <c r="S118" s="112" t="str">
        <f>IFERROR(VLOOKUP($A118,'09_Attrition_Tracker'!$B:$M,12,FALSE),"No")</f>
        <v>No</v>
      </c>
    </row>
    <row r="119" spans="1:19">
      <c r="A119" s="136" t="s">
        <v>703</v>
      </c>
      <c r="B119" s="122" t="s">
        <v>504</v>
      </c>
      <c r="C119" s="122" t="s">
        <v>152</v>
      </c>
      <c r="D119" s="123" t="s">
        <v>450</v>
      </c>
      <c r="E119" s="122" t="s">
        <v>427</v>
      </c>
      <c r="F119" s="122" t="s">
        <v>428</v>
      </c>
      <c r="G119" s="122" t="s">
        <v>154</v>
      </c>
      <c r="H119" s="122" t="s">
        <v>429</v>
      </c>
      <c r="I119" s="123" t="s">
        <v>121</v>
      </c>
      <c r="J119" s="124">
        <v>43245</v>
      </c>
      <c r="K119" s="124">
        <v>43425</v>
      </c>
      <c r="L119" s="123" t="s">
        <v>131</v>
      </c>
      <c r="M119" s="122"/>
      <c r="N119" s="122" t="s">
        <v>137</v>
      </c>
      <c r="O119" s="123" t="s">
        <v>446</v>
      </c>
      <c r="P119" s="114">
        <f ca="1">IF($J119="","",MAX(0,INT((IF(OR($L119="Active",$L119="On Leave"),TODAY(),IFERROR(VLOOKUP($A119,'09_Attrition_Tracker'!$B:$G,6,FALSE),TODAY()))-$J119)/30)))</f>
        <v>96</v>
      </c>
      <c r="Q119" s="83" t="str">
        <f t="shared" ca="1" si="2"/>
        <v>5+ yrs</v>
      </c>
      <c r="R119" s="83" t="str">
        <f t="shared" si="3"/>
        <v>Yes</v>
      </c>
      <c r="S119" s="112" t="str">
        <f>IFERROR(VLOOKUP($A119,'09_Attrition_Tracker'!$B:$M,12,FALSE),"No")</f>
        <v>No</v>
      </c>
    </row>
    <row r="120" spans="1:19">
      <c r="A120" s="136" t="s">
        <v>704</v>
      </c>
      <c r="B120" s="122" t="s">
        <v>705</v>
      </c>
      <c r="C120" s="122" t="s">
        <v>416</v>
      </c>
      <c r="D120" s="123" t="s">
        <v>450</v>
      </c>
      <c r="E120" s="122" t="s">
        <v>540</v>
      </c>
      <c r="F120" s="122" t="s">
        <v>541</v>
      </c>
      <c r="G120" s="122" t="s">
        <v>411</v>
      </c>
      <c r="H120" s="122" t="s">
        <v>429</v>
      </c>
      <c r="I120" s="123" t="s">
        <v>121</v>
      </c>
      <c r="J120" s="124">
        <v>46001</v>
      </c>
      <c r="K120" s="124">
        <v>46181</v>
      </c>
      <c r="L120" s="123" t="s">
        <v>131</v>
      </c>
      <c r="M120" s="122"/>
      <c r="N120" s="122" t="s">
        <v>515</v>
      </c>
      <c r="O120" s="123" t="s">
        <v>431</v>
      </c>
      <c r="P120" s="114">
        <f ca="1">IF($J120="","",MAX(0,INT((IF(OR($L120="Active",$L120="On Leave"),TODAY(),IFERROR(VLOOKUP($A120,'09_Attrition_Tracker'!$B:$G,6,FALSE),TODAY()))-$J120)/30)))</f>
        <v>4</v>
      </c>
      <c r="Q120" s="83" t="str">
        <f t="shared" ca="1" si="2"/>
        <v>4-6 mos</v>
      </c>
      <c r="R120" s="83" t="str">
        <f t="shared" si="3"/>
        <v>Yes</v>
      </c>
      <c r="S120" s="112" t="str">
        <f>IFERROR(VLOOKUP($A120,'09_Attrition_Tracker'!$B:$M,12,FALSE),"No")</f>
        <v>No</v>
      </c>
    </row>
    <row r="121" spans="1:19">
      <c r="A121" s="136" t="s">
        <v>706</v>
      </c>
      <c r="B121" s="122" t="s">
        <v>707</v>
      </c>
      <c r="C121" s="122" t="s">
        <v>37</v>
      </c>
      <c r="D121" s="123" t="s">
        <v>437</v>
      </c>
      <c r="E121" s="122" t="s">
        <v>536</v>
      </c>
      <c r="F121" s="122" t="s">
        <v>537</v>
      </c>
      <c r="G121" s="122" t="s">
        <v>37</v>
      </c>
      <c r="H121" s="122" t="s">
        <v>118</v>
      </c>
      <c r="I121" s="123" t="s">
        <v>121</v>
      </c>
      <c r="J121" s="124">
        <v>45443</v>
      </c>
      <c r="K121" s="124">
        <v>45623</v>
      </c>
      <c r="L121" s="123" t="s">
        <v>131</v>
      </c>
      <c r="M121" s="122" t="s">
        <v>520</v>
      </c>
      <c r="N121" s="122" t="s">
        <v>458</v>
      </c>
      <c r="O121" s="123" t="s">
        <v>453</v>
      </c>
      <c r="P121" s="114">
        <f ca="1">IF($J121="","",MAX(0,INT((IF(OR($L121="Active",$L121="On Leave"),TODAY(),IFERROR(VLOOKUP($A121,'09_Attrition_Tracker'!$B:$G,6,FALSE),TODAY()))-$J121)/30)))</f>
        <v>23</v>
      </c>
      <c r="Q121" s="83" t="str">
        <f t="shared" ca="1" si="2"/>
        <v>1-2 yrs</v>
      </c>
      <c r="R121" s="83" t="str">
        <f t="shared" si="3"/>
        <v>Yes</v>
      </c>
      <c r="S121" s="112" t="str">
        <f>IFERROR(VLOOKUP($A121,'09_Attrition_Tracker'!$B:$M,12,FALSE),"No")</f>
        <v>No</v>
      </c>
    </row>
    <row r="122" spans="1:19">
      <c r="A122" s="136" t="s">
        <v>708</v>
      </c>
      <c r="B122" s="122" t="s">
        <v>709</v>
      </c>
      <c r="C122" s="122" t="s">
        <v>37</v>
      </c>
      <c r="D122" s="123" t="s">
        <v>426</v>
      </c>
      <c r="E122" s="122" t="s">
        <v>549</v>
      </c>
      <c r="F122" s="122" t="s">
        <v>550</v>
      </c>
      <c r="G122" s="122" t="s">
        <v>37</v>
      </c>
      <c r="H122" s="122" t="s">
        <v>429</v>
      </c>
      <c r="I122" s="123" t="s">
        <v>121</v>
      </c>
      <c r="J122" s="124">
        <v>45355</v>
      </c>
      <c r="K122" s="124"/>
      <c r="L122" s="123" t="s">
        <v>131</v>
      </c>
      <c r="M122" s="122"/>
      <c r="N122" s="122" t="s">
        <v>137</v>
      </c>
      <c r="O122" s="123" t="s">
        <v>446</v>
      </c>
      <c r="P122" s="114">
        <f ca="1">IF($J122="","",MAX(0,INT((IF(OR($L122="Active",$L122="On Leave"),TODAY(),IFERROR(VLOOKUP($A122,'09_Attrition_Tracker'!$B:$G,6,FALSE),TODAY()))-$J122)/30)))</f>
        <v>26</v>
      </c>
      <c r="Q122" s="83" t="str">
        <f t="shared" ca="1" si="2"/>
        <v>2-5 yrs</v>
      </c>
      <c r="R122" s="83" t="str">
        <f t="shared" si="3"/>
        <v>Yes</v>
      </c>
      <c r="S122" s="112" t="str">
        <f>IFERROR(VLOOKUP($A122,'09_Attrition_Tracker'!$B:$M,12,FALSE),"No")</f>
        <v>No</v>
      </c>
    </row>
    <row r="123" spans="1:19">
      <c r="A123" s="136" t="s">
        <v>710</v>
      </c>
      <c r="B123" s="122" t="s">
        <v>711</v>
      </c>
      <c r="C123" s="122" t="s">
        <v>152</v>
      </c>
      <c r="D123" s="123" t="s">
        <v>108</v>
      </c>
      <c r="E123" s="122" t="s">
        <v>151</v>
      </c>
      <c r="F123" s="122" t="s">
        <v>153</v>
      </c>
      <c r="G123" s="122" t="s">
        <v>154</v>
      </c>
      <c r="H123" s="122" t="s">
        <v>434</v>
      </c>
      <c r="I123" s="123" t="s">
        <v>121</v>
      </c>
      <c r="J123" s="124">
        <v>42878</v>
      </c>
      <c r="K123" s="124">
        <v>43058</v>
      </c>
      <c r="L123" s="123" t="s">
        <v>381</v>
      </c>
      <c r="M123" s="122" t="s">
        <v>511</v>
      </c>
      <c r="N123" s="122" t="s">
        <v>447</v>
      </c>
      <c r="O123" s="123" t="s">
        <v>431</v>
      </c>
      <c r="P123" s="114">
        <f ca="1">IF($J123="","",MAX(0,INT((IF(OR($L123="Active",$L123="On Leave"),TODAY(),IFERROR(VLOOKUP($A123,'09_Attrition_Tracker'!$B:$G,6,FALSE),TODAY()))-$J123)/30)))</f>
        <v>95</v>
      </c>
      <c r="Q123" s="83" t="str">
        <f t="shared" ca="1" si="2"/>
        <v>5+ yrs</v>
      </c>
      <c r="R123" s="83" t="str">
        <f t="shared" si="3"/>
        <v>No</v>
      </c>
      <c r="S123" s="112" t="str">
        <f>IFERROR(VLOOKUP($A123,'09_Attrition_Tracker'!$B:$M,12,FALSE),"No")</f>
        <v>Yes</v>
      </c>
    </row>
    <row r="124" spans="1:19">
      <c r="A124" s="136" t="s">
        <v>712</v>
      </c>
      <c r="B124" s="122" t="s">
        <v>713</v>
      </c>
      <c r="C124" s="122" t="s">
        <v>416</v>
      </c>
      <c r="D124" s="123" t="s">
        <v>108</v>
      </c>
      <c r="E124" s="122" t="s">
        <v>482</v>
      </c>
      <c r="F124" s="122" t="s">
        <v>483</v>
      </c>
      <c r="G124" s="122" t="s">
        <v>411</v>
      </c>
      <c r="H124" s="122" t="s">
        <v>434</v>
      </c>
      <c r="I124" s="123" t="s">
        <v>121</v>
      </c>
      <c r="J124" s="124">
        <v>45861</v>
      </c>
      <c r="K124" s="124">
        <v>46041</v>
      </c>
      <c r="L124" s="123" t="s">
        <v>381</v>
      </c>
      <c r="M124" s="122" t="s">
        <v>516</v>
      </c>
      <c r="N124" s="122" t="s">
        <v>475</v>
      </c>
      <c r="O124" s="123" t="s">
        <v>459</v>
      </c>
      <c r="P124" s="114">
        <f ca="1">IF($J124="","",MAX(0,INT((IF(OR($L124="Active",$L124="On Leave"),TODAY(),IFERROR(VLOOKUP($A124,'09_Attrition_Tracker'!$B:$G,6,FALSE),TODAY()))-$J124)/30)))</f>
        <v>2</v>
      </c>
      <c r="Q124" s="83" t="str">
        <f t="shared" ca="1" si="2"/>
        <v>0-3 mos</v>
      </c>
      <c r="R124" s="83" t="str">
        <f t="shared" si="3"/>
        <v>No</v>
      </c>
      <c r="S124" s="112" t="str">
        <f>IFERROR(VLOOKUP($A124,'09_Attrition_Tracker'!$B:$M,12,FALSE),"No")</f>
        <v>Yes</v>
      </c>
    </row>
    <row r="125" spans="1:19">
      <c r="A125" s="136" t="s">
        <v>714</v>
      </c>
      <c r="B125" s="122" t="s">
        <v>715</v>
      </c>
      <c r="C125" s="122" t="s">
        <v>176</v>
      </c>
      <c r="D125" s="123" t="s">
        <v>108</v>
      </c>
      <c r="E125" s="122" t="s">
        <v>177</v>
      </c>
      <c r="F125" s="122" t="s">
        <v>178</v>
      </c>
      <c r="G125" s="122" t="s">
        <v>154</v>
      </c>
      <c r="H125" s="122" t="s">
        <v>118</v>
      </c>
      <c r="I125" s="123" t="s">
        <v>121</v>
      </c>
      <c r="J125" s="124">
        <v>45036</v>
      </c>
      <c r="K125" s="124">
        <v>45216</v>
      </c>
      <c r="L125" s="123" t="s">
        <v>381</v>
      </c>
      <c r="M125" s="122" t="s">
        <v>480</v>
      </c>
      <c r="N125" s="122" t="s">
        <v>441</v>
      </c>
      <c r="O125" s="123" t="s">
        <v>140</v>
      </c>
      <c r="P125" s="114">
        <f ca="1">IF($J125="","",MAX(0,INT((IF(OR($L125="Active",$L125="On Leave"),TODAY(),IFERROR(VLOOKUP($A125,'09_Attrition_Tracker'!$B:$G,6,FALSE),TODAY()))-$J125)/30)))</f>
        <v>28</v>
      </c>
      <c r="Q125" s="83" t="str">
        <f t="shared" ca="1" si="2"/>
        <v>2-5 yrs</v>
      </c>
      <c r="R125" s="83" t="str">
        <f t="shared" si="3"/>
        <v>No</v>
      </c>
      <c r="S125" s="112" t="str">
        <f>IFERROR(VLOOKUP($A125,'09_Attrition_Tracker'!$B:$M,12,FALSE),"No")</f>
        <v>No</v>
      </c>
    </row>
    <row r="126" spans="1:19">
      <c r="A126" s="136" t="s">
        <v>716</v>
      </c>
      <c r="B126" s="122" t="s">
        <v>717</v>
      </c>
      <c r="C126" s="122" t="s">
        <v>176</v>
      </c>
      <c r="D126" s="123" t="s">
        <v>108</v>
      </c>
      <c r="E126" s="122" t="s">
        <v>577</v>
      </c>
      <c r="F126" s="122" t="s">
        <v>578</v>
      </c>
      <c r="G126" s="122" t="s">
        <v>154</v>
      </c>
      <c r="H126" s="122" t="s">
        <v>434</v>
      </c>
      <c r="I126" s="123" t="s">
        <v>121</v>
      </c>
      <c r="J126" s="124">
        <v>45657</v>
      </c>
      <c r="K126" s="124">
        <v>45837</v>
      </c>
      <c r="L126" s="123" t="s">
        <v>131</v>
      </c>
      <c r="M126" s="122" t="s">
        <v>503</v>
      </c>
      <c r="N126" s="122" t="s">
        <v>430</v>
      </c>
      <c r="O126" s="123" t="s">
        <v>446</v>
      </c>
      <c r="P126" s="114">
        <f ca="1">IF($J126="","",MAX(0,INT((IF(OR($L126="Active",$L126="On Leave"),TODAY(),IFERROR(VLOOKUP($A126,'09_Attrition_Tracker'!$B:$G,6,FALSE),TODAY()))-$J126)/30)))</f>
        <v>16</v>
      </c>
      <c r="Q126" s="83" t="str">
        <f t="shared" ca="1" si="2"/>
        <v>1-2 yrs</v>
      </c>
      <c r="R126" s="83" t="str">
        <f t="shared" si="3"/>
        <v>Yes</v>
      </c>
      <c r="S126" s="112" t="str">
        <f>IFERROR(VLOOKUP($A126,'09_Attrition_Tracker'!$B:$M,12,FALSE),"No")</f>
        <v>No</v>
      </c>
    </row>
    <row r="127" spans="1:19">
      <c r="A127" s="136" t="s">
        <v>718</v>
      </c>
      <c r="B127" s="122" t="s">
        <v>719</v>
      </c>
      <c r="C127" s="122" t="s">
        <v>176</v>
      </c>
      <c r="D127" s="123" t="s">
        <v>426</v>
      </c>
      <c r="E127" s="122" t="s">
        <v>177</v>
      </c>
      <c r="F127" s="122" t="s">
        <v>178</v>
      </c>
      <c r="G127" s="122" t="s">
        <v>154</v>
      </c>
      <c r="H127" s="122" t="s">
        <v>434</v>
      </c>
      <c r="I127" s="123" t="s">
        <v>121</v>
      </c>
      <c r="J127" s="124">
        <v>43233</v>
      </c>
      <c r="K127" s="124">
        <v>43413</v>
      </c>
      <c r="L127" s="123" t="s">
        <v>131</v>
      </c>
      <c r="M127" s="122" t="s">
        <v>528</v>
      </c>
      <c r="N127" s="122" t="s">
        <v>458</v>
      </c>
      <c r="O127" s="123" t="s">
        <v>453</v>
      </c>
      <c r="P127" s="114">
        <f ca="1">IF($J127="","",MAX(0,INT((IF(OR($L127="Active",$L127="On Leave"),TODAY(),IFERROR(VLOOKUP($A127,'09_Attrition_Tracker'!$B:$G,6,FALSE),TODAY()))-$J127)/30)))</f>
        <v>97</v>
      </c>
      <c r="Q127" s="83" t="str">
        <f t="shared" ca="1" si="2"/>
        <v>5+ yrs</v>
      </c>
      <c r="R127" s="83" t="str">
        <f t="shared" si="3"/>
        <v>Yes</v>
      </c>
      <c r="S127" s="112" t="str">
        <f>IFERROR(VLOOKUP($A127,'09_Attrition_Tracker'!$B:$M,12,FALSE),"No")</f>
        <v>No</v>
      </c>
    </row>
    <row r="128" spans="1:19">
      <c r="A128" s="136" t="s">
        <v>720</v>
      </c>
      <c r="B128" s="122" t="s">
        <v>721</v>
      </c>
      <c r="C128" s="122" t="s">
        <v>421</v>
      </c>
      <c r="D128" s="123" t="s">
        <v>450</v>
      </c>
      <c r="E128" s="122" t="s">
        <v>478</v>
      </c>
      <c r="F128" s="122" t="s">
        <v>479</v>
      </c>
      <c r="G128" s="122" t="s">
        <v>420</v>
      </c>
      <c r="H128" s="122" t="s">
        <v>118</v>
      </c>
      <c r="I128" s="123" t="s">
        <v>380</v>
      </c>
      <c r="J128" s="124">
        <v>44366</v>
      </c>
      <c r="K128" s="124">
        <v>44546</v>
      </c>
      <c r="L128" s="123" t="s">
        <v>131</v>
      </c>
      <c r="M128" s="122" t="s">
        <v>573</v>
      </c>
      <c r="N128" s="122" t="s">
        <v>464</v>
      </c>
      <c r="O128" s="123" t="s">
        <v>140</v>
      </c>
      <c r="P128" s="114">
        <f ca="1">IF($J128="","",MAX(0,INT((IF(OR($L128="Active",$L128="On Leave"),TODAY(),IFERROR(VLOOKUP($A128,'09_Attrition_Tracker'!$B:$G,6,FALSE),TODAY()))-$J128)/30)))</f>
        <v>59</v>
      </c>
      <c r="Q128" s="83" t="str">
        <f t="shared" ca="1" si="2"/>
        <v>2-5 yrs</v>
      </c>
      <c r="R128" s="83" t="str">
        <f t="shared" si="3"/>
        <v>Yes</v>
      </c>
      <c r="S128" s="112" t="str">
        <f>IFERROR(VLOOKUP($A128,'09_Attrition_Tracker'!$B:$M,12,FALSE),"No")</f>
        <v>No</v>
      </c>
    </row>
    <row r="129" spans="1:19">
      <c r="A129" s="136" t="s">
        <v>722</v>
      </c>
      <c r="B129" s="122" t="s">
        <v>723</v>
      </c>
      <c r="C129" s="122" t="s">
        <v>379</v>
      </c>
      <c r="D129" s="123" t="s">
        <v>450</v>
      </c>
      <c r="E129" s="122" t="s">
        <v>587</v>
      </c>
      <c r="F129" s="122" t="s">
        <v>588</v>
      </c>
      <c r="G129" s="122" t="s">
        <v>390</v>
      </c>
      <c r="H129" s="122" t="s">
        <v>434</v>
      </c>
      <c r="I129" s="123" t="s">
        <v>121</v>
      </c>
      <c r="J129" s="124">
        <v>43261</v>
      </c>
      <c r="K129" s="124">
        <v>43441</v>
      </c>
      <c r="L129" s="123" t="s">
        <v>131</v>
      </c>
      <c r="M129" s="122" t="s">
        <v>460</v>
      </c>
      <c r="N129" s="122" t="s">
        <v>447</v>
      </c>
      <c r="O129" s="123" t="s">
        <v>459</v>
      </c>
      <c r="P129" s="114">
        <f ca="1">IF($J129="","",MAX(0,INT((IF(OR($L129="Active",$L129="On Leave"),TODAY(),IFERROR(VLOOKUP($A129,'09_Attrition_Tracker'!$B:$G,6,FALSE),TODAY()))-$J129)/30)))</f>
        <v>96</v>
      </c>
      <c r="Q129" s="83" t="str">
        <f t="shared" ca="1" si="2"/>
        <v>5+ yrs</v>
      </c>
      <c r="R129" s="83" t="str">
        <f t="shared" si="3"/>
        <v>Yes</v>
      </c>
      <c r="S129" s="112" t="str">
        <f>IFERROR(VLOOKUP($A129,'09_Attrition_Tracker'!$B:$M,12,FALSE),"No")</f>
        <v>No</v>
      </c>
    </row>
    <row r="130" spans="1:19">
      <c r="A130" s="136" t="s">
        <v>724</v>
      </c>
      <c r="B130" s="122" t="s">
        <v>725</v>
      </c>
      <c r="C130" s="122" t="s">
        <v>407</v>
      </c>
      <c r="D130" s="123" t="s">
        <v>437</v>
      </c>
      <c r="E130" s="122" t="s">
        <v>501</v>
      </c>
      <c r="F130" s="122" t="s">
        <v>502</v>
      </c>
      <c r="G130" s="122" t="s">
        <v>417</v>
      </c>
      <c r="H130" s="122" t="s">
        <v>118</v>
      </c>
      <c r="I130" s="123" t="s">
        <v>121</v>
      </c>
      <c r="J130" s="124">
        <v>45641</v>
      </c>
      <c r="K130" s="124">
        <v>45821</v>
      </c>
      <c r="L130" s="123" t="s">
        <v>131</v>
      </c>
      <c r="M130" s="122" t="s">
        <v>489</v>
      </c>
      <c r="N130" s="122" t="s">
        <v>430</v>
      </c>
      <c r="O130" s="123" t="s">
        <v>140</v>
      </c>
      <c r="P130" s="114">
        <f ca="1">IF($J130="","",MAX(0,INT((IF(OR($L130="Active",$L130="On Leave"),TODAY(),IFERROR(VLOOKUP($A130,'09_Attrition_Tracker'!$B:$G,6,FALSE),TODAY()))-$J130)/30)))</f>
        <v>16</v>
      </c>
      <c r="Q130" s="83" t="str">
        <f t="shared" ca="1" si="2"/>
        <v>1-2 yrs</v>
      </c>
      <c r="R130" s="83" t="str">
        <f t="shared" si="3"/>
        <v>Yes</v>
      </c>
      <c r="S130" s="112" t="str">
        <f>IFERROR(VLOOKUP($A130,'09_Attrition_Tracker'!$B:$M,12,FALSE),"No")</f>
        <v>No</v>
      </c>
    </row>
    <row r="131" spans="1:19">
      <c r="A131" s="136" t="s">
        <v>726</v>
      </c>
      <c r="B131" s="122" t="s">
        <v>572</v>
      </c>
      <c r="C131" s="122" t="s">
        <v>421</v>
      </c>
      <c r="D131" s="123" t="s">
        <v>108</v>
      </c>
      <c r="E131" s="122" t="s">
        <v>607</v>
      </c>
      <c r="F131" s="122" t="s">
        <v>608</v>
      </c>
      <c r="G131" s="122" t="s">
        <v>420</v>
      </c>
      <c r="H131" s="122" t="s">
        <v>440</v>
      </c>
      <c r="I131" s="123" t="s">
        <v>380</v>
      </c>
      <c r="J131" s="124">
        <v>45160</v>
      </c>
      <c r="K131" s="124">
        <v>45340</v>
      </c>
      <c r="L131" s="123" t="s">
        <v>131</v>
      </c>
      <c r="M131" s="122" t="s">
        <v>560</v>
      </c>
      <c r="N131" s="122" t="s">
        <v>447</v>
      </c>
      <c r="O131" s="123" t="s">
        <v>459</v>
      </c>
      <c r="P131" s="114">
        <f ca="1">IF($J131="","",MAX(0,INT((IF(OR($L131="Active",$L131="On Leave"),TODAY(),IFERROR(VLOOKUP($A131,'09_Attrition_Tracker'!$B:$G,6,FALSE),TODAY()))-$J131)/30)))</f>
        <v>32</v>
      </c>
      <c r="Q131" s="83" t="str">
        <f t="shared" ca="1" si="2"/>
        <v>2-5 yrs</v>
      </c>
      <c r="R131" s="83" t="str">
        <f t="shared" si="3"/>
        <v>Yes</v>
      </c>
      <c r="S131" s="112" t="str">
        <f>IFERROR(VLOOKUP($A131,'09_Attrition_Tracker'!$B:$M,12,FALSE),"No")</f>
        <v>No</v>
      </c>
    </row>
    <row r="132" spans="1:19">
      <c r="A132" s="136" t="s">
        <v>727</v>
      </c>
      <c r="B132" s="122" t="s">
        <v>508</v>
      </c>
      <c r="C132" s="122" t="s">
        <v>152</v>
      </c>
      <c r="D132" s="123" t="s">
        <v>426</v>
      </c>
      <c r="E132" s="122" t="s">
        <v>427</v>
      </c>
      <c r="F132" s="122" t="s">
        <v>428</v>
      </c>
      <c r="G132" s="122" t="s">
        <v>154</v>
      </c>
      <c r="H132" s="122" t="s">
        <v>429</v>
      </c>
      <c r="I132" s="123" t="s">
        <v>121</v>
      </c>
      <c r="J132" s="124">
        <v>45403</v>
      </c>
      <c r="K132" s="124">
        <v>45583</v>
      </c>
      <c r="L132" s="123" t="s">
        <v>400</v>
      </c>
      <c r="M132" s="122"/>
      <c r="N132" s="122" t="s">
        <v>430</v>
      </c>
      <c r="O132" s="123" t="s">
        <v>446</v>
      </c>
      <c r="P132" s="114">
        <f ca="1">IF($J132="","",MAX(0,INT((IF(OR($L132="Active",$L132="On Leave"),TODAY(),IFERROR(VLOOKUP($A132,'09_Attrition_Tracker'!$B:$G,6,FALSE),TODAY()))-$J132)/30)))</f>
        <v>24</v>
      </c>
      <c r="Q132" s="83" t="str">
        <f t="shared" ca="1" si="2"/>
        <v>1-2 yrs</v>
      </c>
      <c r="R132" s="83" t="str">
        <f t="shared" si="3"/>
        <v>Yes</v>
      </c>
      <c r="S132" s="112" t="str">
        <f>IFERROR(VLOOKUP($A132,'09_Attrition_Tracker'!$B:$M,12,FALSE),"No")</f>
        <v>No</v>
      </c>
    </row>
    <row r="133" spans="1:19">
      <c r="A133" s="136" t="s">
        <v>728</v>
      </c>
      <c r="B133" s="122" t="s">
        <v>512</v>
      </c>
      <c r="C133" s="122" t="s">
        <v>371</v>
      </c>
      <c r="D133" s="123" t="s">
        <v>450</v>
      </c>
      <c r="E133" s="122" t="s">
        <v>438</v>
      </c>
      <c r="F133" s="122" t="s">
        <v>439</v>
      </c>
      <c r="G133" s="122" t="s">
        <v>371</v>
      </c>
      <c r="H133" s="122" t="s">
        <v>440</v>
      </c>
      <c r="I133" s="123" t="s">
        <v>121</v>
      </c>
      <c r="J133" s="124">
        <v>44593</v>
      </c>
      <c r="K133" s="124">
        <v>44773</v>
      </c>
      <c r="L133" s="123" t="s">
        <v>381</v>
      </c>
      <c r="M133" s="122" t="s">
        <v>523</v>
      </c>
      <c r="N133" s="122" t="s">
        <v>475</v>
      </c>
      <c r="O133" s="123" t="s">
        <v>446</v>
      </c>
      <c r="P133" s="114">
        <f ca="1">IF($J133="","",MAX(0,INT((IF(OR($L133="Active",$L133="On Leave"),TODAY(),IFERROR(VLOOKUP($A133,'09_Attrition_Tracker'!$B:$G,6,FALSE),TODAY()))-$J133)/30)))</f>
        <v>43</v>
      </c>
      <c r="Q133" s="83" t="str">
        <f t="shared" ref="Q133:Q196" ca="1" si="4">IF($P133="","",IF($P133&lt;4,"0-3 mos",IF($P133&lt;7,"4-6 mos",IF($P133&lt;13,"7-12 mos",IF($P133&lt;25,"1-2 yrs",IF($P133&lt;61,"2-5 yrs","5+ yrs"))))))</f>
        <v>2-5 yrs</v>
      </c>
      <c r="R133" s="83" t="str">
        <f t="shared" ref="R133:R196" si="5">IF(OR($L133="Active",$L133="On Leave"),"Yes","No")</f>
        <v>No</v>
      </c>
      <c r="S133" s="112" t="str">
        <f>IFERROR(VLOOKUP($A133,'09_Attrition_Tracker'!$B:$M,12,FALSE),"No")</f>
        <v>No</v>
      </c>
    </row>
    <row r="134" spans="1:19">
      <c r="A134" s="136" t="s">
        <v>729</v>
      </c>
      <c r="B134" s="122" t="s">
        <v>730</v>
      </c>
      <c r="C134" s="122" t="s">
        <v>37</v>
      </c>
      <c r="D134" s="123" t="s">
        <v>426</v>
      </c>
      <c r="E134" s="122" t="s">
        <v>549</v>
      </c>
      <c r="F134" s="122" t="s">
        <v>550</v>
      </c>
      <c r="G134" s="122" t="s">
        <v>37</v>
      </c>
      <c r="H134" s="122" t="s">
        <v>429</v>
      </c>
      <c r="I134" s="123" t="s">
        <v>121</v>
      </c>
      <c r="J134" s="124">
        <v>44369</v>
      </c>
      <c r="K134" s="124">
        <v>44549</v>
      </c>
      <c r="L134" s="123" t="s">
        <v>392</v>
      </c>
      <c r="M134" s="122"/>
      <c r="N134" s="122" t="s">
        <v>441</v>
      </c>
      <c r="O134" s="123" t="s">
        <v>459</v>
      </c>
      <c r="P134" s="114">
        <f ca="1">IF($J134="","",MAX(0,INT((IF(OR($L134="Active",$L134="On Leave"),TODAY(),IFERROR(VLOOKUP($A134,'09_Attrition_Tracker'!$B:$G,6,FALSE),TODAY()))-$J134)/30)))</f>
        <v>48</v>
      </c>
      <c r="Q134" s="83" t="str">
        <f t="shared" ca="1" si="4"/>
        <v>2-5 yrs</v>
      </c>
      <c r="R134" s="83" t="str">
        <f t="shared" si="5"/>
        <v>No</v>
      </c>
      <c r="S134" s="112" t="str">
        <f>IFERROR(VLOOKUP($A134,'09_Attrition_Tracker'!$B:$M,12,FALSE),"No")</f>
        <v>Yes</v>
      </c>
    </row>
    <row r="135" spans="1:19">
      <c r="A135" s="136" t="s">
        <v>731</v>
      </c>
      <c r="B135" s="122" t="s">
        <v>732</v>
      </c>
      <c r="C135" s="122" t="s">
        <v>416</v>
      </c>
      <c r="D135" s="123" t="s">
        <v>437</v>
      </c>
      <c r="E135" s="122" t="s">
        <v>557</v>
      </c>
      <c r="F135" s="122" t="s">
        <v>558</v>
      </c>
      <c r="G135" s="122" t="s">
        <v>411</v>
      </c>
      <c r="H135" s="122" t="s">
        <v>118</v>
      </c>
      <c r="I135" s="123" t="s">
        <v>391</v>
      </c>
      <c r="J135" s="124">
        <v>42943</v>
      </c>
      <c r="K135" s="124"/>
      <c r="L135" s="123" t="s">
        <v>131</v>
      </c>
      <c r="M135" s="122" t="s">
        <v>518</v>
      </c>
      <c r="N135" s="122" t="s">
        <v>515</v>
      </c>
      <c r="O135" s="123" t="s">
        <v>446</v>
      </c>
      <c r="P135" s="114">
        <f ca="1">IF($J135="","",MAX(0,INT((IF(OR($L135="Active",$L135="On Leave"),TODAY(),IFERROR(VLOOKUP($A135,'09_Attrition_Tracker'!$B:$G,6,FALSE),TODAY()))-$J135)/30)))</f>
        <v>106</v>
      </c>
      <c r="Q135" s="83" t="str">
        <f t="shared" ca="1" si="4"/>
        <v>5+ yrs</v>
      </c>
      <c r="R135" s="83" t="str">
        <f t="shared" si="5"/>
        <v>Yes</v>
      </c>
      <c r="S135" s="112" t="str">
        <f>IFERROR(VLOOKUP($A135,'09_Attrition_Tracker'!$B:$M,12,FALSE),"No")</f>
        <v>No</v>
      </c>
    </row>
    <row r="136" spans="1:19">
      <c r="A136" s="136" t="s">
        <v>733</v>
      </c>
      <c r="B136" s="122" t="s">
        <v>734</v>
      </c>
      <c r="C136" s="122" t="s">
        <v>371</v>
      </c>
      <c r="D136" s="123" t="s">
        <v>450</v>
      </c>
      <c r="E136" s="122" t="s">
        <v>462</v>
      </c>
      <c r="F136" s="122" t="s">
        <v>463</v>
      </c>
      <c r="G136" s="122" t="s">
        <v>371</v>
      </c>
      <c r="H136" s="122" t="s">
        <v>118</v>
      </c>
      <c r="I136" s="123" t="s">
        <v>391</v>
      </c>
      <c r="J136" s="124">
        <v>44778</v>
      </c>
      <c r="K136" s="124">
        <v>44958</v>
      </c>
      <c r="L136" s="123" t="s">
        <v>131</v>
      </c>
      <c r="M136" s="122" t="s">
        <v>516</v>
      </c>
      <c r="N136" s="122" t="s">
        <v>475</v>
      </c>
      <c r="O136" s="123" t="s">
        <v>431</v>
      </c>
      <c r="P136" s="114">
        <f ca="1">IF($J136="","",MAX(0,INT((IF(OR($L136="Active",$L136="On Leave"),TODAY(),IFERROR(VLOOKUP($A136,'09_Attrition_Tracker'!$B:$G,6,FALSE),TODAY()))-$J136)/30)))</f>
        <v>45</v>
      </c>
      <c r="Q136" s="83" t="str">
        <f t="shared" ca="1" si="4"/>
        <v>2-5 yrs</v>
      </c>
      <c r="R136" s="83" t="str">
        <f t="shared" si="5"/>
        <v>Yes</v>
      </c>
      <c r="S136" s="112" t="str">
        <f>IFERROR(VLOOKUP($A136,'09_Attrition_Tracker'!$B:$M,12,FALSE),"No")</f>
        <v>No</v>
      </c>
    </row>
    <row r="137" spans="1:19">
      <c r="A137" s="136" t="s">
        <v>735</v>
      </c>
      <c r="B137" s="122" t="s">
        <v>566</v>
      </c>
      <c r="C137" s="122" t="s">
        <v>152</v>
      </c>
      <c r="D137" s="123" t="s">
        <v>426</v>
      </c>
      <c r="E137" s="122" t="s">
        <v>151</v>
      </c>
      <c r="F137" s="122" t="s">
        <v>153</v>
      </c>
      <c r="G137" s="122" t="s">
        <v>154</v>
      </c>
      <c r="H137" s="122" t="s">
        <v>118</v>
      </c>
      <c r="I137" s="123" t="s">
        <v>121</v>
      </c>
      <c r="J137" s="124">
        <v>45183</v>
      </c>
      <c r="K137" s="124">
        <v>45363</v>
      </c>
      <c r="L137" s="123" t="s">
        <v>131</v>
      </c>
      <c r="M137" s="122" t="s">
        <v>96</v>
      </c>
      <c r="N137" s="122" t="s">
        <v>430</v>
      </c>
      <c r="O137" s="123" t="s">
        <v>446</v>
      </c>
      <c r="P137" s="114">
        <f ca="1">IF($J137="","",MAX(0,INT((IF(OR($L137="Active",$L137="On Leave"),TODAY(),IFERROR(VLOOKUP($A137,'09_Attrition_Tracker'!$B:$G,6,FALSE),TODAY()))-$J137)/30)))</f>
        <v>32</v>
      </c>
      <c r="Q137" s="83" t="str">
        <f t="shared" ca="1" si="4"/>
        <v>2-5 yrs</v>
      </c>
      <c r="R137" s="83" t="str">
        <f t="shared" si="5"/>
        <v>Yes</v>
      </c>
      <c r="S137" s="112" t="str">
        <f>IFERROR(VLOOKUP($A137,'09_Attrition_Tracker'!$B:$M,12,FALSE),"No")</f>
        <v>No</v>
      </c>
    </row>
    <row r="138" spans="1:19">
      <c r="A138" s="136" t="s">
        <v>736</v>
      </c>
      <c r="B138" s="122" t="s">
        <v>737</v>
      </c>
      <c r="C138" s="122" t="s">
        <v>37</v>
      </c>
      <c r="D138" s="123" t="s">
        <v>450</v>
      </c>
      <c r="E138" s="122" t="s">
        <v>536</v>
      </c>
      <c r="F138" s="122" t="s">
        <v>537</v>
      </c>
      <c r="G138" s="122" t="s">
        <v>37</v>
      </c>
      <c r="H138" s="122" t="s">
        <v>118</v>
      </c>
      <c r="I138" s="123" t="s">
        <v>121</v>
      </c>
      <c r="J138" s="124">
        <v>45071</v>
      </c>
      <c r="K138" s="124">
        <v>45251</v>
      </c>
      <c r="L138" s="123" t="s">
        <v>131</v>
      </c>
      <c r="M138" s="122" t="s">
        <v>442</v>
      </c>
      <c r="N138" s="122" t="s">
        <v>430</v>
      </c>
      <c r="O138" s="123" t="s">
        <v>431</v>
      </c>
      <c r="P138" s="114">
        <f ca="1">IF($J138="","",MAX(0,INT((IF(OR($L138="Active",$L138="On Leave"),TODAY(),IFERROR(VLOOKUP($A138,'09_Attrition_Tracker'!$B:$G,6,FALSE),TODAY()))-$J138)/30)))</f>
        <v>35</v>
      </c>
      <c r="Q138" s="83" t="str">
        <f t="shared" ca="1" si="4"/>
        <v>2-5 yrs</v>
      </c>
      <c r="R138" s="83" t="str">
        <f t="shared" si="5"/>
        <v>Yes</v>
      </c>
      <c r="S138" s="112" t="str">
        <f>IFERROR(VLOOKUP($A138,'09_Attrition_Tracker'!$B:$M,12,FALSE),"No")</f>
        <v>No</v>
      </c>
    </row>
    <row r="139" spans="1:19">
      <c r="A139" s="136" t="s">
        <v>738</v>
      </c>
      <c r="B139" s="122" t="s">
        <v>698</v>
      </c>
      <c r="C139" s="122" t="s">
        <v>176</v>
      </c>
      <c r="D139" s="123" t="s">
        <v>450</v>
      </c>
      <c r="E139" s="122" t="s">
        <v>577</v>
      </c>
      <c r="F139" s="122" t="s">
        <v>578</v>
      </c>
      <c r="G139" s="122" t="s">
        <v>154</v>
      </c>
      <c r="H139" s="122" t="s">
        <v>118</v>
      </c>
      <c r="I139" s="123" t="s">
        <v>121</v>
      </c>
      <c r="J139" s="124">
        <v>45991</v>
      </c>
      <c r="K139" s="124">
        <v>46171</v>
      </c>
      <c r="L139" s="123" t="s">
        <v>131</v>
      </c>
      <c r="M139" s="122" t="s">
        <v>476</v>
      </c>
      <c r="N139" s="122" t="s">
        <v>447</v>
      </c>
      <c r="O139" s="123" t="s">
        <v>459</v>
      </c>
      <c r="P139" s="114">
        <f ca="1">IF($J139="","",MAX(0,INT((IF(OR($L139="Active",$L139="On Leave"),TODAY(),IFERROR(VLOOKUP($A139,'09_Attrition_Tracker'!$B:$G,6,FALSE),TODAY()))-$J139)/30)))</f>
        <v>5</v>
      </c>
      <c r="Q139" s="83" t="str">
        <f t="shared" ca="1" si="4"/>
        <v>4-6 mos</v>
      </c>
      <c r="R139" s="83" t="str">
        <f t="shared" si="5"/>
        <v>Yes</v>
      </c>
      <c r="S139" s="112" t="str">
        <f>IFERROR(VLOOKUP($A139,'09_Attrition_Tracker'!$B:$M,12,FALSE),"No")</f>
        <v>No</v>
      </c>
    </row>
    <row r="140" spans="1:19">
      <c r="A140" s="136" t="s">
        <v>739</v>
      </c>
      <c r="B140" s="122" t="s">
        <v>582</v>
      </c>
      <c r="C140" s="122" t="s">
        <v>37</v>
      </c>
      <c r="D140" s="123" t="s">
        <v>108</v>
      </c>
      <c r="E140" s="122" t="s">
        <v>486</v>
      </c>
      <c r="F140" s="122" t="s">
        <v>260</v>
      </c>
      <c r="G140" s="122" t="s">
        <v>37</v>
      </c>
      <c r="H140" s="122" t="s">
        <v>434</v>
      </c>
      <c r="I140" s="123" t="s">
        <v>121</v>
      </c>
      <c r="J140" s="124">
        <v>43346</v>
      </c>
      <c r="K140" s="124">
        <v>43526</v>
      </c>
      <c r="L140" s="123" t="s">
        <v>131</v>
      </c>
      <c r="M140" s="122" t="s">
        <v>551</v>
      </c>
      <c r="N140" s="122" t="s">
        <v>430</v>
      </c>
      <c r="O140" s="123" t="s">
        <v>431</v>
      </c>
      <c r="P140" s="114">
        <f ca="1">IF($J140="","",MAX(0,INT((IF(OR($L140="Active",$L140="On Leave"),TODAY(),IFERROR(VLOOKUP($A140,'09_Attrition_Tracker'!$B:$G,6,FALSE),TODAY()))-$J140)/30)))</f>
        <v>93</v>
      </c>
      <c r="Q140" s="83" t="str">
        <f t="shared" ca="1" si="4"/>
        <v>5+ yrs</v>
      </c>
      <c r="R140" s="83" t="str">
        <f t="shared" si="5"/>
        <v>Yes</v>
      </c>
      <c r="S140" s="112" t="str">
        <f>IFERROR(VLOOKUP($A140,'09_Attrition_Tracker'!$B:$M,12,FALSE),"No")</f>
        <v>No</v>
      </c>
    </row>
    <row r="141" spans="1:19">
      <c r="A141" s="136" t="s">
        <v>740</v>
      </c>
      <c r="B141" s="122" t="s">
        <v>741</v>
      </c>
      <c r="C141" s="122" t="s">
        <v>104</v>
      </c>
      <c r="D141" s="123" t="s">
        <v>426</v>
      </c>
      <c r="E141" s="122" t="s">
        <v>473</v>
      </c>
      <c r="F141" s="122" t="s">
        <v>474</v>
      </c>
      <c r="G141" s="122" t="s">
        <v>104</v>
      </c>
      <c r="H141" s="122" t="s">
        <v>429</v>
      </c>
      <c r="I141" s="123" t="s">
        <v>121</v>
      </c>
      <c r="J141" s="124">
        <v>45638</v>
      </c>
      <c r="K141" s="124">
        <v>45818</v>
      </c>
      <c r="L141" s="123" t="s">
        <v>131</v>
      </c>
      <c r="M141" s="122"/>
      <c r="N141" s="122" t="s">
        <v>464</v>
      </c>
      <c r="O141" s="123" t="s">
        <v>453</v>
      </c>
      <c r="P141" s="114">
        <f ca="1">IF($J141="","",MAX(0,INT((IF(OR($L141="Active",$L141="On Leave"),TODAY(),IFERROR(VLOOKUP($A141,'09_Attrition_Tracker'!$B:$G,6,FALSE),TODAY()))-$J141)/30)))</f>
        <v>16</v>
      </c>
      <c r="Q141" s="83" t="str">
        <f t="shared" ca="1" si="4"/>
        <v>1-2 yrs</v>
      </c>
      <c r="R141" s="83" t="str">
        <f t="shared" si="5"/>
        <v>Yes</v>
      </c>
      <c r="S141" s="112" t="str">
        <f>IFERROR(VLOOKUP($A141,'09_Attrition_Tracker'!$B:$M,12,FALSE),"No")</f>
        <v>No</v>
      </c>
    </row>
    <row r="142" spans="1:19">
      <c r="A142" s="136" t="s">
        <v>742</v>
      </c>
      <c r="B142" s="122" t="s">
        <v>743</v>
      </c>
      <c r="C142" s="122" t="s">
        <v>152</v>
      </c>
      <c r="D142" s="123" t="s">
        <v>437</v>
      </c>
      <c r="E142" s="122" t="s">
        <v>427</v>
      </c>
      <c r="F142" s="122" t="s">
        <v>428</v>
      </c>
      <c r="G142" s="122" t="s">
        <v>154</v>
      </c>
      <c r="H142" s="122" t="s">
        <v>429</v>
      </c>
      <c r="I142" s="123" t="s">
        <v>121</v>
      </c>
      <c r="J142" s="124">
        <v>45421</v>
      </c>
      <c r="K142" s="124">
        <v>45601</v>
      </c>
      <c r="L142" s="123" t="s">
        <v>131</v>
      </c>
      <c r="M142" s="122"/>
      <c r="N142" s="122" t="s">
        <v>441</v>
      </c>
      <c r="O142" s="123" t="s">
        <v>140</v>
      </c>
      <c r="P142" s="114">
        <f ca="1">IF($J142="","",MAX(0,INT((IF(OR($L142="Active",$L142="On Leave"),TODAY(),IFERROR(VLOOKUP($A142,'09_Attrition_Tracker'!$B:$G,6,FALSE),TODAY()))-$J142)/30)))</f>
        <v>24</v>
      </c>
      <c r="Q142" s="83" t="str">
        <f t="shared" ca="1" si="4"/>
        <v>1-2 yrs</v>
      </c>
      <c r="R142" s="83" t="str">
        <f t="shared" si="5"/>
        <v>Yes</v>
      </c>
      <c r="S142" s="112" t="str">
        <f>IFERROR(VLOOKUP($A142,'09_Attrition_Tracker'!$B:$M,12,FALSE),"No")</f>
        <v>No</v>
      </c>
    </row>
    <row r="143" spans="1:19">
      <c r="A143" s="136" t="s">
        <v>744</v>
      </c>
      <c r="B143" s="122" t="s">
        <v>745</v>
      </c>
      <c r="C143" s="122" t="s">
        <v>176</v>
      </c>
      <c r="D143" s="123" t="s">
        <v>450</v>
      </c>
      <c r="E143" s="122" t="s">
        <v>652</v>
      </c>
      <c r="F143" s="122" t="s">
        <v>653</v>
      </c>
      <c r="G143" s="122" t="s">
        <v>154</v>
      </c>
      <c r="H143" s="122" t="s">
        <v>440</v>
      </c>
      <c r="I143" s="123" t="s">
        <v>121</v>
      </c>
      <c r="J143" s="124">
        <v>45081</v>
      </c>
      <c r="K143" s="124">
        <v>45261</v>
      </c>
      <c r="L143" s="123" t="s">
        <v>131</v>
      </c>
      <c r="M143" s="122" t="s">
        <v>424</v>
      </c>
      <c r="N143" s="122" t="s">
        <v>515</v>
      </c>
      <c r="O143" s="123" t="s">
        <v>453</v>
      </c>
      <c r="P143" s="114">
        <f ca="1">IF($J143="","",MAX(0,INT((IF(OR($L143="Active",$L143="On Leave"),TODAY(),IFERROR(VLOOKUP($A143,'09_Attrition_Tracker'!$B:$G,6,FALSE),TODAY()))-$J143)/30)))</f>
        <v>35</v>
      </c>
      <c r="Q143" s="83" t="str">
        <f t="shared" ca="1" si="4"/>
        <v>2-5 yrs</v>
      </c>
      <c r="R143" s="83" t="str">
        <f t="shared" si="5"/>
        <v>Yes</v>
      </c>
      <c r="S143" s="112" t="str">
        <f>IFERROR(VLOOKUP($A143,'09_Attrition_Tracker'!$B:$M,12,FALSE),"No")</f>
        <v>No</v>
      </c>
    </row>
    <row r="144" spans="1:19">
      <c r="A144" s="136" t="s">
        <v>746</v>
      </c>
      <c r="B144" s="122" t="s">
        <v>747</v>
      </c>
      <c r="C144" s="122" t="s">
        <v>271</v>
      </c>
      <c r="D144" s="123" t="s">
        <v>437</v>
      </c>
      <c r="E144" s="122" t="s">
        <v>628</v>
      </c>
      <c r="F144" s="122" t="s">
        <v>20</v>
      </c>
      <c r="G144" s="122" t="s">
        <v>408</v>
      </c>
      <c r="H144" s="122" t="s">
        <v>429</v>
      </c>
      <c r="I144" s="123" t="s">
        <v>121</v>
      </c>
      <c r="J144" s="124">
        <v>45749</v>
      </c>
      <c r="K144" s="124">
        <v>45929</v>
      </c>
      <c r="L144" s="123" t="s">
        <v>131</v>
      </c>
      <c r="M144" s="122"/>
      <c r="N144" s="122" t="s">
        <v>441</v>
      </c>
      <c r="O144" s="123" t="s">
        <v>431</v>
      </c>
      <c r="P144" s="114">
        <f ca="1">IF($J144="","",MAX(0,INT((IF(OR($L144="Active",$L144="On Leave"),TODAY(),IFERROR(VLOOKUP($A144,'09_Attrition_Tracker'!$B:$G,6,FALSE),TODAY()))-$J144)/30)))</f>
        <v>13</v>
      </c>
      <c r="Q144" s="83" t="str">
        <f t="shared" ca="1" si="4"/>
        <v>1-2 yrs</v>
      </c>
      <c r="R144" s="83" t="str">
        <f t="shared" si="5"/>
        <v>Yes</v>
      </c>
      <c r="S144" s="112" t="str">
        <f>IFERROR(VLOOKUP($A144,'09_Attrition_Tracker'!$B:$M,12,FALSE),"No")</f>
        <v>No</v>
      </c>
    </row>
    <row r="145" spans="1:19">
      <c r="A145" s="136" t="s">
        <v>748</v>
      </c>
      <c r="B145" s="122" t="s">
        <v>749</v>
      </c>
      <c r="C145" s="122" t="s">
        <v>37</v>
      </c>
      <c r="D145" s="123" t="s">
        <v>437</v>
      </c>
      <c r="E145" s="122" t="s">
        <v>536</v>
      </c>
      <c r="F145" s="122" t="s">
        <v>537</v>
      </c>
      <c r="G145" s="122" t="s">
        <v>37</v>
      </c>
      <c r="H145" s="122" t="s">
        <v>118</v>
      </c>
      <c r="I145" s="123" t="s">
        <v>121</v>
      </c>
      <c r="J145" s="124">
        <v>44973</v>
      </c>
      <c r="K145" s="124">
        <v>45153</v>
      </c>
      <c r="L145" s="123" t="s">
        <v>131</v>
      </c>
      <c r="M145" s="122" t="s">
        <v>476</v>
      </c>
      <c r="N145" s="122" t="s">
        <v>430</v>
      </c>
      <c r="O145" s="123" t="s">
        <v>140</v>
      </c>
      <c r="P145" s="114">
        <f ca="1">IF($J145="","",MAX(0,INT((IF(OR($L145="Active",$L145="On Leave"),TODAY(),IFERROR(VLOOKUP($A145,'09_Attrition_Tracker'!$B:$G,6,FALSE),TODAY()))-$J145)/30)))</f>
        <v>39</v>
      </c>
      <c r="Q145" s="83" t="str">
        <f t="shared" ca="1" si="4"/>
        <v>2-5 yrs</v>
      </c>
      <c r="R145" s="83" t="str">
        <f t="shared" si="5"/>
        <v>Yes</v>
      </c>
      <c r="S145" s="112" t="str">
        <f>IFERROR(VLOOKUP($A145,'09_Attrition_Tracker'!$B:$M,12,FALSE),"No")</f>
        <v>No</v>
      </c>
    </row>
    <row r="146" spans="1:19">
      <c r="A146" s="136" t="s">
        <v>750</v>
      </c>
      <c r="B146" s="122" t="s">
        <v>751</v>
      </c>
      <c r="C146" s="122" t="s">
        <v>407</v>
      </c>
      <c r="D146" s="123" t="s">
        <v>108</v>
      </c>
      <c r="E146" s="122" t="s">
        <v>444</v>
      </c>
      <c r="F146" s="122" t="s">
        <v>445</v>
      </c>
      <c r="G146" s="122" t="s">
        <v>417</v>
      </c>
      <c r="H146" s="122" t="s">
        <v>429</v>
      </c>
      <c r="I146" s="123" t="s">
        <v>121</v>
      </c>
      <c r="J146" s="124">
        <v>44034</v>
      </c>
      <c r="K146" s="124">
        <v>44214</v>
      </c>
      <c r="L146" s="123" t="s">
        <v>131</v>
      </c>
      <c r="M146" s="122"/>
      <c r="N146" s="122" t="s">
        <v>137</v>
      </c>
      <c r="O146" s="123" t="s">
        <v>453</v>
      </c>
      <c r="P146" s="114">
        <f ca="1">IF($J146="","",MAX(0,INT((IF(OR($L146="Active",$L146="On Leave"),TODAY(),IFERROR(VLOOKUP($A146,'09_Attrition_Tracker'!$B:$G,6,FALSE),TODAY()))-$J146)/30)))</f>
        <v>70</v>
      </c>
      <c r="Q146" s="83" t="str">
        <f t="shared" ca="1" si="4"/>
        <v>5+ yrs</v>
      </c>
      <c r="R146" s="83" t="str">
        <f t="shared" si="5"/>
        <v>Yes</v>
      </c>
      <c r="S146" s="112" t="str">
        <f>IFERROR(VLOOKUP($A146,'09_Attrition_Tracker'!$B:$M,12,FALSE),"No")</f>
        <v>No</v>
      </c>
    </row>
    <row r="147" spans="1:19">
      <c r="A147" s="136" t="s">
        <v>752</v>
      </c>
      <c r="B147" s="122" t="s">
        <v>753</v>
      </c>
      <c r="C147" s="122" t="s">
        <v>176</v>
      </c>
      <c r="D147" s="123" t="s">
        <v>450</v>
      </c>
      <c r="E147" s="122" t="s">
        <v>177</v>
      </c>
      <c r="F147" s="122" t="s">
        <v>178</v>
      </c>
      <c r="G147" s="122" t="s">
        <v>154</v>
      </c>
      <c r="H147" s="122" t="s">
        <v>118</v>
      </c>
      <c r="I147" s="123" t="s">
        <v>121</v>
      </c>
      <c r="J147" s="124">
        <v>45661</v>
      </c>
      <c r="K147" s="124">
        <v>45841</v>
      </c>
      <c r="L147" s="123" t="s">
        <v>381</v>
      </c>
      <c r="M147" s="122" t="s">
        <v>569</v>
      </c>
      <c r="N147" s="122" t="s">
        <v>430</v>
      </c>
      <c r="O147" s="123" t="s">
        <v>431</v>
      </c>
      <c r="P147" s="114">
        <f ca="1">IF($J147="","",MAX(0,INT((IF(OR($L147="Active",$L147="On Leave"),TODAY(),IFERROR(VLOOKUP($A147,'09_Attrition_Tracker'!$B:$G,6,FALSE),TODAY()))-$J147)/30)))</f>
        <v>10</v>
      </c>
      <c r="Q147" s="83" t="str">
        <f t="shared" ca="1" si="4"/>
        <v>7-12 mos</v>
      </c>
      <c r="R147" s="83" t="str">
        <f t="shared" si="5"/>
        <v>No</v>
      </c>
      <c r="S147" s="112" t="str">
        <f>IFERROR(VLOOKUP($A147,'09_Attrition_Tracker'!$B:$M,12,FALSE),"No")</f>
        <v>No</v>
      </c>
    </row>
    <row r="148" spans="1:19">
      <c r="A148" s="136" t="s">
        <v>754</v>
      </c>
      <c r="B148" s="122" t="s">
        <v>755</v>
      </c>
      <c r="C148" s="122" t="s">
        <v>176</v>
      </c>
      <c r="D148" s="123" t="s">
        <v>426</v>
      </c>
      <c r="E148" s="122" t="s">
        <v>577</v>
      </c>
      <c r="F148" s="122" t="s">
        <v>578</v>
      </c>
      <c r="G148" s="122" t="s">
        <v>154</v>
      </c>
      <c r="H148" s="122" t="s">
        <v>434</v>
      </c>
      <c r="I148" s="123" t="s">
        <v>121</v>
      </c>
      <c r="J148" s="124">
        <v>43729</v>
      </c>
      <c r="K148" s="124">
        <v>43909</v>
      </c>
      <c r="L148" s="123" t="s">
        <v>381</v>
      </c>
      <c r="M148" s="122" t="s">
        <v>435</v>
      </c>
      <c r="N148" s="122" t="s">
        <v>441</v>
      </c>
      <c r="O148" s="123" t="s">
        <v>459</v>
      </c>
      <c r="P148" s="114">
        <f ca="1">IF($J148="","",MAX(0,INT((IF(OR($L148="Active",$L148="On Leave"),TODAY(),IFERROR(VLOOKUP($A148,'09_Attrition_Tracker'!$B:$G,6,FALSE),TODAY()))-$J148)/30)))</f>
        <v>69</v>
      </c>
      <c r="Q148" s="83" t="str">
        <f t="shared" ca="1" si="4"/>
        <v>5+ yrs</v>
      </c>
      <c r="R148" s="83" t="str">
        <f t="shared" si="5"/>
        <v>No</v>
      </c>
      <c r="S148" s="112" t="str">
        <f>IFERROR(VLOOKUP($A148,'09_Attrition_Tracker'!$B:$M,12,FALSE),"No")</f>
        <v>No</v>
      </c>
    </row>
    <row r="149" spans="1:19">
      <c r="A149" s="136" t="s">
        <v>756</v>
      </c>
      <c r="B149" s="122" t="s">
        <v>466</v>
      </c>
      <c r="C149" s="122" t="s">
        <v>152</v>
      </c>
      <c r="D149" s="123" t="s">
        <v>450</v>
      </c>
      <c r="E149" s="122" t="s">
        <v>427</v>
      </c>
      <c r="F149" s="122" t="s">
        <v>428</v>
      </c>
      <c r="G149" s="122" t="s">
        <v>154</v>
      </c>
      <c r="H149" s="122" t="s">
        <v>429</v>
      </c>
      <c r="I149" s="123" t="s">
        <v>121</v>
      </c>
      <c r="J149" s="124">
        <v>45410</v>
      </c>
      <c r="K149" s="124"/>
      <c r="L149" s="123" t="s">
        <v>131</v>
      </c>
      <c r="M149" s="122"/>
      <c r="N149" s="122" t="s">
        <v>430</v>
      </c>
      <c r="O149" s="123" t="s">
        <v>446</v>
      </c>
      <c r="P149" s="114">
        <f ca="1">IF($J149="","",MAX(0,INT((IF(OR($L149="Active",$L149="On Leave"),TODAY(),IFERROR(VLOOKUP($A149,'09_Attrition_Tracker'!$B:$G,6,FALSE),TODAY()))-$J149)/30)))</f>
        <v>24</v>
      </c>
      <c r="Q149" s="83" t="str">
        <f t="shared" ca="1" si="4"/>
        <v>1-2 yrs</v>
      </c>
      <c r="R149" s="83" t="str">
        <f t="shared" si="5"/>
        <v>Yes</v>
      </c>
      <c r="S149" s="112" t="str">
        <f>IFERROR(VLOOKUP($A149,'09_Attrition_Tracker'!$B:$M,12,FALSE),"No")</f>
        <v>No</v>
      </c>
    </row>
    <row r="150" spans="1:19">
      <c r="A150" s="136" t="s">
        <v>757</v>
      </c>
      <c r="B150" s="122" t="s">
        <v>758</v>
      </c>
      <c r="C150" s="122" t="s">
        <v>152</v>
      </c>
      <c r="D150" s="123" t="s">
        <v>450</v>
      </c>
      <c r="E150" s="122" t="s">
        <v>151</v>
      </c>
      <c r="F150" s="122" t="s">
        <v>153</v>
      </c>
      <c r="G150" s="122" t="s">
        <v>154</v>
      </c>
      <c r="H150" s="122" t="s">
        <v>434</v>
      </c>
      <c r="I150" s="123" t="s">
        <v>380</v>
      </c>
      <c r="J150" s="124">
        <v>44927</v>
      </c>
      <c r="K150" s="124"/>
      <c r="L150" s="123" t="s">
        <v>131</v>
      </c>
      <c r="M150" s="122" t="s">
        <v>471</v>
      </c>
      <c r="N150" s="122" t="s">
        <v>515</v>
      </c>
      <c r="O150" s="123" t="s">
        <v>459</v>
      </c>
      <c r="P150" s="114">
        <f ca="1">IF($J150="","",MAX(0,INT((IF(OR($L150="Active",$L150="On Leave"),TODAY(),IFERROR(VLOOKUP($A150,'09_Attrition_Tracker'!$B:$G,6,FALSE),TODAY()))-$J150)/30)))</f>
        <v>40</v>
      </c>
      <c r="Q150" s="83" t="str">
        <f t="shared" ca="1" si="4"/>
        <v>2-5 yrs</v>
      </c>
      <c r="R150" s="83" t="str">
        <f t="shared" si="5"/>
        <v>Yes</v>
      </c>
      <c r="S150" s="112" t="str">
        <f>IFERROR(VLOOKUP($A150,'09_Attrition_Tracker'!$B:$M,12,FALSE),"No")</f>
        <v>No</v>
      </c>
    </row>
    <row r="151" spans="1:19">
      <c r="A151" s="136" t="s">
        <v>759</v>
      </c>
      <c r="B151" s="122" t="s">
        <v>638</v>
      </c>
      <c r="C151" s="122" t="s">
        <v>416</v>
      </c>
      <c r="D151" s="123" t="s">
        <v>108</v>
      </c>
      <c r="E151" s="122" t="s">
        <v>557</v>
      </c>
      <c r="F151" s="122" t="s">
        <v>558</v>
      </c>
      <c r="G151" s="122" t="s">
        <v>411</v>
      </c>
      <c r="H151" s="122" t="s">
        <v>434</v>
      </c>
      <c r="I151" s="123" t="s">
        <v>121</v>
      </c>
      <c r="J151" s="124">
        <v>42889</v>
      </c>
      <c r="K151" s="124"/>
      <c r="L151" s="123" t="s">
        <v>381</v>
      </c>
      <c r="M151" s="122" t="s">
        <v>507</v>
      </c>
      <c r="N151" s="122" t="s">
        <v>441</v>
      </c>
      <c r="O151" s="123" t="s">
        <v>140</v>
      </c>
      <c r="P151" s="114">
        <f ca="1">IF($J151="","",MAX(0,INT((IF(OR($L151="Active",$L151="On Leave"),TODAY(),IFERROR(VLOOKUP($A151,'09_Attrition_Tracker'!$B:$G,6,FALSE),TODAY()))-$J151)/30)))</f>
        <v>104</v>
      </c>
      <c r="Q151" s="83" t="str">
        <f t="shared" ca="1" si="4"/>
        <v>5+ yrs</v>
      </c>
      <c r="R151" s="83" t="str">
        <f t="shared" si="5"/>
        <v>No</v>
      </c>
      <c r="S151" s="112" t="str">
        <f>IFERROR(VLOOKUP($A151,'09_Attrition_Tracker'!$B:$M,12,FALSE),"No")</f>
        <v>No</v>
      </c>
    </row>
    <row r="152" spans="1:19">
      <c r="A152" s="136" t="s">
        <v>760</v>
      </c>
      <c r="B152" s="122" t="s">
        <v>761</v>
      </c>
      <c r="C152" s="122" t="s">
        <v>407</v>
      </c>
      <c r="D152" s="123" t="s">
        <v>108</v>
      </c>
      <c r="E152" s="122" t="s">
        <v>501</v>
      </c>
      <c r="F152" s="122" t="s">
        <v>502</v>
      </c>
      <c r="G152" s="122" t="s">
        <v>417</v>
      </c>
      <c r="H152" s="122" t="s">
        <v>118</v>
      </c>
      <c r="I152" s="123" t="s">
        <v>380</v>
      </c>
      <c r="J152" s="124">
        <v>43401</v>
      </c>
      <c r="K152" s="124">
        <v>43581</v>
      </c>
      <c r="L152" s="123" t="s">
        <v>131</v>
      </c>
      <c r="M152" s="122" t="s">
        <v>96</v>
      </c>
      <c r="N152" s="122" t="s">
        <v>475</v>
      </c>
      <c r="O152" s="123" t="s">
        <v>140</v>
      </c>
      <c r="P152" s="114">
        <f ca="1">IF($J152="","",MAX(0,INT((IF(OR($L152="Active",$L152="On Leave"),TODAY(),IFERROR(VLOOKUP($A152,'09_Attrition_Tracker'!$B:$G,6,FALSE),TODAY()))-$J152)/30)))</f>
        <v>91</v>
      </c>
      <c r="Q152" s="83" t="str">
        <f t="shared" ca="1" si="4"/>
        <v>5+ yrs</v>
      </c>
      <c r="R152" s="83" t="str">
        <f t="shared" si="5"/>
        <v>Yes</v>
      </c>
      <c r="S152" s="112" t="str">
        <f>IFERROR(VLOOKUP($A152,'09_Attrition_Tracker'!$B:$M,12,FALSE),"No")</f>
        <v>No</v>
      </c>
    </row>
    <row r="153" spans="1:19">
      <c r="A153" s="136" t="s">
        <v>762</v>
      </c>
      <c r="B153" s="122" t="s">
        <v>763</v>
      </c>
      <c r="C153" s="122" t="s">
        <v>271</v>
      </c>
      <c r="D153" s="123" t="s">
        <v>437</v>
      </c>
      <c r="E153" s="122" t="s">
        <v>628</v>
      </c>
      <c r="F153" s="122" t="s">
        <v>20</v>
      </c>
      <c r="G153" s="122" t="s">
        <v>408</v>
      </c>
      <c r="H153" s="122" t="s">
        <v>429</v>
      </c>
      <c r="I153" s="123" t="s">
        <v>121</v>
      </c>
      <c r="J153" s="124">
        <v>44377</v>
      </c>
      <c r="K153" s="124">
        <v>44557</v>
      </c>
      <c r="L153" s="123" t="s">
        <v>131</v>
      </c>
      <c r="M153" s="122"/>
      <c r="N153" s="122" t="s">
        <v>475</v>
      </c>
      <c r="O153" s="123" t="s">
        <v>459</v>
      </c>
      <c r="P153" s="114">
        <f ca="1">IF($J153="","",MAX(0,INT((IF(OR($L153="Active",$L153="On Leave"),TODAY(),IFERROR(VLOOKUP($A153,'09_Attrition_Tracker'!$B:$G,6,FALSE),TODAY()))-$J153)/30)))</f>
        <v>58</v>
      </c>
      <c r="Q153" s="83" t="str">
        <f t="shared" ca="1" si="4"/>
        <v>2-5 yrs</v>
      </c>
      <c r="R153" s="83" t="str">
        <f t="shared" si="5"/>
        <v>Yes</v>
      </c>
      <c r="S153" s="112" t="str">
        <f>IFERROR(VLOOKUP($A153,'09_Attrition_Tracker'!$B:$M,12,FALSE),"No")</f>
        <v>No</v>
      </c>
    </row>
    <row r="154" spans="1:19">
      <c r="A154" s="136" t="s">
        <v>764</v>
      </c>
      <c r="B154" s="122" t="s">
        <v>765</v>
      </c>
      <c r="C154" s="122" t="s">
        <v>271</v>
      </c>
      <c r="D154" s="123" t="s">
        <v>437</v>
      </c>
      <c r="E154" s="122" t="s">
        <v>521</v>
      </c>
      <c r="F154" s="122" t="s">
        <v>522</v>
      </c>
      <c r="G154" s="122" t="s">
        <v>408</v>
      </c>
      <c r="H154" s="122" t="s">
        <v>434</v>
      </c>
      <c r="I154" s="123" t="s">
        <v>121</v>
      </c>
      <c r="J154" s="124">
        <v>44086</v>
      </c>
      <c r="K154" s="124">
        <v>44266</v>
      </c>
      <c r="L154" s="123" t="s">
        <v>131</v>
      </c>
      <c r="M154" s="122" t="s">
        <v>511</v>
      </c>
      <c r="N154" s="122" t="s">
        <v>464</v>
      </c>
      <c r="O154" s="123" t="s">
        <v>453</v>
      </c>
      <c r="P154" s="114">
        <f ca="1">IF($J154="","",MAX(0,INT((IF(OR($L154="Active",$L154="On Leave"),TODAY(),IFERROR(VLOOKUP($A154,'09_Attrition_Tracker'!$B:$G,6,FALSE),TODAY()))-$J154)/30)))</f>
        <v>68</v>
      </c>
      <c r="Q154" s="83" t="str">
        <f t="shared" ca="1" si="4"/>
        <v>5+ yrs</v>
      </c>
      <c r="R154" s="83" t="str">
        <f t="shared" si="5"/>
        <v>Yes</v>
      </c>
      <c r="S154" s="112" t="str">
        <f>IFERROR(VLOOKUP($A154,'09_Attrition_Tracker'!$B:$M,12,FALSE),"No")</f>
        <v>No</v>
      </c>
    </row>
    <row r="155" spans="1:19">
      <c r="A155" s="136" t="s">
        <v>766</v>
      </c>
      <c r="B155" s="122" t="s">
        <v>767</v>
      </c>
      <c r="C155" s="122" t="s">
        <v>176</v>
      </c>
      <c r="D155" s="123" t="s">
        <v>437</v>
      </c>
      <c r="E155" s="122" t="s">
        <v>177</v>
      </c>
      <c r="F155" s="122" t="s">
        <v>178</v>
      </c>
      <c r="G155" s="122" t="s">
        <v>154</v>
      </c>
      <c r="H155" s="122" t="s">
        <v>118</v>
      </c>
      <c r="I155" s="123" t="s">
        <v>391</v>
      </c>
      <c r="J155" s="124">
        <v>45563</v>
      </c>
      <c r="K155" s="124">
        <v>45743</v>
      </c>
      <c r="L155" s="123" t="s">
        <v>381</v>
      </c>
      <c r="M155" s="122" t="s">
        <v>484</v>
      </c>
      <c r="N155" s="122" t="s">
        <v>441</v>
      </c>
      <c r="O155" s="123" t="s">
        <v>140</v>
      </c>
      <c r="P155" s="114">
        <f ca="1">IF($J155="","",MAX(0,INT((IF(OR($L155="Active",$L155="On Leave"),TODAY(),IFERROR(VLOOKUP($A155,'09_Attrition_Tracker'!$B:$G,6,FALSE),TODAY()))-$J155)/30)))</f>
        <v>18</v>
      </c>
      <c r="Q155" s="83" t="str">
        <f t="shared" ca="1" si="4"/>
        <v>1-2 yrs</v>
      </c>
      <c r="R155" s="83" t="str">
        <f t="shared" si="5"/>
        <v>No</v>
      </c>
      <c r="S155" s="112" t="str">
        <f>IFERROR(VLOOKUP($A155,'09_Attrition_Tracker'!$B:$M,12,FALSE),"No")</f>
        <v>Yes</v>
      </c>
    </row>
    <row r="156" spans="1:19">
      <c r="A156" s="136" t="s">
        <v>768</v>
      </c>
      <c r="B156" s="122" t="s">
        <v>657</v>
      </c>
      <c r="C156" s="122" t="s">
        <v>421</v>
      </c>
      <c r="D156" s="123" t="s">
        <v>426</v>
      </c>
      <c r="E156" s="122" t="s">
        <v>553</v>
      </c>
      <c r="F156" s="122" t="s">
        <v>554</v>
      </c>
      <c r="G156" s="122" t="s">
        <v>420</v>
      </c>
      <c r="H156" s="122" t="s">
        <v>434</v>
      </c>
      <c r="I156" s="123" t="s">
        <v>121</v>
      </c>
      <c r="J156" s="124">
        <v>45838</v>
      </c>
      <c r="K156" s="124">
        <v>46018</v>
      </c>
      <c r="L156" s="123" t="s">
        <v>131</v>
      </c>
      <c r="M156" s="122" t="s">
        <v>561</v>
      </c>
      <c r="N156" s="122" t="s">
        <v>458</v>
      </c>
      <c r="O156" s="123" t="s">
        <v>459</v>
      </c>
      <c r="P156" s="114">
        <f ca="1">IF($J156="","",MAX(0,INT((IF(OR($L156="Active",$L156="On Leave"),TODAY(),IFERROR(VLOOKUP($A156,'09_Attrition_Tracker'!$B:$G,6,FALSE),TODAY()))-$J156)/30)))</f>
        <v>10</v>
      </c>
      <c r="Q156" s="83" t="str">
        <f t="shared" ca="1" si="4"/>
        <v>7-12 mos</v>
      </c>
      <c r="R156" s="83" t="str">
        <f t="shared" si="5"/>
        <v>Yes</v>
      </c>
      <c r="S156" s="112" t="str">
        <f>IFERROR(VLOOKUP($A156,'09_Attrition_Tracker'!$B:$M,12,FALSE),"No")</f>
        <v>No</v>
      </c>
    </row>
    <row r="157" spans="1:19">
      <c r="A157" s="136" t="s">
        <v>769</v>
      </c>
      <c r="B157" s="122" t="s">
        <v>770</v>
      </c>
      <c r="C157" s="122" t="s">
        <v>152</v>
      </c>
      <c r="D157" s="123" t="s">
        <v>450</v>
      </c>
      <c r="E157" s="122" t="s">
        <v>427</v>
      </c>
      <c r="F157" s="122" t="s">
        <v>428</v>
      </c>
      <c r="G157" s="122" t="s">
        <v>154</v>
      </c>
      <c r="H157" s="122" t="s">
        <v>429</v>
      </c>
      <c r="I157" s="123" t="s">
        <v>121</v>
      </c>
      <c r="J157" s="124">
        <v>45081</v>
      </c>
      <c r="K157" s="124">
        <v>45261</v>
      </c>
      <c r="L157" s="123" t="s">
        <v>131</v>
      </c>
      <c r="M157" s="122"/>
      <c r="N157" s="122" t="s">
        <v>475</v>
      </c>
      <c r="O157" s="123" t="s">
        <v>431</v>
      </c>
      <c r="P157" s="114">
        <f ca="1">IF($J157="","",MAX(0,INT((IF(OR($L157="Active",$L157="On Leave"),TODAY(),IFERROR(VLOOKUP($A157,'09_Attrition_Tracker'!$B:$G,6,FALSE),TODAY()))-$J157)/30)))</f>
        <v>35</v>
      </c>
      <c r="Q157" s="83" t="str">
        <f t="shared" ca="1" si="4"/>
        <v>2-5 yrs</v>
      </c>
      <c r="R157" s="83" t="str">
        <f t="shared" si="5"/>
        <v>Yes</v>
      </c>
      <c r="S157" s="112" t="str">
        <f>IFERROR(VLOOKUP($A157,'09_Attrition_Tracker'!$B:$M,12,FALSE),"No")</f>
        <v>No</v>
      </c>
    </row>
    <row r="158" spans="1:19">
      <c r="A158" s="136" t="s">
        <v>771</v>
      </c>
      <c r="B158" s="122" t="s">
        <v>772</v>
      </c>
      <c r="C158" s="122" t="s">
        <v>379</v>
      </c>
      <c r="D158" s="123" t="s">
        <v>426</v>
      </c>
      <c r="E158" s="122" t="s">
        <v>544</v>
      </c>
      <c r="F158" s="122" t="s">
        <v>545</v>
      </c>
      <c r="G158" s="122" t="s">
        <v>390</v>
      </c>
      <c r="H158" s="122" t="s">
        <v>440</v>
      </c>
      <c r="I158" s="123" t="s">
        <v>121</v>
      </c>
      <c r="J158" s="124">
        <v>44593</v>
      </c>
      <c r="K158" s="124">
        <v>44773</v>
      </c>
      <c r="L158" s="123" t="s">
        <v>392</v>
      </c>
      <c r="M158" s="122" t="s">
        <v>542</v>
      </c>
      <c r="N158" s="122" t="s">
        <v>430</v>
      </c>
      <c r="O158" s="123" t="s">
        <v>459</v>
      </c>
      <c r="P158" s="114">
        <f ca="1">IF($J158="","",MAX(0,INT((IF(OR($L158="Active",$L158="On Leave"),TODAY(),IFERROR(VLOOKUP($A158,'09_Attrition_Tracker'!$B:$G,6,FALSE),TODAY()))-$J158)/30)))</f>
        <v>39</v>
      </c>
      <c r="Q158" s="83" t="str">
        <f t="shared" ca="1" si="4"/>
        <v>2-5 yrs</v>
      </c>
      <c r="R158" s="83" t="str">
        <f t="shared" si="5"/>
        <v>No</v>
      </c>
      <c r="S158" s="112" t="str">
        <f>IFERROR(VLOOKUP($A158,'09_Attrition_Tracker'!$B:$M,12,FALSE),"No")</f>
        <v>Yes</v>
      </c>
    </row>
    <row r="159" spans="1:19">
      <c r="A159" s="136" t="s">
        <v>773</v>
      </c>
      <c r="B159" s="122" t="s">
        <v>562</v>
      </c>
      <c r="C159" s="122" t="s">
        <v>407</v>
      </c>
      <c r="D159" s="123" t="s">
        <v>426</v>
      </c>
      <c r="E159" s="122" t="s">
        <v>501</v>
      </c>
      <c r="F159" s="122" t="s">
        <v>502</v>
      </c>
      <c r="G159" s="122" t="s">
        <v>417</v>
      </c>
      <c r="H159" s="122" t="s">
        <v>118</v>
      </c>
      <c r="I159" s="123" t="s">
        <v>391</v>
      </c>
      <c r="J159" s="124">
        <v>45104</v>
      </c>
      <c r="K159" s="124">
        <v>45284</v>
      </c>
      <c r="L159" s="123" t="s">
        <v>381</v>
      </c>
      <c r="M159" s="122" t="s">
        <v>442</v>
      </c>
      <c r="N159" s="122" t="s">
        <v>464</v>
      </c>
      <c r="O159" s="123" t="s">
        <v>453</v>
      </c>
      <c r="P159" s="114">
        <f ca="1">IF($J159="","",MAX(0,INT((IF(OR($L159="Active",$L159="On Leave"),TODAY(),IFERROR(VLOOKUP($A159,'09_Attrition_Tracker'!$B:$G,6,FALSE),TODAY()))-$J159)/30)))</f>
        <v>31</v>
      </c>
      <c r="Q159" s="83" t="str">
        <f t="shared" ca="1" si="4"/>
        <v>2-5 yrs</v>
      </c>
      <c r="R159" s="83" t="str">
        <f t="shared" si="5"/>
        <v>No</v>
      </c>
      <c r="S159" s="112" t="str">
        <f>IFERROR(VLOOKUP($A159,'09_Attrition_Tracker'!$B:$M,12,FALSE),"No")</f>
        <v>No</v>
      </c>
    </row>
    <row r="160" spans="1:19">
      <c r="A160" s="136" t="s">
        <v>774</v>
      </c>
      <c r="B160" s="122" t="s">
        <v>775</v>
      </c>
      <c r="C160" s="122" t="s">
        <v>407</v>
      </c>
      <c r="D160" s="123" t="s">
        <v>450</v>
      </c>
      <c r="E160" s="122" t="s">
        <v>469</v>
      </c>
      <c r="F160" s="122" t="s">
        <v>470</v>
      </c>
      <c r="G160" s="122" t="s">
        <v>417</v>
      </c>
      <c r="H160" s="122" t="s">
        <v>118</v>
      </c>
      <c r="I160" s="123" t="s">
        <v>380</v>
      </c>
      <c r="J160" s="124">
        <v>45872</v>
      </c>
      <c r="K160" s="124">
        <v>46052</v>
      </c>
      <c r="L160" s="123" t="s">
        <v>131</v>
      </c>
      <c r="M160" s="122" t="s">
        <v>513</v>
      </c>
      <c r="N160" s="122" t="s">
        <v>137</v>
      </c>
      <c r="O160" s="123" t="s">
        <v>453</v>
      </c>
      <c r="P160" s="114">
        <f ca="1">IF($J160="","",MAX(0,INT((IF(OR($L160="Active",$L160="On Leave"),TODAY(),IFERROR(VLOOKUP($A160,'09_Attrition_Tracker'!$B:$G,6,FALSE),TODAY()))-$J160)/30)))</f>
        <v>9</v>
      </c>
      <c r="Q160" s="83" t="str">
        <f t="shared" ca="1" si="4"/>
        <v>7-12 mos</v>
      </c>
      <c r="R160" s="83" t="str">
        <f t="shared" si="5"/>
        <v>Yes</v>
      </c>
      <c r="S160" s="112" t="str">
        <f>IFERROR(VLOOKUP($A160,'09_Attrition_Tracker'!$B:$M,12,FALSE),"No")</f>
        <v>No</v>
      </c>
    </row>
    <row r="161" spans="1:19">
      <c r="A161" s="136" t="s">
        <v>776</v>
      </c>
      <c r="B161" s="122" t="s">
        <v>777</v>
      </c>
      <c r="C161" s="122" t="s">
        <v>104</v>
      </c>
      <c r="D161" s="123" t="s">
        <v>437</v>
      </c>
      <c r="E161" s="122" t="s">
        <v>495</v>
      </c>
      <c r="F161" s="122" t="s">
        <v>496</v>
      </c>
      <c r="G161" s="122" t="s">
        <v>104</v>
      </c>
      <c r="H161" s="122" t="s">
        <v>118</v>
      </c>
      <c r="I161" s="123" t="s">
        <v>380</v>
      </c>
      <c r="J161" s="124">
        <v>43221</v>
      </c>
      <c r="K161" s="124">
        <v>43401</v>
      </c>
      <c r="L161" s="123" t="s">
        <v>400</v>
      </c>
      <c r="M161" s="122" t="s">
        <v>567</v>
      </c>
      <c r="N161" s="122" t="s">
        <v>447</v>
      </c>
      <c r="O161" s="123" t="s">
        <v>446</v>
      </c>
      <c r="P161" s="114">
        <f ca="1">IF($J161="","",MAX(0,INT((IF(OR($L161="Active",$L161="On Leave"),TODAY(),IFERROR(VLOOKUP($A161,'09_Attrition_Tracker'!$B:$G,6,FALSE),TODAY()))-$J161)/30)))</f>
        <v>97</v>
      </c>
      <c r="Q161" s="83" t="str">
        <f t="shared" ca="1" si="4"/>
        <v>5+ yrs</v>
      </c>
      <c r="R161" s="83" t="str">
        <f t="shared" si="5"/>
        <v>Yes</v>
      </c>
      <c r="S161" s="112" t="str">
        <f>IFERROR(VLOOKUP($A161,'09_Attrition_Tracker'!$B:$M,12,FALSE),"No")</f>
        <v>No</v>
      </c>
    </row>
    <row r="162" spans="1:19">
      <c r="A162" s="136" t="s">
        <v>778</v>
      </c>
      <c r="B162" s="122" t="s">
        <v>779</v>
      </c>
      <c r="C162" s="122" t="s">
        <v>104</v>
      </c>
      <c r="D162" s="123" t="s">
        <v>426</v>
      </c>
      <c r="E162" s="122" t="s">
        <v>111</v>
      </c>
      <c r="F162" s="122" t="s">
        <v>113</v>
      </c>
      <c r="G162" s="122" t="s">
        <v>104</v>
      </c>
      <c r="H162" s="122" t="s">
        <v>118</v>
      </c>
      <c r="I162" s="123" t="s">
        <v>121</v>
      </c>
      <c r="J162" s="124">
        <v>43676</v>
      </c>
      <c r="K162" s="124">
        <v>43856</v>
      </c>
      <c r="L162" s="123" t="s">
        <v>131</v>
      </c>
      <c r="M162" s="122" t="s">
        <v>476</v>
      </c>
      <c r="N162" s="122" t="s">
        <v>137</v>
      </c>
      <c r="O162" s="123" t="s">
        <v>431</v>
      </c>
      <c r="P162" s="114">
        <f ca="1">IF($J162="","",MAX(0,INT((IF(OR($L162="Active",$L162="On Leave"),TODAY(),IFERROR(VLOOKUP($A162,'09_Attrition_Tracker'!$B:$G,6,FALSE),TODAY()))-$J162)/30)))</f>
        <v>82</v>
      </c>
      <c r="Q162" s="83" t="str">
        <f t="shared" ca="1" si="4"/>
        <v>5+ yrs</v>
      </c>
      <c r="R162" s="83" t="str">
        <f t="shared" si="5"/>
        <v>Yes</v>
      </c>
      <c r="S162" s="112" t="str">
        <f>IFERROR(VLOOKUP($A162,'09_Attrition_Tracker'!$B:$M,12,FALSE),"No")</f>
        <v>No</v>
      </c>
    </row>
    <row r="163" spans="1:19">
      <c r="A163" s="136" t="s">
        <v>780</v>
      </c>
      <c r="B163" s="122" t="s">
        <v>781</v>
      </c>
      <c r="C163" s="122" t="s">
        <v>371</v>
      </c>
      <c r="D163" s="123" t="s">
        <v>450</v>
      </c>
      <c r="E163" s="122" t="s">
        <v>462</v>
      </c>
      <c r="F163" s="122" t="s">
        <v>463</v>
      </c>
      <c r="G163" s="122" t="s">
        <v>371</v>
      </c>
      <c r="H163" s="122" t="s">
        <v>434</v>
      </c>
      <c r="I163" s="123" t="s">
        <v>121</v>
      </c>
      <c r="J163" s="124">
        <v>45168</v>
      </c>
      <c r="K163" s="124">
        <v>45348</v>
      </c>
      <c r="L163" s="123" t="s">
        <v>381</v>
      </c>
      <c r="M163" s="122" t="s">
        <v>432</v>
      </c>
      <c r="N163" s="122" t="s">
        <v>475</v>
      </c>
      <c r="O163" s="123" t="s">
        <v>459</v>
      </c>
      <c r="P163" s="114">
        <f ca="1">IF($J163="","",MAX(0,INT((IF(OR($L163="Active",$L163="On Leave"),TODAY(),IFERROR(VLOOKUP($A163,'09_Attrition_Tracker'!$B:$G,6,FALSE),TODAY()))-$J163)/30)))</f>
        <v>23</v>
      </c>
      <c r="Q163" s="83" t="str">
        <f t="shared" ca="1" si="4"/>
        <v>1-2 yrs</v>
      </c>
      <c r="R163" s="83" t="str">
        <f t="shared" si="5"/>
        <v>No</v>
      </c>
      <c r="S163" s="112" t="str">
        <f>IFERROR(VLOOKUP($A163,'09_Attrition_Tracker'!$B:$M,12,FALSE),"No")</f>
        <v>Yes</v>
      </c>
    </row>
    <row r="164" spans="1:19">
      <c r="A164" s="136" t="s">
        <v>782</v>
      </c>
      <c r="B164" s="122" t="s">
        <v>783</v>
      </c>
      <c r="C164" s="122" t="s">
        <v>104</v>
      </c>
      <c r="D164" s="123" t="s">
        <v>437</v>
      </c>
      <c r="E164" s="122" t="s">
        <v>111</v>
      </c>
      <c r="F164" s="122" t="s">
        <v>113</v>
      </c>
      <c r="G164" s="122" t="s">
        <v>104</v>
      </c>
      <c r="H164" s="122" t="s">
        <v>118</v>
      </c>
      <c r="I164" s="123" t="s">
        <v>121</v>
      </c>
      <c r="J164" s="124">
        <v>45101</v>
      </c>
      <c r="K164" s="124">
        <v>45281</v>
      </c>
      <c r="L164" s="123" t="s">
        <v>131</v>
      </c>
      <c r="M164" s="122" t="s">
        <v>465</v>
      </c>
      <c r="N164" s="122" t="s">
        <v>430</v>
      </c>
      <c r="O164" s="123" t="s">
        <v>459</v>
      </c>
      <c r="P164" s="114">
        <f ca="1">IF($J164="","",MAX(0,INT((IF(OR($L164="Active",$L164="On Leave"),TODAY(),IFERROR(VLOOKUP($A164,'09_Attrition_Tracker'!$B:$G,6,FALSE),TODAY()))-$J164)/30)))</f>
        <v>34</v>
      </c>
      <c r="Q164" s="83" t="str">
        <f t="shared" ca="1" si="4"/>
        <v>2-5 yrs</v>
      </c>
      <c r="R164" s="83" t="str">
        <f t="shared" si="5"/>
        <v>Yes</v>
      </c>
      <c r="S164" s="112" t="str">
        <f>IFERROR(VLOOKUP($A164,'09_Attrition_Tracker'!$B:$M,12,FALSE),"No")</f>
        <v>No</v>
      </c>
    </row>
    <row r="165" spans="1:19">
      <c r="A165" s="136" t="s">
        <v>784</v>
      </c>
      <c r="B165" s="122" t="s">
        <v>785</v>
      </c>
      <c r="C165" s="122" t="s">
        <v>271</v>
      </c>
      <c r="D165" s="123" t="s">
        <v>108</v>
      </c>
      <c r="E165" s="122" t="s">
        <v>628</v>
      </c>
      <c r="F165" s="122" t="s">
        <v>20</v>
      </c>
      <c r="G165" s="122" t="s">
        <v>408</v>
      </c>
      <c r="H165" s="122" t="s">
        <v>429</v>
      </c>
      <c r="I165" s="123" t="s">
        <v>121</v>
      </c>
      <c r="J165" s="124">
        <v>44146</v>
      </c>
      <c r="K165" s="124">
        <v>44326</v>
      </c>
      <c r="L165" s="123" t="s">
        <v>131</v>
      </c>
      <c r="M165" s="122"/>
      <c r="N165" s="122" t="s">
        <v>137</v>
      </c>
      <c r="O165" s="123" t="s">
        <v>140</v>
      </c>
      <c r="P165" s="114">
        <f ca="1">IF($J165="","",MAX(0,INT((IF(OR($L165="Active",$L165="On Leave"),TODAY(),IFERROR(VLOOKUP($A165,'09_Attrition_Tracker'!$B:$G,6,FALSE),TODAY()))-$J165)/30)))</f>
        <v>66</v>
      </c>
      <c r="Q165" s="83" t="str">
        <f t="shared" ca="1" si="4"/>
        <v>5+ yrs</v>
      </c>
      <c r="R165" s="83" t="str">
        <f t="shared" si="5"/>
        <v>Yes</v>
      </c>
      <c r="S165" s="112" t="str">
        <f>IFERROR(VLOOKUP($A165,'09_Attrition_Tracker'!$B:$M,12,FALSE),"No")</f>
        <v>No</v>
      </c>
    </row>
    <row r="166" spans="1:19">
      <c r="A166" s="136" t="s">
        <v>786</v>
      </c>
      <c r="B166" s="122" t="s">
        <v>741</v>
      </c>
      <c r="C166" s="122" t="s">
        <v>271</v>
      </c>
      <c r="D166" s="123" t="s">
        <v>450</v>
      </c>
      <c r="E166" s="122" t="s">
        <v>521</v>
      </c>
      <c r="F166" s="122" t="s">
        <v>522</v>
      </c>
      <c r="G166" s="122" t="s">
        <v>408</v>
      </c>
      <c r="H166" s="122" t="s">
        <v>118</v>
      </c>
      <c r="I166" s="123" t="s">
        <v>391</v>
      </c>
      <c r="J166" s="124">
        <v>43723</v>
      </c>
      <c r="K166" s="124"/>
      <c r="L166" s="123" t="s">
        <v>131</v>
      </c>
      <c r="M166" s="122" t="s">
        <v>465</v>
      </c>
      <c r="N166" s="122" t="s">
        <v>137</v>
      </c>
      <c r="O166" s="123" t="s">
        <v>453</v>
      </c>
      <c r="P166" s="114">
        <f ca="1">IF($J166="","",MAX(0,INT((IF(OR($L166="Active",$L166="On Leave"),TODAY(),IFERROR(VLOOKUP($A166,'09_Attrition_Tracker'!$B:$G,6,FALSE),TODAY()))-$J166)/30)))</f>
        <v>80</v>
      </c>
      <c r="Q166" s="83" t="str">
        <f t="shared" ca="1" si="4"/>
        <v>5+ yrs</v>
      </c>
      <c r="R166" s="83" t="str">
        <f t="shared" si="5"/>
        <v>Yes</v>
      </c>
      <c r="S166" s="112" t="str">
        <f>IFERROR(VLOOKUP($A166,'09_Attrition_Tracker'!$B:$M,12,FALSE),"No")</f>
        <v>No</v>
      </c>
    </row>
    <row r="167" spans="1:19">
      <c r="A167" s="136" t="s">
        <v>787</v>
      </c>
      <c r="B167" s="122" t="s">
        <v>788</v>
      </c>
      <c r="C167" s="122" t="s">
        <v>271</v>
      </c>
      <c r="D167" s="123" t="s">
        <v>437</v>
      </c>
      <c r="E167" s="122" t="s">
        <v>521</v>
      </c>
      <c r="F167" s="122" t="s">
        <v>522</v>
      </c>
      <c r="G167" s="122" t="s">
        <v>408</v>
      </c>
      <c r="H167" s="122" t="s">
        <v>118</v>
      </c>
      <c r="I167" s="123" t="s">
        <v>121</v>
      </c>
      <c r="J167" s="124">
        <v>44088</v>
      </c>
      <c r="K167" s="124">
        <v>44268</v>
      </c>
      <c r="L167" s="123" t="s">
        <v>131</v>
      </c>
      <c r="M167" s="122" t="s">
        <v>302</v>
      </c>
      <c r="N167" s="122" t="s">
        <v>137</v>
      </c>
      <c r="O167" s="123" t="s">
        <v>431</v>
      </c>
      <c r="P167" s="114">
        <f ca="1">IF($J167="","",MAX(0,INT((IF(OR($L167="Active",$L167="On Leave"),TODAY(),IFERROR(VLOOKUP($A167,'09_Attrition_Tracker'!$B:$G,6,FALSE),TODAY()))-$J167)/30)))</f>
        <v>68</v>
      </c>
      <c r="Q167" s="83" t="str">
        <f t="shared" ca="1" si="4"/>
        <v>5+ yrs</v>
      </c>
      <c r="R167" s="83" t="str">
        <f t="shared" si="5"/>
        <v>Yes</v>
      </c>
      <c r="S167" s="112" t="str">
        <f>IFERROR(VLOOKUP($A167,'09_Attrition_Tracker'!$B:$M,12,FALSE),"No")</f>
        <v>No</v>
      </c>
    </row>
    <row r="168" spans="1:19">
      <c r="A168" s="136" t="s">
        <v>789</v>
      </c>
      <c r="B168" s="122" t="s">
        <v>790</v>
      </c>
      <c r="C168" s="122" t="s">
        <v>379</v>
      </c>
      <c r="D168" s="123" t="s">
        <v>437</v>
      </c>
      <c r="E168" s="122" t="s">
        <v>456</v>
      </c>
      <c r="F168" s="122" t="s">
        <v>457</v>
      </c>
      <c r="G168" s="122" t="s">
        <v>390</v>
      </c>
      <c r="H168" s="122" t="s">
        <v>118</v>
      </c>
      <c r="I168" s="123" t="s">
        <v>391</v>
      </c>
      <c r="J168" s="124">
        <v>44699</v>
      </c>
      <c r="K168" s="124">
        <v>44879</v>
      </c>
      <c r="L168" s="123" t="s">
        <v>400</v>
      </c>
      <c r="M168" s="122" t="s">
        <v>96</v>
      </c>
      <c r="N168" s="122" t="s">
        <v>464</v>
      </c>
      <c r="O168" s="123" t="s">
        <v>453</v>
      </c>
      <c r="P168" s="114">
        <f ca="1">IF($J168="","",MAX(0,INT((IF(OR($L168="Active",$L168="On Leave"),TODAY(),IFERROR(VLOOKUP($A168,'09_Attrition_Tracker'!$B:$G,6,FALSE),TODAY()))-$J168)/30)))</f>
        <v>48</v>
      </c>
      <c r="Q168" s="83" t="str">
        <f t="shared" ca="1" si="4"/>
        <v>2-5 yrs</v>
      </c>
      <c r="R168" s="83" t="str">
        <f t="shared" si="5"/>
        <v>Yes</v>
      </c>
      <c r="S168" s="112" t="str">
        <f>IFERROR(VLOOKUP($A168,'09_Attrition_Tracker'!$B:$M,12,FALSE),"No")</f>
        <v>No</v>
      </c>
    </row>
    <row r="169" spans="1:19">
      <c r="A169" s="136" t="s">
        <v>791</v>
      </c>
      <c r="B169" s="122" t="s">
        <v>792</v>
      </c>
      <c r="C169" s="122" t="s">
        <v>421</v>
      </c>
      <c r="D169" s="123" t="s">
        <v>450</v>
      </c>
      <c r="E169" s="122" t="s">
        <v>607</v>
      </c>
      <c r="F169" s="122" t="s">
        <v>608</v>
      </c>
      <c r="G169" s="122" t="s">
        <v>420</v>
      </c>
      <c r="H169" s="122" t="s">
        <v>440</v>
      </c>
      <c r="I169" s="123" t="s">
        <v>121</v>
      </c>
      <c r="J169" s="124">
        <v>43716</v>
      </c>
      <c r="K169" s="124">
        <v>43896</v>
      </c>
      <c r="L169" s="123" t="s">
        <v>131</v>
      </c>
      <c r="M169" s="122" t="s">
        <v>513</v>
      </c>
      <c r="N169" s="122" t="s">
        <v>458</v>
      </c>
      <c r="O169" s="123" t="s">
        <v>446</v>
      </c>
      <c r="P169" s="114">
        <f ca="1">IF($J169="","",MAX(0,INT((IF(OR($L169="Active",$L169="On Leave"),TODAY(),IFERROR(VLOOKUP($A169,'09_Attrition_Tracker'!$B:$G,6,FALSE),TODAY()))-$J169)/30)))</f>
        <v>80</v>
      </c>
      <c r="Q169" s="83" t="str">
        <f t="shared" ca="1" si="4"/>
        <v>5+ yrs</v>
      </c>
      <c r="R169" s="83" t="str">
        <f t="shared" si="5"/>
        <v>Yes</v>
      </c>
      <c r="S169" s="112" t="str">
        <f>IFERROR(VLOOKUP($A169,'09_Attrition_Tracker'!$B:$M,12,FALSE),"No")</f>
        <v>No</v>
      </c>
    </row>
    <row r="170" spans="1:19">
      <c r="A170" s="136" t="s">
        <v>793</v>
      </c>
      <c r="B170" s="122" t="s">
        <v>734</v>
      </c>
      <c r="C170" s="122" t="s">
        <v>37</v>
      </c>
      <c r="D170" s="123" t="s">
        <v>108</v>
      </c>
      <c r="E170" s="122" t="s">
        <v>549</v>
      </c>
      <c r="F170" s="122" t="s">
        <v>550</v>
      </c>
      <c r="G170" s="122" t="s">
        <v>37</v>
      </c>
      <c r="H170" s="122" t="s">
        <v>429</v>
      </c>
      <c r="I170" s="123" t="s">
        <v>391</v>
      </c>
      <c r="J170" s="124">
        <v>43139</v>
      </c>
      <c r="K170" s="124">
        <v>43319</v>
      </c>
      <c r="L170" s="123" t="s">
        <v>131</v>
      </c>
      <c r="M170" s="122"/>
      <c r="N170" s="122" t="s">
        <v>458</v>
      </c>
      <c r="O170" s="123" t="s">
        <v>446</v>
      </c>
      <c r="P170" s="114">
        <f ca="1">IF($J170="","",MAX(0,INT((IF(OR($L170="Active",$L170="On Leave"),TODAY(),IFERROR(VLOOKUP($A170,'09_Attrition_Tracker'!$B:$G,6,FALSE),TODAY()))-$J170)/30)))</f>
        <v>100</v>
      </c>
      <c r="Q170" s="83" t="str">
        <f t="shared" ca="1" si="4"/>
        <v>5+ yrs</v>
      </c>
      <c r="R170" s="83" t="str">
        <f t="shared" si="5"/>
        <v>Yes</v>
      </c>
      <c r="S170" s="112" t="str">
        <f>IFERROR(VLOOKUP($A170,'09_Attrition_Tracker'!$B:$M,12,FALSE),"No")</f>
        <v>Yes</v>
      </c>
    </row>
    <row r="171" spans="1:19">
      <c r="A171" s="136" t="s">
        <v>794</v>
      </c>
      <c r="B171" s="122" t="s">
        <v>795</v>
      </c>
      <c r="C171" s="122" t="s">
        <v>152</v>
      </c>
      <c r="D171" s="123" t="s">
        <v>450</v>
      </c>
      <c r="E171" s="122" t="s">
        <v>427</v>
      </c>
      <c r="F171" s="122" t="s">
        <v>428</v>
      </c>
      <c r="G171" s="122" t="s">
        <v>154</v>
      </c>
      <c r="H171" s="122" t="s">
        <v>429</v>
      </c>
      <c r="I171" s="123" t="s">
        <v>121</v>
      </c>
      <c r="J171" s="124">
        <v>42802</v>
      </c>
      <c r="K171" s="124"/>
      <c r="L171" s="123" t="s">
        <v>131</v>
      </c>
      <c r="M171" s="122"/>
      <c r="N171" s="122" t="s">
        <v>475</v>
      </c>
      <c r="O171" s="123" t="s">
        <v>446</v>
      </c>
      <c r="P171" s="114">
        <f ca="1">IF($J171="","",MAX(0,INT((IF(OR($L171="Active",$L171="On Leave"),TODAY(),IFERROR(VLOOKUP($A171,'09_Attrition_Tracker'!$B:$G,6,FALSE),TODAY()))-$J171)/30)))</f>
        <v>111</v>
      </c>
      <c r="Q171" s="83" t="str">
        <f t="shared" ca="1" si="4"/>
        <v>5+ yrs</v>
      </c>
      <c r="R171" s="83" t="str">
        <f t="shared" si="5"/>
        <v>Yes</v>
      </c>
      <c r="S171" s="112" t="str">
        <f>IFERROR(VLOOKUP($A171,'09_Attrition_Tracker'!$B:$M,12,FALSE),"No")</f>
        <v>No</v>
      </c>
    </row>
    <row r="172" spans="1:19">
      <c r="A172" s="136" t="s">
        <v>796</v>
      </c>
      <c r="B172" s="122" t="s">
        <v>606</v>
      </c>
      <c r="C172" s="122" t="s">
        <v>271</v>
      </c>
      <c r="D172" s="123" t="s">
        <v>108</v>
      </c>
      <c r="E172" s="122" t="s">
        <v>628</v>
      </c>
      <c r="F172" s="122" t="s">
        <v>20</v>
      </c>
      <c r="G172" s="122" t="s">
        <v>408</v>
      </c>
      <c r="H172" s="122" t="s">
        <v>429</v>
      </c>
      <c r="I172" s="123" t="s">
        <v>380</v>
      </c>
      <c r="J172" s="124">
        <v>44991</v>
      </c>
      <c r="K172" s="124">
        <v>45171</v>
      </c>
      <c r="L172" s="123" t="s">
        <v>131</v>
      </c>
      <c r="M172" s="122"/>
      <c r="N172" s="122" t="s">
        <v>441</v>
      </c>
      <c r="O172" s="123" t="s">
        <v>453</v>
      </c>
      <c r="P172" s="114">
        <f ca="1">IF($J172="","",MAX(0,INT((IF(OR($L172="Active",$L172="On Leave"),TODAY(),IFERROR(VLOOKUP($A172,'09_Attrition_Tracker'!$B:$G,6,FALSE),TODAY()))-$J172)/30)))</f>
        <v>38</v>
      </c>
      <c r="Q172" s="83" t="str">
        <f t="shared" ca="1" si="4"/>
        <v>2-5 yrs</v>
      </c>
      <c r="R172" s="83" t="str">
        <f t="shared" si="5"/>
        <v>Yes</v>
      </c>
      <c r="S172" s="112" t="str">
        <f>IFERROR(VLOOKUP($A172,'09_Attrition_Tracker'!$B:$M,12,FALSE),"No")</f>
        <v>No</v>
      </c>
    </row>
    <row r="173" spans="1:19">
      <c r="A173" s="136" t="s">
        <v>797</v>
      </c>
      <c r="B173" s="122" t="s">
        <v>564</v>
      </c>
      <c r="C173" s="122" t="s">
        <v>176</v>
      </c>
      <c r="D173" s="123" t="s">
        <v>426</v>
      </c>
      <c r="E173" s="122" t="s">
        <v>652</v>
      </c>
      <c r="F173" s="122" t="s">
        <v>653</v>
      </c>
      <c r="G173" s="122" t="s">
        <v>154</v>
      </c>
      <c r="H173" s="122" t="s">
        <v>440</v>
      </c>
      <c r="I173" s="123" t="s">
        <v>121</v>
      </c>
      <c r="J173" s="124">
        <v>43309</v>
      </c>
      <c r="K173" s="124">
        <v>43489</v>
      </c>
      <c r="L173" s="123" t="s">
        <v>131</v>
      </c>
      <c r="M173" s="122" t="s">
        <v>534</v>
      </c>
      <c r="N173" s="122" t="s">
        <v>464</v>
      </c>
      <c r="O173" s="123" t="s">
        <v>459</v>
      </c>
      <c r="P173" s="114">
        <f ca="1">IF($J173="","",MAX(0,INT((IF(OR($L173="Active",$L173="On Leave"),TODAY(),IFERROR(VLOOKUP($A173,'09_Attrition_Tracker'!$B:$G,6,FALSE),TODAY()))-$J173)/30)))</f>
        <v>94</v>
      </c>
      <c r="Q173" s="83" t="str">
        <f t="shared" ca="1" si="4"/>
        <v>5+ yrs</v>
      </c>
      <c r="R173" s="83" t="str">
        <f t="shared" si="5"/>
        <v>Yes</v>
      </c>
      <c r="S173" s="112" t="str">
        <f>IFERROR(VLOOKUP($A173,'09_Attrition_Tracker'!$B:$M,12,FALSE),"No")</f>
        <v>No</v>
      </c>
    </row>
    <row r="174" spans="1:19">
      <c r="A174" s="136" t="s">
        <v>798</v>
      </c>
      <c r="B174" s="122" t="s">
        <v>758</v>
      </c>
      <c r="C174" s="122" t="s">
        <v>271</v>
      </c>
      <c r="D174" s="123" t="s">
        <v>108</v>
      </c>
      <c r="E174" s="122" t="s">
        <v>521</v>
      </c>
      <c r="F174" s="122" t="s">
        <v>522</v>
      </c>
      <c r="G174" s="122" t="s">
        <v>408</v>
      </c>
      <c r="H174" s="122" t="s">
        <v>434</v>
      </c>
      <c r="I174" s="123" t="s">
        <v>121</v>
      </c>
      <c r="J174" s="124">
        <v>43014</v>
      </c>
      <c r="K174" s="124">
        <v>43194</v>
      </c>
      <c r="L174" s="123" t="s">
        <v>131</v>
      </c>
      <c r="M174" s="122" t="s">
        <v>525</v>
      </c>
      <c r="N174" s="122" t="s">
        <v>441</v>
      </c>
      <c r="O174" s="123" t="s">
        <v>453</v>
      </c>
      <c r="P174" s="114">
        <f ca="1">IF($J174="","",MAX(0,INT((IF(OR($L174="Active",$L174="On Leave"),TODAY(),IFERROR(VLOOKUP($A174,'09_Attrition_Tracker'!$B:$G,6,FALSE),TODAY()))-$J174)/30)))</f>
        <v>104</v>
      </c>
      <c r="Q174" s="83" t="str">
        <f t="shared" ca="1" si="4"/>
        <v>5+ yrs</v>
      </c>
      <c r="R174" s="83" t="str">
        <f t="shared" si="5"/>
        <v>Yes</v>
      </c>
      <c r="S174" s="112" t="str">
        <f>IFERROR(VLOOKUP($A174,'09_Attrition_Tracker'!$B:$M,12,FALSE),"No")</f>
        <v>No</v>
      </c>
    </row>
    <row r="175" spans="1:19">
      <c r="A175" s="136" t="s">
        <v>799</v>
      </c>
      <c r="B175" s="122" t="s">
        <v>800</v>
      </c>
      <c r="C175" s="122" t="s">
        <v>152</v>
      </c>
      <c r="D175" s="123" t="s">
        <v>108</v>
      </c>
      <c r="E175" s="122" t="s">
        <v>427</v>
      </c>
      <c r="F175" s="122" t="s">
        <v>428</v>
      </c>
      <c r="G175" s="122" t="s">
        <v>154</v>
      </c>
      <c r="H175" s="122" t="s">
        <v>429</v>
      </c>
      <c r="I175" s="123" t="s">
        <v>121</v>
      </c>
      <c r="J175" s="124">
        <v>42784</v>
      </c>
      <c r="K175" s="124">
        <v>42964</v>
      </c>
      <c r="L175" s="123" t="s">
        <v>381</v>
      </c>
      <c r="M175" s="122"/>
      <c r="N175" s="122" t="s">
        <v>137</v>
      </c>
      <c r="O175" s="123" t="s">
        <v>140</v>
      </c>
      <c r="P175" s="114">
        <f ca="1">IF($J175="","",MAX(0,INT((IF(OR($L175="Active",$L175="On Leave"),TODAY(),IFERROR(VLOOKUP($A175,'09_Attrition_Tracker'!$B:$G,6,FALSE),TODAY()))-$J175)/30)))</f>
        <v>105</v>
      </c>
      <c r="Q175" s="83" t="str">
        <f t="shared" ca="1" si="4"/>
        <v>5+ yrs</v>
      </c>
      <c r="R175" s="83" t="str">
        <f t="shared" si="5"/>
        <v>No</v>
      </c>
      <c r="S175" s="112" t="str">
        <f>IFERROR(VLOOKUP($A175,'09_Attrition_Tracker'!$B:$M,12,FALSE),"No")</f>
        <v>Yes</v>
      </c>
    </row>
    <row r="176" spans="1:19">
      <c r="A176" s="136" t="s">
        <v>801</v>
      </c>
      <c r="B176" s="122" t="s">
        <v>802</v>
      </c>
      <c r="C176" s="122" t="s">
        <v>379</v>
      </c>
      <c r="D176" s="123" t="s">
        <v>108</v>
      </c>
      <c r="E176" s="122" t="s">
        <v>544</v>
      </c>
      <c r="F176" s="122" t="s">
        <v>545</v>
      </c>
      <c r="G176" s="122" t="s">
        <v>390</v>
      </c>
      <c r="H176" s="122" t="s">
        <v>440</v>
      </c>
      <c r="I176" s="123" t="s">
        <v>380</v>
      </c>
      <c r="J176" s="124">
        <v>43522</v>
      </c>
      <c r="K176" s="124">
        <v>43702</v>
      </c>
      <c r="L176" s="123" t="s">
        <v>131</v>
      </c>
      <c r="M176" s="122" t="s">
        <v>509</v>
      </c>
      <c r="N176" s="122" t="s">
        <v>464</v>
      </c>
      <c r="O176" s="123" t="s">
        <v>446</v>
      </c>
      <c r="P176" s="114">
        <f ca="1">IF($J176="","",MAX(0,INT((IF(OR($L176="Active",$L176="On Leave"),TODAY(),IFERROR(VLOOKUP($A176,'09_Attrition_Tracker'!$B:$G,6,FALSE),TODAY()))-$J176)/30)))</f>
        <v>87</v>
      </c>
      <c r="Q176" s="83" t="str">
        <f t="shared" ca="1" si="4"/>
        <v>5+ yrs</v>
      </c>
      <c r="R176" s="83" t="str">
        <f t="shared" si="5"/>
        <v>Yes</v>
      </c>
      <c r="S176" s="112" t="str">
        <f>IFERROR(VLOOKUP($A176,'09_Attrition_Tracker'!$B:$M,12,FALSE),"No")</f>
        <v>No</v>
      </c>
    </row>
    <row r="177" spans="1:19">
      <c r="A177" s="136" t="s">
        <v>803</v>
      </c>
      <c r="B177" s="122" t="s">
        <v>804</v>
      </c>
      <c r="C177" s="122" t="s">
        <v>416</v>
      </c>
      <c r="D177" s="123" t="s">
        <v>426</v>
      </c>
      <c r="E177" s="122" t="s">
        <v>540</v>
      </c>
      <c r="F177" s="122" t="s">
        <v>541</v>
      </c>
      <c r="G177" s="122" t="s">
        <v>411</v>
      </c>
      <c r="H177" s="122" t="s">
        <v>429</v>
      </c>
      <c r="I177" s="123" t="s">
        <v>121</v>
      </c>
      <c r="J177" s="124">
        <v>43964</v>
      </c>
      <c r="K177" s="124">
        <v>44144</v>
      </c>
      <c r="L177" s="123" t="s">
        <v>131</v>
      </c>
      <c r="M177" s="122"/>
      <c r="N177" s="122" t="s">
        <v>137</v>
      </c>
      <c r="O177" s="123" t="s">
        <v>453</v>
      </c>
      <c r="P177" s="114">
        <f ca="1">IF($J177="","",MAX(0,INT((IF(OR($L177="Active",$L177="On Leave"),TODAY(),IFERROR(VLOOKUP($A177,'09_Attrition_Tracker'!$B:$G,6,FALSE),TODAY()))-$J177)/30)))</f>
        <v>72</v>
      </c>
      <c r="Q177" s="83" t="str">
        <f t="shared" ca="1" si="4"/>
        <v>5+ yrs</v>
      </c>
      <c r="R177" s="83" t="str">
        <f t="shared" si="5"/>
        <v>Yes</v>
      </c>
      <c r="S177" s="112" t="str">
        <f>IFERROR(VLOOKUP($A177,'09_Attrition_Tracker'!$B:$M,12,FALSE),"No")</f>
        <v>No</v>
      </c>
    </row>
    <row r="178" spans="1:19">
      <c r="A178" s="136" t="s">
        <v>805</v>
      </c>
      <c r="B178" s="122" t="s">
        <v>806</v>
      </c>
      <c r="C178" s="122" t="s">
        <v>152</v>
      </c>
      <c r="D178" s="123" t="s">
        <v>108</v>
      </c>
      <c r="E178" s="122" t="s">
        <v>427</v>
      </c>
      <c r="F178" s="122" t="s">
        <v>428</v>
      </c>
      <c r="G178" s="122" t="s">
        <v>154</v>
      </c>
      <c r="H178" s="122" t="s">
        <v>429</v>
      </c>
      <c r="I178" s="123" t="s">
        <v>121</v>
      </c>
      <c r="J178" s="124">
        <v>43074</v>
      </c>
      <c r="K178" s="124">
        <v>43254</v>
      </c>
      <c r="L178" s="123" t="s">
        <v>131</v>
      </c>
      <c r="M178" s="122"/>
      <c r="N178" s="122" t="s">
        <v>464</v>
      </c>
      <c r="O178" s="123" t="s">
        <v>431</v>
      </c>
      <c r="P178" s="114">
        <f ca="1">IF($J178="","",MAX(0,INT((IF(OR($L178="Active",$L178="On Leave"),TODAY(),IFERROR(VLOOKUP($A178,'09_Attrition_Tracker'!$B:$G,6,FALSE),TODAY()))-$J178)/30)))</f>
        <v>102</v>
      </c>
      <c r="Q178" s="83" t="str">
        <f t="shared" ca="1" si="4"/>
        <v>5+ yrs</v>
      </c>
      <c r="R178" s="83" t="str">
        <f t="shared" si="5"/>
        <v>Yes</v>
      </c>
      <c r="S178" s="112" t="str">
        <f>IFERROR(VLOOKUP($A178,'09_Attrition_Tracker'!$B:$M,12,FALSE),"No")</f>
        <v>No</v>
      </c>
    </row>
    <row r="179" spans="1:19">
      <c r="A179" s="136" t="s">
        <v>807</v>
      </c>
      <c r="B179" s="122" t="s">
        <v>468</v>
      </c>
      <c r="C179" s="122" t="s">
        <v>371</v>
      </c>
      <c r="D179" s="123" t="s">
        <v>426</v>
      </c>
      <c r="E179" s="122" t="s">
        <v>462</v>
      </c>
      <c r="F179" s="122" t="s">
        <v>463</v>
      </c>
      <c r="G179" s="122" t="s">
        <v>371</v>
      </c>
      <c r="H179" s="122" t="s">
        <v>434</v>
      </c>
      <c r="I179" s="123" t="s">
        <v>121</v>
      </c>
      <c r="J179" s="124">
        <v>43846</v>
      </c>
      <c r="K179" s="124">
        <v>44026</v>
      </c>
      <c r="L179" s="123" t="s">
        <v>381</v>
      </c>
      <c r="M179" s="122" t="s">
        <v>493</v>
      </c>
      <c r="N179" s="122" t="s">
        <v>458</v>
      </c>
      <c r="O179" s="123" t="s">
        <v>459</v>
      </c>
      <c r="P179" s="114">
        <f ca="1">IF($J179="","",MAX(0,INT((IF(OR($L179="Active",$L179="On Leave"),TODAY(),IFERROR(VLOOKUP($A179,'09_Attrition_Tracker'!$B:$G,6,FALSE),TODAY()))-$J179)/30)))</f>
        <v>67</v>
      </c>
      <c r="Q179" s="83" t="str">
        <f t="shared" ca="1" si="4"/>
        <v>5+ yrs</v>
      </c>
      <c r="R179" s="83" t="str">
        <f t="shared" si="5"/>
        <v>No</v>
      </c>
      <c r="S179" s="112" t="str">
        <f>IFERROR(VLOOKUP($A179,'09_Attrition_Tracker'!$B:$M,12,FALSE),"No")</f>
        <v>Yes</v>
      </c>
    </row>
    <row r="180" spans="1:19">
      <c r="A180" s="136" t="s">
        <v>808</v>
      </c>
      <c r="B180" s="122" t="s">
        <v>809</v>
      </c>
      <c r="C180" s="122" t="s">
        <v>421</v>
      </c>
      <c r="D180" s="123" t="s">
        <v>108</v>
      </c>
      <c r="E180" s="122" t="s">
        <v>478</v>
      </c>
      <c r="F180" s="122" t="s">
        <v>479</v>
      </c>
      <c r="G180" s="122" t="s">
        <v>420</v>
      </c>
      <c r="H180" s="122" t="s">
        <v>434</v>
      </c>
      <c r="I180" s="123" t="s">
        <v>121</v>
      </c>
      <c r="J180" s="124">
        <v>43051</v>
      </c>
      <c r="K180" s="124">
        <v>43231</v>
      </c>
      <c r="L180" s="123" t="s">
        <v>131</v>
      </c>
      <c r="M180" s="122" t="s">
        <v>513</v>
      </c>
      <c r="N180" s="122" t="s">
        <v>515</v>
      </c>
      <c r="O180" s="123" t="s">
        <v>459</v>
      </c>
      <c r="P180" s="114">
        <f ca="1">IF($J180="","",MAX(0,INT((IF(OR($L180="Active",$L180="On Leave"),TODAY(),IFERROR(VLOOKUP($A180,'09_Attrition_Tracker'!$B:$G,6,FALSE),TODAY()))-$J180)/30)))</f>
        <v>103</v>
      </c>
      <c r="Q180" s="83" t="str">
        <f t="shared" ca="1" si="4"/>
        <v>5+ yrs</v>
      </c>
      <c r="R180" s="83" t="str">
        <f t="shared" si="5"/>
        <v>Yes</v>
      </c>
      <c r="S180" s="112" t="str">
        <f>IFERROR(VLOOKUP($A180,'09_Attrition_Tracker'!$B:$M,12,FALSE),"No")</f>
        <v>No</v>
      </c>
    </row>
    <row r="181" spans="1:19">
      <c r="A181" s="136" t="s">
        <v>810</v>
      </c>
      <c r="B181" s="122" t="s">
        <v>811</v>
      </c>
      <c r="C181" s="122" t="s">
        <v>152</v>
      </c>
      <c r="D181" s="123" t="s">
        <v>426</v>
      </c>
      <c r="E181" s="122" t="s">
        <v>151</v>
      </c>
      <c r="F181" s="122" t="s">
        <v>153</v>
      </c>
      <c r="G181" s="122" t="s">
        <v>154</v>
      </c>
      <c r="H181" s="122" t="s">
        <v>118</v>
      </c>
      <c r="I181" s="123" t="s">
        <v>121</v>
      </c>
      <c r="J181" s="124">
        <v>43047</v>
      </c>
      <c r="K181" s="124"/>
      <c r="L181" s="123" t="s">
        <v>131</v>
      </c>
      <c r="M181" s="122" t="s">
        <v>503</v>
      </c>
      <c r="N181" s="122" t="s">
        <v>441</v>
      </c>
      <c r="O181" s="123" t="s">
        <v>453</v>
      </c>
      <c r="P181" s="114">
        <f ca="1">IF($J181="","",MAX(0,INT((IF(OR($L181="Active",$L181="On Leave"),TODAY(),IFERROR(VLOOKUP($A181,'09_Attrition_Tracker'!$B:$G,6,FALSE),TODAY()))-$J181)/30)))</f>
        <v>103</v>
      </c>
      <c r="Q181" s="83" t="str">
        <f t="shared" ca="1" si="4"/>
        <v>5+ yrs</v>
      </c>
      <c r="R181" s="83" t="str">
        <f t="shared" si="5"/>
        <v>Yes</v>
      </c>
      <c r="S181" s="112" t="str">
        <f>IFERROR(VLOOKUP($A181,'09_Attrition_Tracker'!$B:$M,12,FALSE),"No")</f>
        <v>No</v>
      </c>
    </row>
    <row r="182" spans="1:19">
      <c r="A182" s="136" t="s">
        <v>812</v>
      </c>
      <c r="B182" s="122" t="s">
        <v>529</v>
      </c>
      <c r="C182" s="122" t="s">
        <v>37</v>
      </c>
      <c r="D182" s="123" t="s">
        <v>426</v>
      </c>
      <c r="E182" s="122" t="s">
        <v>549</v>
      </c>
      <c r="F182" s="122" t="s">
        <v>550</v>
      </c>
      <c r="G182" s="122" t="s">
        <v>37</v>
      </c>
      <c r="H182" s="122" t="s">
        <v>429</v>
      </c>
      <c r="I182" s="123" t="s">
        <v>380</v>
      </c>
      <c r="J182" s="124">
        <v>43496</v>
      </c>
      <c r="K182" s="124">
        <v>43676</v>
      </c>
      <c r="L182" s="123" t="s">
        <v>131</v>
      </c>
      <c r="M182" s="122"/>
      <c r="N182" s="122" t="s">
        <v>430</v>
      </c>
      <c r="O182" s="123" t="s">
        <v>140</v>
      </c>
      <c r="P182" s="114">
        <f ca="1">IF($J182="","",MAX(0,INT((IF(OR($L182="Active",$L182="On Leave"),TODAY(),IFERROR(VLOOKUP($A182,'09_Attrition_Tracker'!$B:$G,6,FALSE),TODAY()))-$J182)/30)))</f>
        <v>88</v>
      </c>
      <c r="Q182" s="83" t="str">
        <f t="shared" ca="1" si="4"/>
        <v>5+ yrs</v>
      </c>
      <c r="R182" s="83" t="str">
        <f t="shared" si="5"/>
        <v>Yes</v>
      </c>
      <c r="S182" s="112" t="str">
        <f>IFERROR(VLOOKUP($A182,'09_Attrition_Tracker'!$B:$M,12,FALSE),"No")</f>
        <v>No</v>
      </c>
    </row>
    <row r="183" spans="1:19">
      <c r="A183" s="136" t="s">
        <v>813</v>
      </c>
      <c r="B183" s="122" t="s">
        <v>814</v>
      </c>
      <c r="C183" s="122" t="s">
        <v>379</v>
      </c>
      <c r="D183" s="123" t="s">
        <v>108</v>
      </c>
      <c r="E183" s="122" t="s">
        <v>587</v>
      </c>
      <c r="F183" s="122" t="s">
        <v>588</v>
      </c>
      <c r="G183" s="122" t="s">
        <v>390</v>
      </c>
      <c r="H183" s="122" t="s">
        <v>434</v>
      </c>
      <c r="I183" s="123" t="s">
        <v>121</v>
      </c>
      <c r="J183" s="124">
        <v>45651</v>
      </c>
      <c r="K183" s="124">
        <v>45831</v>
      </c>
      <c r="L183" s="123" t="s">
        <v>131</v>
      </c>
      <c r="M183" s="122" t="s">
        <v>503</v>
      </c>
      <c r="N183" s="122" t="s">
        <v>447</v>
      </c>
      <c r="O183" s="123" t="s">
        <v>446</v>
      </c>
      <c r="P183" s="114">
        <f ca="1">IF($J183="","",MAX(0,INT((IF(OR($L183="Active",$L183="On Leave"),TODAY(),IFERROR(VLOOKUP($A183,'09_Attrition_Tracker'!$B:$G,6,FALSE),TODAY()))-$J183)/30)))</f>
        <v>16</v>
      </c>
      <c r="Q183" s="83" t="str">
        <f t="shared" ca="1" si="4"/>
        <v>1-2 yrs</v>
      </c>
      <c r="R183" s="83" t="str">
        <f t="shared" si="5"/>
        <v>Yes</v>
      </c>
      <c r="S183" s="112" t="str">
        <f>IFERROR(VLOOKUP($A183,'09_Attrition_Tracker'!$B:$M,12,FALSE),"No")</f>
        <v>No</v>
      </c>
    </row>
    <row r="184" spans="1:19">
      <c r="A184" s="136" t="s">
        <v>815</v>
      </c>
      <c r="B184" s="122" t="s">
        <v>816</v>
      </c>
      <c r="C184" s="122" t="s">
        <v>37</v>
      </c>
      <c r="D184" s="123" t="s">
        <v>450</v>
      </c>
      <c r="E184" s="122" t="s">
        <v>486</v>
      </c>
      <c r="F184" s="122" t="s">
        <v>260</v>
      </c>
      <c r="G184" s="122" t="s">
        <v>37</v>
      </c>
      <c r="H184" s="122" t="s">
        <v>118</v>
      </c>
      <c r="I184" s="123" t="s">
        <v>121</v>
      </c>
      <c r="J184" s="124">
        <v>43093</v>
      </c>
      <c r="K184" s="124">
        <v>43273</v>
      </c>
      <c r="L184" s="123" t="s">
        <v>400</v>
      </c>
      <c r="M184" s="122" t="s">
        <v>530</v>
      </c>
      <c r="N184" s="122" t="s">
        <v>464</v>
      </c>
      <c r="O184" s="123" t="s">
        <v>446</v>
      </c>
      <c r="P184" s="114">
        <f ca="1">IF($J184="","",MAX(0,INT((IF(OR($L184="Active",$L184="On Leave"),TODAY(),IFERROR(VLOOKUP($A184,'09_Attrition_Tracker'!$B:$G,6,FALSE),TODAY()))-$J184)/30)))</f>
        <v>101</v>
      </c>
      <c r="Q184" s="83" t="str">
        <f t="shared" ca="1" si="4"/>
        <v>5+ yrs</v>
      </c>
      <c r="R184" s="83" t="str">
        <f t="shared" si="5"/>
        <v>Yes</v>
      </c>
      <c r="S184" s="112" t="str">
        <f>IFERROR(VLOOKUP($A184,'09_Attrition_Tracker'!$B:$M,12,FALSE),"No")</f>
        <v>No</v>
      </c>
    </row>
    <row r="185" spans="1:19">
      <c r="A185" s="136" t="s">
        <v>817</v>
      </c>
      <c r="B185" s="122" t="s">
        <v>600</v>
      </c>
      <c r="C185" s="122" t="s">
        <v>421</v>
      </c>
      <c r="D185" s="123" t="s">
        <v>437</v>
      </c>
      <c r="E185" s="122" t="s">
        <v>607</v>
      </c>
      <c r="F185" s="122" t="s">
        <v>608</v>
      </c>
      <c r="G185" s="122" t="s">
        <v>420</v>
      </c>
      <c r="H185" s="122" t="s">
        <v>440</v>
      </c>
      <c r="I185" s="123" t="s">
        <v>121</v>
      </c>
      <c r="J185" s="124">
        <v>42786</v>
      </c>
      <c r="K185" s="124">
        <v>42966</v>
      </c>
      <c r="L185" s="123" t="s">
        <v>131</v>
      </c>
      <c r="M185" s="122" t="s">
        <v>302</v>
      </c>
      <c r="N185" s="122" t="s">
        <v>515</v>
      </c>
      <c r="O185" s="123" t="s">
        <v>453</v>
      </c>
      <c r="P185" s="114">
        <f ca="1">IF($J185="","",MAX(0,INT((IF(OR($L185="Active",$L185="On Leave"),TODAY(),IFERROR(VLOOKUP($A185,'09_Attrition_Tracker'!$B:$G,6,FALSE),TODAY()))-$J185)/30)))</f>
        <v>111</v>
      </c>
      <c r="Q185" s="83" t="str">
        <f t="shared" ca="1" si="4"/>
        <v>5+ yrs</v>
      </c>
      <c r="R185" s="83" t="str">
        <f t="shared" si="5"/>
        <v>Yes</v>
      </c>
      <c r="S185" s="112" t="str">
        <f>IFERROR(VLOOKUP($A185,'09_Attrition_Tracker'!$B:$M,12,FALSE),"No")</f>
        <v>No</v>
      </c>
    </row>
    <row r="186" spans="1:19">
      <c r="A186" s="136" t="s">
        <v>818</v>
      </c>
      <c r="B186" s="122" t="s">
        <v>819</v>
      </c>
      <c r="C186" s="122" t="s">
        <v>176</v>
      </c>
      <c r="D186" s="123" t="s">
        <v>108</v>
      </c>
      <c r="E186" s="122" t="s">
        <v>177</v>
      </c>
      <c r="F186" s="122" t="s">
        <v>178</v>
      </c>
      <c r="G186" s="122" t="s">
        <v>154</v>
      </c>
      <c r="H186" s="122" t="s">
        <v>434</v>
      </c>
      <c r="I186" s="123" t="s">
        <v>121</v>
      </c>
      <c r="J186" s="124">
        <v>44755</v>
      </c>
      <c r="K186" s="124">
        <v>44935</v>
      </c>
      <c r="L186" s="123" t="s">
        <v>392</v>
      </c>
      <c r="M186" s="122" t="s">
        <v>518</v>
      </c>
      <c r="N186" s="122" t="s">
        <v>464</v>
      </c>
      <c r="O186" s="123" t="s">
        <v>446</v>
      </c>
      <c r="P186" s="114">
        <f ca="1">IF($J186="","",MAX(0,INT((IF(OR($L186="Active",$L186="On Leave"),TODAY(),IFERROR(VLOOKUP($A186,'09_Attrition_Tracker'!$B:$G,6,FALSE),TODAY()))-$J186)/30)))</f>
        <v>39</v>
      </c>
      <c r="Q186" s="83" t="str">
        <f t="shared" ca="1" si="4"/>
        <v>2-5 yrs</v>
      </c>
      <c r="R186" s="83" t="str">
        <f t="shared" si="5"/>
        <v>No</v>
      </c>
      <c r="S186" s="112" t="str">
        <f>IFERROR(VLOOKUP($A186,'09_Attrition_Tracker'!$B:$M,12,FALSE),"No")</f>
        <v>No</v>
      </c>
    </row>
    <row r="187" spans="1:19">
      <c r="A187" s="136" t="s">
        <v>820</v>
      </c>
      <c r="B187" s="122" t="s">
        <v>821</v>
      </c>
      <c r="C187" s="122" t="s">
        <v>371</v>
      </c>
      <c r="D187" s="123" t="s">
        <v>108</v>
      </c>
      <c r="E187" s="122" t="s">
        <v>438</v>
      </c>
      <c r="F187" s="122" t="s">
        <v>439</v>
      </c>
      <c r="G187" s="122" t="s">
        <v>371</v>
      </c>
      <c r="H187" s="122" t="s">
        <v>440</v>
      </c>
      <c r="I187" s="123" t="s">
        <v>121</v>
      </c>
      <c r="J187" s="124">
        <v>45168</v>
      </c>
      <c r="K187" s="124">
        <v>45348</v>
      </c>
      <c r="L187" s="123" t="s">
        <v>131</v>
      </c>
      <c r="M187" s="122" t="s">
        <v>460</v>
      </c>
      <c r="N187" s="122" t="s">
        <v>137</v>
      </c>
      <c r="O187" s="123" t="s">
        <v>446</v>
      </c>
      <c r="P187" s="114">
        <f ca="1">IF($J187="","",MAX(0,INT((IF(OR($L187="Active",$L187="On Leave"),TODAY(),IFERROR(VLOOKUP($A187,'09_Attrition_Tracker'!$B:$G,6,FALSE),TODAY()))-$J187)/30)))</f>
        <v>32</v>
      </c>
      <c r="Q187" s="83" t="str">
        <f t="shared" ca="1" si="4"/>
        <v>2-5 yrs</v>
      </c>
      <c r="R187" s="83" t="str">
        <f t="shared" si="5"/>
        <v>Yes</v>
      </c>
      <c r="S187" s="112" t="str">
        <f>IFERROR(VLOOKUP($A187,'09_Attrition_Tracker'!$B:$M,12,FALSE),"No")</f>
        <v>No</v>
      </c>
    </row>
    <row r="188" spans="1:19">
      <c r="A188" s="136" t="s">
        <v>822</v>
      </c>
      <c r="B188" s="122" t="s">
        <v>584</v>
      </c>
      <c r="C188" s="122" t="s">
        <v>37</v>
      </c>
      <c r="D188" s="123" t="s">
        <v>437</v>
      </c>
      <c r="E188" s="122" t="s">
        <v>486</v>
      </c>
      <c r="F188" s="122" t="s">
        <v>260</v>
      </c>
      <c r="G188" s="122" t="s">
        <v>37</v>
      </c>
      <c r="H188" s="122" t="s">
        <v>434</v>
      </c>
      <c r="I188" s="123" t="s">
        <v>121</v>
      </c>
      <c r="J188" s="124">
        <v>46076</v>
      </c>
      <c r="K188" s="124">
        <v>46256</v>
      </c>
      <c r="L188" s="123" t="s">
        <v>131</v>
      </c>
      <c r="M188" s="122" t="s">
        <v>547</v>
      </c>
      <c r="N188" s="122" t="s">
        <v>515</v>
      </c>
      <c r="O188" s="123" t="s">
        <v>453</v>
      </c>
      <c r="P188" s="114">
        <f ca="1">IF($J188="","",MAX(0,INT((IF(OR($L188="Active",$L188="On Leave"),TODAY(),IFERROR(VLOOKUP($A188,'09_Attrition_Tracker'!$B:$G,6,FALSE),TODAY()))-$J188)/30)))</f>
        <v>2</v>
      </c>
      <c r="Q188" s="83" t="str">
        <f t="shared" ca="1" si="4"/>
        <v>0-3 mos</v>
      </c>
      <c r="R188" s="83" t="str">
        <f t="shared" si="5"/>
        <v>Yes</v>
      </c>
      <c r="S188" s="112" t="str">
        <f>IFERROR(VLOOKUP($A188,'09_Attrition_Tracker'!$B:$M,12,FALSE),"No")</f>
        <v>No</v>
      </c>
    </row>
    <row r="189" spans="1:19">
      <c r="A189" s="136" t="s">
        <v>823</v>
      </c>
      <c r="B189" s="122" t="s">
        <v>468</v>
      </c>
      <c r="C189" s="122" t="s">
        <v>407</v>
      </c>
      <c r="D189" s="123" t="s">
        <v>108</v>
      </c>
      <c r="E189" s="122" t="s">
        <v>444</v>
      </c>
      <c r="F189" s="122" t="s">
        <v>445</v>
      </c>
      <c r="G189" s="122" t="s">
        <v>417</v>
      </c>
      <c r="H189" s="122" t="s">
        <v>429</v>
      </c>
      <c r="I189" s="123" t="s">
        <v>380</v>
      </c>
      <c r="J189" s="124">
        <v>45094</v>
      </c>
      <c r="K189" s="124">
        <v>45274</v>
      </c>
      <c r="L189" s="123" t="s">
        <v>131</v>
      </c>
      <c r="M189" s="122"/>
      <c r="N189" s="122" t="s">
        <v>137</v>
      </c>
      <c r="O189" s="123" t="s">
        <v>446</v>
      </c>
      <c r="P189" s="114">
        <f ca="1">IF($J189="","",MAX(0,INT((IF(OR($L189="Active",$L189="On Leave"),TODAY(),IFERROR(VLOOKUP($A189,'09_Attrition_Tracker'!$B:$G,6,FALSE),TODAY()))-$J189)/30)))</f>
        <v>35</v>
      </c>
      <c r="Q189" s="83" t="str">
        <f t="shared" ca="1" si="4"/>
        <v>2-5 yrs</v>
      </c>
      <c r="R189" s="83" t="str">
        <f t="shared" si="5"/>
        <v>Yes</v>
      </c>
      <c r="S189" s="112" t="str">
        <f>IFERROR(VLOOKUP($A189,'09_Attrition_Tracker'!$B:$M,12,FALSE),"No")</f>
        <v>No</v>
      </c>
    </row>
    <row r="190" spans="1:19">
      <c r="A190" s="136" t="s">
        <v>824</v>
      </c>
      <c r="B190" s="122" t="s">
        <v>825</v>
      </c>
      <c r="C190" s="122" t="s">
        <v>421</v>
      </c>
      <c r="D190" s="123" t="s">
        <v>437</v>
      </c>
      <c r="E190" s="122" t="s">
        <v>478</v>
      </c>
      <c r="F190" s="122" t="s">
        <v>479</v>
      </c>
      <c r="G190" s="122" t="s">
        <v>420</v>
      </c>
      <c r="H190" s="122" t="s">
        <v>434</v>
      </c>
      <c r="I190" s="123" t="s">
        <v>121</v>
      </c>
      <c r="J190" s="124">
        <v>45528</v>
      </c>
      <c r="K190" s="124"/>
      <c r="L190" s="123" t="s">
        <v>131</v>
      </c>
      <c r="M190" s="122" t="s">
        <v>525</v>
      </c>
      <c r="N190" s="122" t="s">
        <v>430</v>
      </c>
      <c r="O190" s="123" t="s">
        <v>459</v>
      </c>
      <c r="P190" s="114">
        <f ca="1">IF($J190="","",MAX(0,INT((IF(OR($L190="Active",$L190="On Leave"),TODAY(),IFERROR(VLOOKUP($A190,'09_Attrition_Tracker'!$B:$G,6,FALSE),TODAY()))-$J190)/30)))</f>
        <v>20</v>
      </c>
      <c r="Q190" s="83" t="str">
        <f t="shared" ca="1" si="4"/>
        <v>1-2 yrs</v>
      </c>
      <c r="R190" s="83" t="str">
        <f t="shared" si="5"/>
        <v>Yes</v>
      </c>
      <c r="S190" s="112" t="str">
        <f>IFERROR(VLOOKUP($A190,'09_Attrition_Tracker'!$B:$M,12,FALSE),"No")</f>
        <v>No</v>
      </c>
    </row>
    <row r="191" spans="1:19">
      <c r="A191" s="136" t="s">
        <v>826</v>
      </c>
      <c r="B191" s="122" t="s">
        <v>827</v>
      </c>
      <c r="C191" s="122" t="s">
        <v>416</v>
      </c>
      <c r="D191" s="123" t="s">
        <v>426</v>
      </c>
      <c r="E191" s="122" t="s">
        <v>557</v>
      </c>
      <c r="F191" s="122" t="s">
        <v>558</v>
      </c>
      <c r="G191" s="122" t="s">
        <v>411</v>
      </c>
      <c r="H191" s="122" t="s">
        <v>434</v>
      </c>
      <c r="I191" s="123" t="s">
        <v>121</v>
      </c>
      <c r="J191" s="124">
        <v>43727</v>
      </c>
      <c r="K191" s="124">
        <v>43907</v>
      </c>
      <c r="L191" s="123" t="s">
        <v>131</v>
      </c>
      <c r="M191" s="122" t="s">
        <v>513</v>
      </c>
      <c r="N191" s="122" t="s">
        <v>441</v>
      </c>
      <c r="O191" s="123" t="s">
        <v>431</v>
      </c>
      <c r="P191" s="114">
        <f ca="1">IF($J191="","",MAX(0,INT((IF(OR($L191="Active",$L191="On Leave"),TODAY(),IFERROR(VLOOKUP($A191,'09_Attrition_Tracker'!$B:$G,6,FALSE),TODAY()))-$J191)/30)))</f>
        <v>80</v>
      </c>
      <c r="Q191" s="83" t="str">
        <f t="shared" ca="1" si="4"/>
        <v>5+ yrs</v>
      </c>
      <c r="R191" s="83" t="str">
        <f t="shared" si="5"/>
        <v>Yes</v>
      </c>
      <c r="S191" s="112" t="str">
        <f>IFERROR(VLOOKUP($A191,'09_Attrition_Tracker'!$B:$M,12,FALSE),"No")</f>
        <v>No</v>
      </c>
    </row>
    <row r="192" spans="1:19">
      <c r="A192" s="136" t="s">
        <v>828</v>
      </c>
      <c r="B192" s="122" t="s">
        <v>510</v>
      </c>
      <c r="C192" s="122" t="s">
        <v>104</v>
      </c>
      <c r="D192" s="123" t="s">
        <v>426</v>
      </c>
      <c r="E192" s="122" t="s">
        <v>473</v>
      </c>
      <c r="F192" s="122" t="s">
        <v>474</v>
      </c>
      <c r="G192" s="122" t="s">
        <v>104</v>
      </c>
      <c r="H192" s="122" t="s">
        <v>429</v>
      </c>
      <c r="I192" s="123" t="s">
        <v>121</v>
      </c>
      <c r="J192" s="124">
        <v>44962</v>
      </c>
      <c r="K192" s="124"/>
      <c r="L192" s="123" t="s">
        <v>381</v>
      </c>
      <c r="M192" s="122"/>
      <c r="N192" s="122" t="s">
        <v>475</v>
      </c>
      <c r="O192" s="123" t="s">
        <v>446</v>
      </c>
      <c r="P192" s="114">
        <f ca="1">IF($J192="","",MAX(0,INT((IF(OR($L192="Active",$L192="On Leave"),TODAY(),IFERROR(VLOOKUP($A192,'09_Attrition_Tracker'!$B:$G,6,FALSE),TODAY()))-$J192)/30)))</f>
        <v>23</v>
      </c>
      <c r="Q192" s="83" t="str">
        <f t="shared" ca="1" si="4"/>
        <v>1-2 yrs</v>
      </c>
      <c r="R192" s="83" t="str">
        <f t="shared" si="5"/>
        <v>No</v>
      </c>
      <c r="S192" s="112" t="str">
        <f>IFERROR(VLOOKUP($A192,'09_Attrition_Tracker'!$B:$M,12,FALSE),"No")</f>
        <v>No</v>
      </c>
    </row>
    <row r="193" spans="1:19">
      <c r="A193" s="136" t="s">
        <v>829</v>
      </c>
      <c r="B193" s="122" t="s">
        <v>830</v>
      </c>
      <c r="C193" s="122" t="s">
        <v>421</v>
      </c>
      <c r="D193" s="123" t="s">
        <v>108</v>
      </c>
      <c r="E193" s="122" t="s">
        <v>478</v>
      </c>
      <c r="F193" s="122" t="s">
        <v>479</v>
      </c>
      <c r="G193" s="122" t="s">
        <v>420</v>
      </c>
      <c r="H193" s="122" t="s">
        <v>118</v>
      </c>
      <c r="I193" s="123" t="s">
        <v>121</v>
      </c>
      <c r="J193" s="124">
        <v>45818</v>
      </c>
      <c r="K193" s="124">
        <v>45998</v>
      </c>
      <c r="L193" s="123" t="s">
        <v>131</v>
      </c>
      <c r="M193" s="122" t="s">
        <v>448</v>
      </c>
      <c r="N193" s="122" t="s">
        <v>475</v>
      </c>
      <c r="O193" s="123" t="s">
        <v>453</v>
      </c>
      <c r="P193" s="114">
        <f ca="1">IF($J193="","",MAX(0,INT((IF(OR($L193="Active",$L193="On Leave"),TODAY(),IFERROR(VLOOKUP($A193,'09_Attrition_Tracker'!$B:$G,6,FALSE),TODAY()))-$J193)/30)))</f>
        <v>10</v>
      </c>
      <c r="Q193" s="83" t="str">
        <f t="shared" ca="1" si="4"/>
        <v>7-12 mos</v>
      </c>
      <c r="R193" s="83" t="str">
        <f t="shared" si="5"/>
        <v>Yes</v>
      </c>
      <c r="S193" s="112" t="str">
        <f>IFERROR(VLOOKUP($A193,'09_Attrition_Tracker'!$B:$M,12,FALSE),"No")</f>
        <v>No</v>
      </c>
    </row>
    <row r="194" spans="1:19">
      <c r="A194" s="136" t="s">
        <v>831</v>
      </c>
      <c r="B194" s="122" t="s">
        <v>615</v>
      </c>
      <c r="C194" s="122" t="s">
        <v>271</v>
      </c>
      <c r="D194" s="123" t="s">
        <v>426</v>
      </c>
      <c r="E194" s="122" t="s">
        <v>491</v>
      </c>
      <c r="F194" s="122" t="s">
        <v>492</v>
      </c>
      <c r="G194" s="122" t="s">
        <v>408</v>
      </c>
      <c r="H194" s="122" t="s">
        <v>118</v>
      </c>
      <c r="I194" s="123" t="s">
        <v>121</v>
      </c>
      <c r="J194" s="124">
        <v>44148</v>
      </c>
      <c r="K194" s="124">
        <v>44328</v>
      </c>
      <c r="L194" s="123" t="s">
        <v>131</v>
      </c>
      <c r="M194" s="122" t="s">
        <v>518</v>
      </c>
      <c r="N194" s="122" t="s">
        <v>515</v>
      </c>
      <c r="O194" s="123" t="s">
        <v>446</v>
      </c>
      <c r="P194" s="114">
        <f ca="1">IF($J194="","",MAX(0,INT((IF(OR($L194="Active",$L194="On Leave"),TODAY(),IFERROR(VLOOKUP($A194,'09_Attrition_Tracker'!$B:$G,6,FALSE),TODAY()))-$J194)/30)))</f>
        <v>66</v>
      </c>
      <c r="Q194" s="83" t="str">
        <f t="shared" ca="1" si="4"/>
        <v>5+ yrs</v>
      </c>
      <c r="R194" s="83" t="str">
        <f t="shared" si="5"/>
        <v>Yes</v>
      </c>
      <c r="S194" s="112" t="str">
        <f>IFERROR(VLOOKUP($A194,'09_Attrition_Tracker'!$B:$M,12,FALSE),"No")</f>
        <v>No</v>
      </c>
    </row>
    <row r="195" spans="1:19">
      <c r="A195" s="136" t="s">
        <v>832</v>
      </c>
      <c r="B195" s="122" t="s">
        <v>751</v>
      </c>
      <c r="C195" s="122" t="s">
        <v>37</v>
      </c>
      <c r="D195" s="123" t="s">
        <v>108</v>
      </c>
      <c r="E195" s="122" t="s">
        <v>486</v>
      </c>
      <c r="F195" s="122" t="s">
        <v>260</v>
      </c>
      <c r="G195" s="122" t="s">
        <v>37</v>
      </c>
      <c r="H195" s="122" t="s">
        <v>118</v>
      </c>
      <c r="I195" s="123" t="s">
        <v>121</v>
      </c>
      <c r="J195" s="124">
        <v>44162</v>
      </c>
      <c r="K195" s="124">
        <v>44342</v>
      </c>
      <c r="L195" s="123" t="s">
        <v>131</v>
      </c>
      <c r="M195" s="122" t="s">
        <v>523</v>
      </c>
      <c r="N195" s="122" t="s">
        <v>447</v>
      </c>
      <c r="O195" s="123" t="s">
        <v>459</v>
      </c>
      <c r="P195" s="114">
        <f ca="1">IF($J195="","",MAX(0,INT((IF(OR($L195="Active",$L195="On Leave"),TODAY(),IFERROR(VLOOKUP($A195,'09_Attrition_Tracker'!$B:$G,6,FALSE),TODAY()))-$J195)/30)))</f>
        <v>66</v>
      </c>
      <c r="Q195" s="83" t="str">
        <f t="shared" ca="1" si="4"/>
        <v>5+ yrs</v>
      </c>
      <c r="R195" s="83" t="str">
        <f t="shared" si="5"/>
        <v>Yes</v>
      </c>
      <c r="S195" s="112" t="str">
        <f>IFERROR(VLOOKUP($A195,'09_Attrition_Tracker'!$B:$M,12,FALSE),"No")</f>
        <v>No</v>
      </c>
    </row>
    <row r="196" spans="1:19">
      <c r="A196" s="136" t="s">
        <v>833</v>
      </c>
      <c r="B196" s="122" t="s">
        <v>834</v>
      </c>
      <c r="C196" s="122" t="s">
        <v>37</v>
      </c>
      <c r="D196" s="123" t="s">
        <v>437</v>
      </c>
      <c r="E196" s="122" t="s">
        <v>549</v>
      </c>
      <c r="F196" s="122" t="s">
        <v>550</v>
      </c>
      <c r="G196" s="122" t="s">
        <v>37</v>
      </c>
      <c r="H196" s="122" t="s">
        <v>429</v>
      </c>
      <c r="I196" s="123" t="s">
        <v>121</v>
      </c>
      <c r="J196" s="124">
        <v>45769</v>
      </c>
      <c r="K196" s="124">
        <v>45949</v>
      </c>
      <c r="L196" s="123" t="s">
        <v>131</v>
      </c>
      <c r="M196" s="122"/>
      <c r="N196" s="122" t="s">
        <v>137</v>
      </c>
      <c r="O196" s="123" t="s">
        <v>453</v>
      </c>
      <c r="P196" s="114">
        <f ca="1">IF($J196="","",MAX(0,INT((IF(OR($L196="Active",$L196="On Leave"),TODAY(),IFERROR(VLOOKUP($A196,'09_Attrition_Tracker'!$B:$G,6,FALSE),TODAY()))-$J196)/30)))</f>
        <v>12</v>
      </c>
      <c r="Q196" s="83" t="str">
        <f t="shared" ca="1" si="4"/>
        <v>7-12 mos</v>
      </c>
      <c r="R196" s="83" t="str">
        <f t="shared" si="5"/>
        <v>Yes</v>
      </c>
      <c r="S196" s="112" t="str">
        <f>IFERROR(VLOOKUP($A196,'09_Attrition_Tracker'!$B:$M,12,FALSE),"No")</f>
        <v>No</v>
      </c>
    </row>
    <row r="197" spans="1:19">
      <c r="A197" s="136" t="s">
        <v>269</v>
      </c>
      <c r="B197" s="122" t="s">
        <v>684</v>
      </c>
      <c r="C197" s="122" t="s">
        <v>271</v>
      </c>
      <c r="D197" s="123" t="s">
        <v>437</v>
      </c>
      <c r="E197" s="122" t="s">
        <v>628</v>
      </c>
      <c r="F197" s="122" t="s">
        <v>20</v>
      </c>
      <c r="G197" s="122" t="s">
        <v>408</v>
      </c>
      <c r="H197" s="122" t="s">
        <v>429</v>
      </c>
      <c r="I197" s="123" t="s">
        <v>121</v>
      </c>
      <c r="J197" s="124">
        <v>45359</v>
      </c>
      <c r="K197" s="124">
        <v>45539</v>
      </c>
      <c r="L197" s="123" t="s">
        <v>131</v>
      </c>
      <c r="M197" s="122"/>
      <c r="N197" s="122" t="s">
        <v>137</v>
      </c>
      <c r="O197" s="123" t="s">
        <v>453</v>
      </c>
      <c r="P197" s="114">
        <f ca="1">IF($J197="","",MAX(0,INT((IF(OR($L197="Active",$L197="On Leave"),TODAY(),IFERROR(VLOOKUP($A197,'09_Attrition_Tracker'!$B:$G,6,FALSE),TODAY()))-$J197)/30)))</f>
        <v>26</v>
      </c>
      <c r="Q197" s="83" t="str">
        <f t="shared" ref="Q197:Q254" ca="1" si="6">IF($P197="","",IF($P197&lt;4,"0-3 mos",IF($P197&lt;7,"4-6 mos",IF($P197&lt;13,"7-12 mos",IF($P197&lt;25,"1-2 yrs",IF($P197&lt;61,"2-5 yrs","5+ yrs"))))))</f>
        <v>2-5 yrs</v>
      </c>
      <c r="R197" s="83" t="str">
        <f t="shared" ref="R197:R254" si="7">IF(OR($L197="Active",$L197="On Leave"),"Yes","No")</f>
        <v>Yes</v>
      </c>
      <c r="S197" s="112" t="str">
        <f>IFERROR(VLOOKUP($A197,'09_Attrition_Tracker'!$B:$M,12,FALSE),"No")</f>
        <v>No</v>
      </c>
    </row>
    <row r="198" spans="1:19">
      <c r="A198" s="136" t="s">
        <v>835</v>
      </c>
      <c r="B198" s="122" t="s">
        <v>836</v>
      </c>
      <c r="C198" s="122" t="s">
        <v>371</v>
      </c>
      <c r="D198" s="123" t="s">
        <v>450</v>
      </c>
      <c r="E198" s="122" t="s">
        <v>462</v>
      </c>
      <c r="F198" s="122" t="s">
        <v>463</v>
      </c>
      <c r="G198" s="122" t="s">
        <v>371</v>
      </c>
      <c r="H198" s="122" t="s">
        <v>434</v>
      </c>
      <c r="I198" s="123" t="s">
        <v>121</v>
      </c>
      <c r="J198" s="124">
        <v>45100</v>
      </c>
      <c r="K198" s="124">
        <v>45280</v>
      </c>
      <c r="L198" s="123" t="s">
        <v>381</v>
      </c>
      <c r="M198" s="122" t="s">
        <v>476</v>
      </c>
      <c r="N198" s="122" t="s">
        <v>441</v>
      </c>
      <c r="O198" s="123" t="s">
        <v>431</v>
      </c>
      <c r="P198" s="114">
        <f ca="1">IF($J198="","",MAX(0,INT((IF(OR($L198="Active",$L198="On Leave"),TODAY(),IFERROR(VLOOKUP($A198,'09_Attrition_Tracker'!$B:$G,6,FALSE),TODAY()))-$J198)/30)))</f>
        <v>18</v>
      </c>
      <c r="Q198" s="83" t="str">
        <f t="shared" ca="1" si="6"/>
        <v>1-2 yrs</v>
      </c>
      <c r="R198" s="83" t="str">
        <f t="shared" si="7"/>
        <v>No</v>
      </c>
      <c r="S198" s="112" t="str">
        <f>IFERROR(VLOOKUP($A198,'09_Attrition_Tracker'!$B:$M,12,FALSE),"No")</f>
        <v>No</v>
      </c>
    </row>
    <row r="199" spans="1:19">
      <c r="A199" s="136" t="s">
        <v>837</v>
      </c>
      <c r="B199" s="122" t="s">
        <v>838</v>
      </c>
      <c r="C199" s="122" t="s">
        <v>421</v>
      </c>
      <c r="D199" s="123" t="s">
        <v>437</v>
      </c>
      <c r="E199" s="122" t="s">
        <v>553</v>
      </c>
      <c r="F199" s="122" t="s">
        <v>554</v>
      </c>
      <c r="G199" s="122" t="s">
        <v>420</v>
      </c>
      <c r="H199" s="122" t="s">
        <v>118</v>
      </c>
      <c r="I199" s="123" t="s">
        <v>380</v>
      </c>
      <c r="J199" s="124">
        <v>45140</v>
      </c>
      <c r="K199" s="124">
        <v>45320</v>
      </c>
      <c r="L199" s="123" t="s">
        <v>381</v>
      </c>
      <c r="M199" s="122" t="s">
        <v>551</v>
      </c>
      <c r="N199" s="122" t="s">
        <v>430</v>
      </c>
      <c r="O199" s="123" t="s">
        <v>431</v>
      </c>
      <c r="P199" s="114">
        <f ca="1">IF($J199="","",MAX(0,INT((IF(OR($L199="Active",$L199="On Leave"),TODAY(),IFERROR(VLOOKUP($A199,'09_Attrition_Tracker'!$B:$G,6,FALSE),TODAY()))-$J199)/30)))</f>
        <v>23</v>
      </c>
      <c r="Q199" s="83" t="str">
        <f t="shared" ca="1" si="6"/>
        <v>1-2 yrs</v>
      </c>
      <c r="R199" s="83" t="str">
        <f t="shared" si="7"/>
        <v>No</v>
      </c>
      <c r="S199" s="112" t="str">
        <f>IFERROR(VLOOKUP($A199,'09_Attrition_Tracker'!$B:$M,12,FALSE),"No")</f>
        <v>No</v>
      </c>
    </row>
    <row r="200" spans="1:19">
      <c r="A200" s="136" t="s">
        <v>839</v>
      </c>
      <c r="B200" s="122" t="s">
        <v>303</v>
      </c>
      <c r="C200" s="122" t="s">
        <v>176</v>
      </c>
      <c r="D200" s="123" t="s">
        <v>450</v>
      </c>
      <c r="E200" s="122" t="s">
        <v>177</v>
      </c>
      <c r="F200" s="122" t="s">
        <v>178</v>
      </c>
      <c r="G200" s="122" t="s">
        <v>154</v>
      </c>
      <c r="H200" s="122" t="s">
        <v>118</v>
      </c>
      <c r="I200" s="123" t="s">
        <v>121</v>
      </c>
      <c r="J200" s="124">
        <v>43986</v>
      </c>
      <c r="K200" s="124">
        <v>44166</v>
      </c>
      <c r="L200" s="123" t="s">
        <v>381</v>
      </c>
      <c r="M200" s="122" t="s">
        <v>530</v>
      </c>
      <c r="N200" s="122" t="s">
        <v>515</v>
      </c>
      <c r="O200" s="123" t="s">
        <v>431</v>
      </c>
      <c r="P200" s="114">
        <f ca="1">IF($J200="","",MAX(0,INT((IF(OR($L200="Active",$L200="On Leave"),TODAY(),IFERROR(VLOOKUP($A200,'09_Attrition_Tracker'!$B:$G,6,FALSE),TODAY()))-$J200)/30)))</f>
        <v>68</v>
      </c>
      <c r="Q200" s="83" t="str">
        <f t="shared" ca="1" si="6"/>
        <v>5+ yrs</v>
      </c>
      <c r="R200" s="83" t="str">
        <f t="shared" si="7"/>
        <v>No</v>
      </c>
      <c r="S200" s="112" t="str">
        <f>IFERROR(VLOOKUP($A200,'09_Attrition_Tracker'!$B:$M,12,FALSE),"No")</f>
        <v>Yes</v>
      </c>
    </row>
    <row r="201" spans="1:19">
      <c r="A201" s="136" t="s">
        <v>840</v>
      </c>
      <c r="B201" s="122" t="s">
        <v>841</v>
      </c>
      <c r="C201" s="122" t="s">
        <v>271</v>
      </c>
      <c r="D201" s="123" t="s">
        <v>450</v>
      </c>
      <c r="E201" s="122" t="s">
        <v>521</v>
      </c>
      <c r="F201" s="122" t="s">
        <v>522</v>
      </c>
      <c r="G201" s="122" t="s">
        <v>408</v>
      </c>
      <c r="H201" s="122" t="s">
        <v>118</v>
      </c>
      <c r="I201" s="123" t="s">
        <v>121</v>
      </c>
      <c r="J201" s="124">
        <v>45008</v>
      </c>
      <c r="K201" s="124">
        <v>45188</v>
      </c>
      <c r="L201" s="123" t="s">
        <v>392</v>
      </c>
      <c r="M201" s="122" t="s">
        <v>503</v>
      </c>
      <c r="N201" s="122" t="s">
        <v>458</v>
      </c>
      <c r="O201" s="123" t="s">
        <v>459</v>
      </c>
      <c r="P201" s="114">
        <f ca="1">IF($J201="","",MAX(0,INT((IF(OR($L201="Active",$L201="On Leave"),TODAY(),IFERROR(VLOOKUP($A201,'09_Attrition_Tracker'!$B:$G,6,FALSE),TODAY()))-$J201)/30)))</f>
        <v>31</v>
      </c>
      <c r="Q201" s="83" t="str">
        <f t="shared" ca="1" si="6"/>
        <v>2-5 yrs</v>
      </c>
      <c r="R201" s="83" t="str">
        <f t="shared" si="7"/>
        <v>No</v>
      </c>
      <c r="S201" s="112" t="str">
        <f>IFERROR(VLOOKUP($A201,'09_Attrition_Tracker'!$B:$M,12,FALSE),"No")</f>
        <v>Yes</v>
      </c>
    </row>
    <row r="202" spans="1:19">
      <c r="A202" s="136" t="s">
        <v>842</v>
      </c>
      <c r="B202" s="122" t="s">
        <v>843</v>
      </c>
      <c r="C202" s="122" t="s">
        <v>176</v>
      </c>
      <c r="D202" s="123" t="s">
        <v>450</v>
      </c>
      <c r="E202" s="122" t="s">
        <v>577</v>
      </c>
      <c r="F202" s="122" t="s">
        <v>578</v>
      </c>
      <c r="G202" s="122" t="s">
        <v>154</v>
      </c>
      <c r="H202" s="122" t="s">
        <v>118</v>
      </c>
      <c r="I202" s="123" t="s">
        <v>121</v>
      </c>
      <c r="J202" s="124">
        <v>44411</v>
      </c>
      <c r="K202" s="124">
        <v>44591</v>
      </c>
      <c r="L202" s="123" t="s">
        <v>131</v>
      </c>
      <c r="M202" s="122" t="s">
        <v>523</v>
      </c>
      <c r="N202" s="122" t="s">
        <v>447</v>
      </c>
      <c r="O202" s="123" t="s">
        <v>140</v>
      </c>
      <c r="P202" s="114">
        <f ca="1">IF($J202="","",MAX(0,INT((IF(OR($L202="Active",$L202="On Leave"),TODAY(),IFERROR(VLOOKUP($A202,'09_Attrition_Tracker'!$B:$G,6,FALSE),TODAY()))-$J202)/30)))</f>
        <v>57</v>
      </c>
      <c r="Q202" s="83" t="str">
        <f t="shared" ca="1" si="6"/>
        <v>2-5 yrs</v>
      </c>
      <c r="R202" s="83" t="str">
        <f t="shared" si="7"/>
        <v>Yes</v>
      </c>
      <c r="S202" s="112" t="str">
        <f>IFERROR(VLOOKUP($A202,'09_Attrition_Tracker'!$B:$M,12,FALSE),"No")</f>
        <v>No</v>
      </c>
    </row>
    <row r="203" spans="1:19">
      <c r="A203" s="136" t="s">
        <v>844</v>
      </c>
      <c r="B203" s="122" t="s">
        <v>602</v>
      </c>
      <c r="C203" s="122" t="s">
        <v>152</v>
      </c>
      <c r="D203" s="123" t="s">
        <v>450</v>
      </c>
      <c r="E203" s="122" t="s">
        <v>451</v>
      </c>
      <c r="F203" s="122" t="s">
        <v>452</v>
      </c>
      <c r="G203" s="122" t="s">
        <v>154</v>
      </c>
      <c r="H203" s="122" t="s">
        <v>440</v>
      </c>
      <c r="I203" s="123" t="s">
        <v>121</v>
      </c>
      <c r="J203" s="124">
        <v>43424</v>
      </c>
      <c r="K203" s="124">
        <v>43604</v>
      </c>
      <c r="L203" s="123" t="s">
        <v>131</v>
      </c>
      <c r="M203" s="122" t="s">
        <v>573</v>
      </c>
      <c r="N203" s="122" t="s">
        <v>464</v>
      </c>
      <c r="O203" s="123" t="s">
        <v>431</v>
      </c>
      <c r="P203" s="114">
        <f ca="1">IF($J203="","",MAX(0,INT((IF(OR($L203="Active",$L203="On Leave"),TODAY(),IFERROR(VLOOKUP($A203,'09_Attrition_Tracker'!$B:$G,6,FALSE),TODAY()))-$J203)/30)))</f>
        <v>90</v>
      </c>
      <c r="Q203" s="83" t="str">
        <f t="shared" ca="1" si="6"/>
        <v>5+ yrs</v>
      </c>
      <c r="R203" s="83" t="str">
        <f t="shared" si="7"/>
        <v>Yes</v>
      </c>
      <c r="S203" s="112" t="str">
        <f>IFERROR(VLOOKUP($A203,'09_Attrition_Tracker'!$B:$M,12,FALSE),"No")</f>
        <v>No</v>
      </c>
    </row>
    <row r="204" spans="1:19">
      <c r="A204" s="136" t="s">
        <v>845</v>
      </c>
      <c r="B204" s="122" t="s">
        <v>846</v>
      </c>
      <c r="C204" s="122" t="s">
        <v>407</v>
      </c>
      <c r="D204" s="123" t="s">
        <v>450</v>
      </c>
      <c r="E204" s="122" t="s">
        <v>444</v>
      </c>
      <c r="F204" s="122" t="s">
        <v>445</v>
      </c>
      <c r="G204" s="122" t="s">
        <v>417</v>
      </c>
      <c r="H204" s="122" t="s">
        <v>429</v>
      </c>
      <c r="I204" s="123" t="s">
        <v>121</v>
      </c>
      <c r="J204" s="124">
        <v>45848</v>
      </c>
      <c r="K204" s="124">
        <v>46028</v>
      </c>
      <c r="L204" s="123" t="s">
        <v>131</v>
      </c>
      <c r="M204" s="122"/>
      <c r="N204" s="122" t="s">
        <v>475</v>
      </c>
      <c r="O204" s="123" t="s">
        <v>446</v>
      </c>
      <c r="P204" s="114">
        <f ca="1">IF($J204="","",MAX(0,INT((IF(OR($L204="Active",$L204="On Leave"),TODAY(),IFERROR(VLOOKUP($A204,'09_Attrition_Tracker'!$B:$G,6,FALSE),TODAY()))-$J204)/30)))</f>
        <v>9</v>
      </c>
      <c r="Q204" s="83" t="str">
        <f t="shared" ca="1" si="6"/>
        <v>7-12 mos</v>
      </c>
      <c r="R204" s="83" t="str">
        <f t="shared" si="7"/>
        <v>Yes</v>
      </c>
      <c r="S204" s="112" t="str">
        <f>IFERROR(VLOOKUP($A204,'09_Attrition_Tracker'!$B:$M,12,FALSE),"No")</f>
        <v>No</v>
      </c>
    </row>
    <row r="205" spans="1:19">
      <c r="A205" s="136" t="s">
        <v>847</v>
      </c>
      <c r="B205" s="122" t="s">
        <v>848</v>
      </c>
      <c r="C205" s="122" t="s">
        <v>416</v>
      </c>
      <c r="D205" s="123" t="s">
        <v>437</v>
      </c>
      <c r="E205" s="122" t="s">
        <v>482</v>
      </c>
      <c r="F205" s="122" t="s">
        <v>483</v>
      </c>
      <c r="G205" s="122" t="s">
        <v>411</v>
      </c>
      <c r="H205" s="122" t="s">
        <v>434</v>
      </c>
      <c r="I205" s="123" t="s">
        <v>380</v>
      </c>
      <c r="J205" s="124">
        <v>44534</v>
      </c>
      <c r="K205" s="124">
        <v>44714</v>
      </c>
      <c r="L205" s="123" t="s">
        <v>131</v>
      </c>
      <c r="M205" s="122" t="s">
        <v>487</v>
      </c>
      <c r="N205" s="122" t="s">
        <v>458</v>
      </c>
      <c r="O205" s="123" t="s">
        <v>431</v>
      </c>
      <c r="P205" s="114">
        <f ca="1">IF($J205="","",MAX(0,INT((IF(OR($L205="Active",$L205="On Leave"),TODAY(),IFERROR(VLOOKUP($A205,'09_Attrition_Tracker'!$B:$G,6,FALSE),TODAY()))-$J205)/30)))</f>
        <v>53</v>
      </c>
      <c r="Q205" s="83" t="str">
        <f t="shared" ca="1" si="6"/>
        <v>2-5 yrs</v>
      </c>
      <c r="R205" s="83" t="str">
        <f t="shared" si="7"/>
        <v>Yes</v>
      </c>
      <c r="S205" s="112" t="str">
        <f>IFERROR(VLOOKUP($A205,'09_Attrition_Tracker'!$B:$M,12,FALSE),"No")</f>
        <v>No</v>
      </c>
    </row>
    <row r="206" spans="1:19">
      <c r="A206" s="136" t="s">
        <v>849</v>
      </c>
      <c r="B206" s="122" t="s">
        <v>850</v>
      </c>
      <c r="C206" s="122" t="s">
        <v>176</v>
      </c>
      <c r="D206" s="123" t="s">
        <v>108</v>
      </c>
      <c r="E206" s="122" t="s">
        <v>652</v>
      </c>
      <c r="F206" s="122" t="s">
        <v>653</v>
      </c>
      <c r="G206" s="122" t="s">
        <v>154</v>
      </c>
      <c r="H206" s="122" t="s">
        <v>440</v>
      </c>
      <c r="I206" s="123" t="s">
        <v>121</v>
      </c>
      <c r="J206" s="124">
        <v>46068</v>
      </c>
      <c r="K206" s="124">
        <v>46248</v>
      </c>
      <c r="L206" s="123" t="s">
        <v>400</v>
      </c>
      <c r="M206" s="122" t="s">
        <v>509</v>
      </c>
      <c r="N206" s="122" t="s">
        <v>515</v>
      </c>
      <c r="O206" s="123" t="s">
        <v>446</v>
      </c>
      <c r="P206" s="114">
        <f ca="1">IF($J206="","",MAX(0,INT((IF(OR($L206="Active",$L206="On Leave"),TODAY(),IFERROR(VLOOKUP($A206,'09_Attrition_Tracker'!$B:$G,6,FALSE),TODAY()))-$J206)/30)))</f>
        <v>2</v>
      </c>
      <c r="Q206" s="83" t="str">
        <f t="shared" ca="1" si="6"/>
        <v>0-3 mos</v>
      </c>
      <c r="R206" s="83" t="str">
        <f t="shared" si="7"/>
        <v>Yes</v>
      </c>
      <c r="S206" s="112" t="str">
        <f>IFERROR(VLOOKUP($A206,'09_Attrition_Tracker'!$B:$M,12,FALSE),"No")</f>
        <v>No</v>
      </c>
    </row>
    <row r="207" spans="1:19">
      <c r="A207" s="136" t="s">
        <v>851</v>
      </c>
      <c r="B207" s="122" t="s">
        <v>852</v>
      </c>
      <c r="C207" s="122" t="s">
        <v>407</v>
      </c>
      <c r="D207" s="123" t="s">
        <v>426</v>
      </c>
      <c r="E207" s="122" t="s">
        <v>444</v>
      </c>
      <c r="F207" s="122" t="s">
        <v>445</v>
      </c>
      <c r="G207" s="122" t="s">
        <v>417</v>
      </c>
      <c r="H207" s="122" t="s">
        <v>429</v>
      </c>
      <c r="I207" s="123" t="s">
        <v>399</v>
      </c>
      <c r="J207" s="124">
        <v>43291</v>
      </c>
      <c r="K207" s="124">
        <v>43471</v>
      </c>
      <c r="L207" s="123" t="s">
        <v>131</v>
      </c>
      <c r="M207" s="122"/>
      <c r="N207" s="122" t="s">
        <v>515</v>
      </c>
      <c r="O207" s="123" t="s">
        <v>140</v>
      </c>
      <c r="P207" s="114">
        <f ca="1">IF($J207="","",MAX(0,INT((IF(OR($L207="Active",$L207="On Leave"),TODAY(),IFERROR(VLOOKUP($A207,'09_Attrition_Tracker'!$B:$G,6,FALSE),TODAY()))-$J207)/30)))</f>
        <v>95</v>
      </c>
      <c r="Q207" s="83" t="str">
        <f t="shared" ca="1" si="6"/>
        <v>5+ yrs</v>
      </c>
      <c r="R207" s="83" t="str">
        <f t="shared" si="7"/>
        <v>Yes</v>
      </c>
      <c r="S207" s="112" t="str">
        <f>IFERROR(VLOOKUP($A207,'09_Attrition_Tracker'!$B:$M,12,FALSE),"No")</f>
        <v>No</v>
      </c>
    </row>
    <row r="208" spans="1:19">
      <c r="A208" s="136" t="s">
        <v>853</v>
      </c>
      <c r="B208" s="122" t="s">
        <v>552</v>
      </c>
      <c r="C208" s="122" t="s">
        <v>176</v>
      </c>
      <c r="D208" s="123" t="s">
        <v>108</v>
      </c>
      <c r="E208" s="122" t="s">
        <v>652</v>
      </c>
      <c r="F208" s="122" t="s">
        <v>653</v>
      </c>
      <c r="G208" s="122" t="s">
        <v>154</v>
      </c>
      <c r="H208" s="122" t="s">
        <v>440</v>
      </c>
      <c r="I208" s="123" t="s">
        <v>121</v>
      </c>
      <c r="J208" s="124">
        <v>45854</v>
      </c>
      <c r="K208" s="124">
        <v>46034</v>
      </c>
      <c r="L208" s="123" t="s">
        <v>131</v>
      </c>
      <c r="M208" s="122" t="s">
        <v>465</v>
      </c>
      <c r="N208" s="122" t="s">
        <v>137</v>
      </c>
      <c r="O208" s="123" t="s">
        <v>453</v>
      </c>
      <c r="P208" s="114">
        <f ca="1">IF($J208="","",MAX(0,INT((IF(OR($L208="Active",$L208="On Leave"),TODAY(),IFERROR(VLOOKUP($A208,'09_Attrition_Tracker'!$B:$G,6,FALSE),TODAY()))-$J208)/30)))</f>
        <v>9</v>
      </c>
      <c r="Q208" s="83" t="str">
        <f t="shared" ca="1" si="6"/>
        <v>7-12 mos</v>
      </c>
      <c r="R208" s="83" t="str">
        <f t="shared" si="7"/>
        <v>Yes</v>
      </c>
      <c r="S208" s="112" t="str">
        <f>IFERROR(VLOOKUP($A208,'09_Attrition_Tracker'!$B:$M,12,FALSE),"No")</f>
        <v>No</v>
      </c>
    </row>
    <row r="209" spans="1:19">
      <c r="A209" s="136" t="s">
        <v>854</v>
      </c>
      <c r="B209" s="122" t="s">
        <v>855</v>
      </c>
      <c r="C209" s="122" t="s">
        <v>379</v>
      </c>
      <c r="D209" s="123" t="s">
        <v>108</v>
      </c>
      <c r="E209" s="122" t="s">
        <v>587</v>
      </c>
      <c r="F209" s="122" t="s">
        <v>588</v>
      </c>
      <c r="G209" s="122" t="s">
        <v>390</v>
      </c>
      <c r="H209" s="122" t="s">
        <v>118</v>
      </c>
      <c r="I209" s="123" t="s">
        <v>121</v>
      </c>
      <c r="J209" s="124">
        <v>45581</v>
      </c>
      <c r="K209" s="124">
        <v>45761</v>
      </c>
      <c r="L209" s="123" t="s">
        <v>131</v>
      </c>
      <c r="M209" s="122" t="s">
        <v>528</v>
      </c>
      <c r="N209" s="122" t="s">
        <v>464</v>
      </c>
      <c r="O209" s="123" t="s">
        <v>453</v>
      </c>
      <c r="P209" s="114">
        <f ca="1">IF($J209="","",MAX(0,INT((IF(OR($L209="Active",$L209="On Leave"),TODAY(),IFERROR(VLOOKUP($A209,'09_Attrition_Tracker'!$B:$G,6,FALSE),TODAY()))-$J209)/30)))</f>
        <v>18</v>
      </c>
      <c r="Q209" s="83" t="str">
        <f t="shared" ca="1" si="6"/>
        <v>1-2 yrs</v>
      </c>
      <c r="R209" s="83" t="str">
        <f t="shared" si="7"/>
        <v>Yes</v>
      </c>
      <c r="S209" s="112" t="str">
        <f>IFERROR(VLOOKUP($A209,'09_Attrition_Tracker'!$B:$M,12,FALSE),"No")</f>
        <v>No</v>
      </c>
    </row>
    <row r="210" spans="1:19">
      <c r="A210" s="136" t="s">
        <v>856</v>
      </c>
      <c r="B210" s="122" t="s">
        <v>857</v>
      </c>
      <c r="C210" s="122" t="s">
        <v>379</v>
      </c>
      <c r="D210" s="123" t="s">
        <v>108</v>
      </c>
      <c r="E210" s="122" t="s">
        <v>544</v>
      </c>
      <c r="F210" s="122" t="s">
        <v>545</v>
      </c>
      <c r="G210" s="122" t="s">
        <v>390</v>
      </c>
      <c r="H210" s="122" t="s">
        <v>440</v>
      </c>
      <c r="I210" s="123" t="s">
        <v>121</v>
      </c>
      <c r="J210" s="124">
        <v>44495</v>
      </c>
      <c r="K210" s="124">
        <v>44675</v>
      </c>
      <c r="L210" s="123" t="s">
        <v>131</v>
      </c>
      <c r="M210" s="122" t="s">
        <v>503</v>
      </c>
      <c r="N210" s="122" t="s">
        <v>515</v>
      </c>
      <c r="O210" s="123" t="s">
        <v>431</v>
      </c>
      <c r="P210" s="114">
        <f ca="1">IF($J210="","",MAX(0,INT((IF(OR($L210="Active",$L210="On Leave"),TODAY(),IFERROR(VLOOKUP($A210,'09_Attrition_Tracker'!$B:$G,6,FALSE),TODAY()))-$J210)/30)))</f>
        <v>55</v>
      </c>
      <c r="Q210" s="83" t="str">
        <f t="shared" ca="1" si="6"/>
        <v>2-5 yrs</v>
      </c>
      <c r="R210" s="83" t="str">
        <f t="shared" si="7"/>
        <v>Yes</v>
      </c>
      <c r="S210" s="112" t="str">
        <f>IFERROR(VLOOKUP($A210,'09_Attrition_Tracker'!$B:$M,12,FALSE),"No")</f>
        <v>No</v>
      </c>
    </row>
    <row r="211" spans="1:19">
      <c r="A211" s="136" t="s">
        <v>858</v>
      </c>
      <c r="B211" s="122" t="s">
        <v>859</v>
      </c>
      <c r="C211" s="122" t="s">
        <v>37</v>
      </c>
      <c r="D211" s="123" t="s">
        <v>426</v>
      </c>
      <c r="E211" s="122" t="s">
        <v>549</v>
      </c>
      <c r="F211" s="122" t="s">
        <v>550</v>
      </c>
      <c r="G211" s="122" t="s">
        <v>37</v>
      </c>
      <c r="H211" s="122" t="s">
        <v>429</v>
      </c>
      <c r="I211" s="123" t="s">
        <v>121</v>
      </c>
      <c r="J211" s="124">
        <v>43143</v>
      </c>
      <c r="K211" s="124">
        <v>43323</v>
      </c>
      <c r="L211" s="123" t="s">
        <v>131</v>
      </c>
      <c r="M211" s="122"/>
      <c r="N211" s="122" t="s">
        <v>515</v>
      </c>
      <c r="O211" s="123" t="s">
        <v>453</v>
      </c>
      <c r="P211" s="114">
        <f ca="1">IF($J211="","",MAX(0,INT((IF(OR($L211="Active",$L211="On Leave"),TODAY(),IFERROR(VLOOKUP($A211,'09_Attrition_Tracker'!$B:$G,6,FALSE),TODAY()))-$J211)/30)))</f>
        <v>100</v>
      </c>
      <c r="Q211" s="83" t="str">
        <f t="shared" ca="1" si="6"/>
        <v>5+ yrs</v>
      </c>
      <c r="R211" s="83" t="str">
        <f t="shared" si="7"/>
        <v>Yes</v>
      </c>
      <c r="S211" s="112" t="str">
        <f>IFERROR(VLOOKUP($A211,'09_Attrition_Tracker'!$B:$M,12,FALSE),"No")</f>
        <v>No</v>
      </c>
    </row>
    <row r="212" spans="1:19">
      <c r="A212" s="136" t="s">
        <v>860</v>
      </c>
      <c r="B212" s="122" t="s">
        <v>861</v>
      </c>
      <c r="C212" s="122" t="s">
        <v>152</v>
      </c>
      <c r="D212" s="123" t="s">
        <v>426</v>
      </c>
      <c r="E212" s="122" t="s">
        <v>451</v>
      </c>
      <c r="F212" s="122" t="s">
        <v>452</v>
      </c>
      <c r="G212" s="122" t="s">
        <v>154</v>
      </c>
      <c r="H212" s="122" t="s">
        <v>440</v>
      </c>
      <c r="I212" s="123" t="s">
        <v>121</v>
      </c>
      <c r="J212" s="124">
        <v>45398</v>
      </c>
      <c r="K212" s="124"/>
      <c r="L212" s="123" t="s">
        <v>131</v>
      </c>
      <c r="M212" s="122" t="s">
        <v>493</v>
      </c>
      <c r="N212" s="122" t="s">
        <v>430</v>
      </c>
      <c r="O212" s="123" t="s">
        <v>459</v>
      </c>
      <c r="P212" s="114">
        <f ca="1">IF($J212="","",MAX(0,INT((IF(OR($L212="Active",$L212="On Leave"),TODAY(),IFERROR(VLOOKUP($A212,'09_Attrition_Tracker'!$B:$G,6,FALSE),TODAY()))-$J212)/30)))</f>
        <v>24</v>
      </c>
      <c r="Q212" s="83" t="str">
        <f t="shared" ca="1" si="6"/>
        <v>1-2 yrs</v>
      </c>
      <c r="R212" s="83" t="str">
        <f t="shared" si="7"/>
        <v>Yes</v>
      </c>
      <c r="S212" s="112" t="str">
        <f>IFERROR(VLOOKUP($A212,'09_Attrition_Tracker'!$B:$M,12,FALSE),"No")</f>
        <v>No</v>
      </c>
    </row>
    <row r="213" spans="1:19">
      <c r="A213" s="136" t="s">
        <v>862</v>
      </c>
      <c r="B213" s="122" t="s">
        <v>512</v>
      </c>
      <c r="C213" s="122" t="s">
        <v>176</v>
      </c>
      <c r="D213" s="123" t="s">
        <v>426</v>
      </c>
      <c r="E213" s="122" t="s">
        <v>577</v>
      </c>
      <c r="F213" s="122" t="s">
        <v>578</v>
      </c>
      <c r="G213" s="122" t="s">
        <v>154</v>
      </c>
      <c r="H213" s="122" t="s">
        <v>434</v>
      </c>
      <c r="I213" s="123" t="s">
        <v>121</v>
      </c>
      <c r="J213" s="124">
        <v>45709</v>
      </c>
      <c r="K213" s="124">
        <v>45889</v>
      </c>
      <c r="L213" s="123" t="s">
        <v>131</v>
      </c>
      <c r="M213" s="122" t="s">
        <v>302</v>
      </c>
      <c r="N213" s="122" t="s">
        <v>441</v>
      </c>
      <c r="O213" s="123" t="s">
        <v>459</v>
      </c>
      <c r="P213" s="114">
        <f ca="1">IF($J213="","",MAX(0,INT((IF(OR($L213="Active",$L213="On Leave"),TODAY(),IFERROR(VLOOKUP($A213,'09_Attrition_Tracker'!$B:$G,6,FALSE),TODAY()))-$J213)/30)))</f>
        <v>14</v>
      </c>
      <c r="Q213" s="83" t="str">
        <f t="shared" ca="1" si="6"/>
        <v>1-2 yrs</v>
      </c>
      <c r="R213" s="83" t="str">
        <f t="shared" si="7"/>
        <v>Yes</v>
      </c>
      <c r="S213" s="112" t="str">
        <f>IFERROR(VLOOKUP($A213,'09_Attrition_Tracker'!$B:$M,12,FALSE),"No")</f>
        <v>No</v>
      </c>
    </row>
    <row r="214" spans="1:19">
      <c r="A214" s="136" t="s">
        <v>863</v>
      </c>
      <c r="B214" s="122" t="s">
        <v>582</v>
      </c>
      <c r="C214" s="122" t="s">
        <v>421</v>
      </c>
      <c r="D214" s="123" t="s">
        <v>437</v>
      </c>
      <c r="E214" s="122" t="s">
        <v>478</v>
      </c>
      <c r="F214" s="122" t="s">
        <v>479</v>
      </c>
      <c r="G214" s="122" t="s">
        <v>420</v>
      </c>
      <c r="H214" s="122" t="s">
        <v>118</v>
      </c>
      <c r="I214" s="123" t="s">
        <v>121</v>
      </c>
      <c r="J214" s="124">
        <v>42774</v>
      </c>
      <c r="K214" s="124">
        <v>42954</v>
      </c>
      <c r="L214" s="123" t="s">
        <v>381</v>
      </c>
      <c r="M214" s="122" t="s">
        <v>520</v>
      </c>
      <c r="N214" s="122" t="s">
        <v>475</v>
      </c>
      <c r="O214" s="123" t="s">
        <v>453</v>
      </c>
      <c r="P214" s="114">
        <f ca="1">IF($J214="","",MAX(0,INT((IF(OR($L214="Active",$L214="On Leave"),TODAY(),IFERROR(VLOOKUP($A214,'09_Attrition_Tracker'!$B:$G,6,FALSE),TODAY()))-$J214)/30)))</f>
        <v>109</v>
      </c>
      <c r="Q214" s="83" t="str">
        <f t="shared" ca="1" si="6"/>
        <v>5+ yrs</v>
      </c>
      <c r="R214" s="83" t="str">
        <f t="shared" si="7"/>
        <v>No</v>
      </c>
      <c r="S214" s="112" t="str">
        <f>IFERROR(VLOOKUP($A214,'09_Attrition_Tracker'!$B:$M,12,FALSE),"No")</f>
        <v>No</v>
      </c>
    </row>
    <row r="215" spans="1:19">
      <c r="A215" s="136" t="s">
        <v>864</v>
      </c>
      <c r="B215" s="122" t="s">
        <v>730</v>
      </c>
      <c r="C215" s="122" t="s">
        <v>379</v>
      </c>
      <c r="D215" s="123" t="s">
        <v>437</v>
      </c>
      <c r="E215" s="122" t="s">
        <v>456</v>
      </c>
      <c r="F215" s="122" t="s">
        <v>457</v>
      </c>
      <c r="G215" s="122" t="s">
        <v>390</v>
      </c>
      <c r="H215" s="122" t="s">
        <v>434</v>
      </c>
      <c r="I215" s="123" t="s">
        <v>121</v>
      </c>
      <c r="J215" s="124">
        <v>43961</v>
      </c>
      <c r="K215" s="124">
        <v>44141</v>
      </c>
      <c r="L215" s="123" t="s">
        <v>392</v>
      </c>
      <c r="M215" s="122" t="s">
        <v>561</v>
      </c>
      <c r="N215" s="122" t="s">
        <v>447</v>
      </c>
      <c r="O215" s="123" t="s">
        <v>431</v>
      </c>
      <c r="P215" s="114">
        <f ca="1">IF($J215="","",MAX(0,INT((IF(OR($L215="Active",$L215="On Leave"),TODAY(),IFERROR(VLOOKUP($A215,'09_Attrition_Tracker'!$B:$G,6,FALSE),TODAY()))-$J215)/30)))</f>
        <v>61</v>
      </c>
      <c r="Q215" s="83" t="str">
        <f t="shared" ca="1" si="6"/>
        <v>5+ yrs</v>
      </c>
      <c r="R215" s="83" t="str">
        <f t="shared" si="7"/>
        <v>No</v>
      </c>
      <c r="S215" s="112" t="str">
        <f>IFERROR(VLOOKUP($A215,'09_Attrition_Tracker'!$B:$M,12,FALSE),"No")</f>
        <v>No</v>
      </c>
    </row>
    <row r="216" spans="1:19">
      <c r="A216" s="136" t="s">
        <v>865</v>
      </c>
      <c r="B216" s="122" t="s">
        <v>562</v>
      </c>
      <c r="C216" s="122" t="s">
        <v>416</v>
      </c>
      <c r="D216" s="123" t="s">
        <v>437</v>
      </c>
      <c r="E216" s="122" t="s">
        <v>482</v>
      </c>
      <c r="F216" s="122" t="s">
        <v>483</v>
      </c>
      <c r="G216" s="122" t="s">
        <v>411</v>
      </c>
      <c r="H216" s="122" t="s">
        <v>118</v>
      </c>
      <c r="I216" s="123" t="s">
        <v>121</v>
      </c>
      <c r="J216" s="124">
        <v>45308</v>
      </c>
      <c r="K216" s="124">
        <v>45488</v>
      </c>
      <c r="L216" s="123" t="s">
        <v>131</v>
      </c>
      <c r="M216" s="122" t="s">
        <v>523</v>
      </c>
      <c r="N216" s="122" t="s">
        <v>464</v>
      </c>
      <c r="O216" s="123" t="s">
        <v>140</v>
      </c>
      <c r="P216" s="114">
        <f ca="1">IF($J216="","",MAX(0,INT((IF(OR($L216="Active",$L216="On Leave"),TODAY(),IFERROR(VLOOKUP($A216,'09_Attrition_Tracker'!$B:$G,6,FALSE),TODAY()))-$J216)/30)))</f>
        <v>27</v>
      </c>
      <c r="Q216" s="83" t="str">
        <f t="shared" ca="1" si="6"/>
        <v>2-5 yrs</v>
      </c>
      <c r="R216" s="83" t="str">
        <f t="shared" si="7"/>
        <v>Yes</v>
      </c>
      <c r="S216" s="112" t="str">
        <f>IFERROR(VLOOKUP($A216,'09_Attrition_Tracker'!$B:$M,12,FALSE),"No")</f>
        <v>No</v>
      </c>
    </row>
    <row r="217" spans="1:19">
      <c r="A217" s="136" t="s">
        <v>866</v>
      </c>
      <c r="B217" s="122" t="s">
        <v>698</v>
      </c>
      <c r="C217" s="122" t="s">
        <v>421</v>
      </c>
      <c r="D217" s="123" t="s">
        <v>426</v>
      </c>
      <c r="E217" s="122" t="s">
        <v>607</v>
      </c>
      <c r="F217" s="122" t="s">
        <v>608</v>
      </c>
      <c r="G217" s="122" t="s">
        <v>420</v>
      </c>
      <c r="H217" s="122" t="s">
        <v>440</v>
      </c>
      <c r="I217" s="123" t="s">
        <v>121</v>
      </c>
      <c r="J217" s="124">
        <v>44494</v>
      </c>
      <c r="K217" s="124">
        <v>44674</v>
      </c>
      <c r="L217" s="123" t="s">
        <v>131</v>
      </c>
      <c r="M217" s="122" t="s">
        <v>493</v>
      </c>
      <c r="N217" s="122" t="s">
        <v>430</v>
      </c>
      <c r="O217" s="123" t="s">
        <v>459</v>
      </c>
      <c r="P217" s="114">
        <f ca="1">IF($J217="","",MAX(0,INT((IF(OR($L217="Active",$L217="On Leave"),TODAY(),IFERROR(VLOOKUP($A217,'09_Attrition_Tracker'!$B:$G,6,FALSE),TODAY()))-$J217)/30)))</f>
        <v>55</v>
      </c>
      <c r="Q217" s="83" t="str">
        <f t="shared" ca="1" si="6"/>
        <v>2-5 yrs</v>
      </c>
      <c r="R217" s="83" t="str">
        <f t="shared" si="7"/>
        <v>Yes</v>
      </c>
      <c r="S217" s="112" t="str">
        <f>IFERROR(VLOOKUP($A217,'09_Attrition_Tracker'!$B:$M,12,FALSE),"No")</f>
        <v>No</v>
      </c>
    </row>
    <row r="218" spans="1:19">
      <c r="A218" s="136" t="s">
        <v>867</v>
      </c>
      <c r="B218" s="122" t="s">
        <v>868</v>
      </c>
      <c r="C218" s="122" t="s">
        <v>371</v>
      </c>
      <c r="D218" s="123" t="s">
        <v>450</v>
      </c>
      <c r="E218" s="122" t="s">
        <v>438</v>
      </c>
      <c r="F218" s="122" t="s">
        <v>439</v>
      </c>
      <c r="G218" s="122" t="s">
        <v>371</v>
      </c>
      <c r="H218" s="122" t="s">
        <v>440</v>
      </c>
      <c r="I218" s="123" t="s">
        <v>121</v>
      </c>
      <c r="J218" s="124">
        <v>45799</v>
      </c>
      <c r="K218" s="124">
        <v>45979</v>
      </c>
      <c r="L218" s="123" t="s">
        <v>131</v>
      </c>
      <c r="M218" s="122" t="s">
        <v>487</v>
      </c>
      <c r="N218" s="122" t="s">
        <v>475</v>
      </c>
      <c r="O218" s="123" t="s">
        <v>453</v>
      </c>
      <c r="P218" s="114">
        <f ca="1">IF($J218="","",MAX(0,INT((IF(OR($L218="Active",$L218="On Leave"),TODAY(),IFERROR(VLOOKUP($A218,'09_Attrition_Tracker'!$B:$G,6,FALSE),TODAY()))-$J218)/30)))</f>
        <v>11</v>
      </c>
      <c r="Q218" s="83" t="str">
        <f t="shared" ca="1" si="6"/>
        <v>7-12 mos</v>
      </c>
      <c r="R218" s="83" t="str">
        <f t="shared" si="7"/>
        <v>Yes</v>
      </c>
      <c r="S218" s="112" t="str">
        <f>IFERROR(VLOOKUP($A218,'09_Attrition_Tracker'!$B:$M,12,FALSE),"No")</f>
        <v>No</v>
      </c>
    </row>
    <row r="219" spans="1:19">
      <c r="A219" s="136" t="s">
        <v>869</v>
      </c>
      <c r="B219" s="122" t="s">
        <v>700</v>
      </c>
      <c r="C219" s="122" t="s">
        <v>104</v>
      </c>
      <c r="D219" s="123" t="s">
        <v>437</v>
      </c>
      <c r="E219" s="122" t="s">
        <v>495</v>
      </c>
      <c r="F219" s="122" t="s">
        <v>496</v>
      </c>
      <c r="G219" s="122" t="s">
        <v>104</v>
      </c>
      <c r="H219" s="122" t="s">
        <v>118</v>
      </c>
      <c r="I219" s="123" t="s">
        <v>380</v>
      </c>
      <c r="J219" s="124">
        <v>43276</v>
      </c>
      <c r="K219" s="124">
        <v>43456</v>
      </c>
      <c r="L219" s="123" t="s">
        <v>131</v>
      </c>
      <c r="M219" s="122" t="s">
        <v>561</v>
      </c>
      <c r="N219" s="122" t="s">
        <v>464</v>
      </c>
      <c r="O219" s="123" t="s">
        <v>459</v>
      </c>
      <c r="P219" s="114">
        <f ca="1">IF($J219="","",MAX(0,INT((IF(OR($L219="Active",$L219="On Leave"),TODAY(),IFERROR(VLOOKUP($A219,'09_Attrition_Tracker'!$B:$G,6,FALSE),TODAY()))-$J219)/30)))</f>
        <v>95</v>
      </c>
      <c r="Q219" s="83" t="str">
        <f t="shared" ca="1" si="6"/>
        <v>5+ yrs</v>
      </c>
      <c r="R219" s="83" t="str">
        <f t="shared" si="7"/>
        <v>Yes</v>
      </c>
      <c r="S219" s="112" t="str">
        <f>IFERROR(VLOOKUP($A219,'09_Attrition_Tracker'!$B:$M,12,FALSE),"No")</f>
        <v>No</v>
      </c>
    </row>
    <row r="220" spans="1:19">
      <c r="A220" s="136" t="s">
        <v>870</v>
      </c>
      <c r="B220" s="122" t="s">
        <v>871</v>
      </c>
      <c r="C220" s="122" t="s">
        <v>152</v>
      </c>
      <c r="D220" s="123" t="s">
        <v>450</v>
      </c>
      <c r="E220" s="122" t="s">
        <v>451</v>
      </c>
      <c r="F220" s="122" t="s">
        <v>452</v>
      </c>
      <c r="G220" s="122" t="s">
        <v>154</v>
      </c>
      <c r="H220" s="122" t="s">
        <v>440</v>
      </c>
      <c r="I220" s="123" t="s">
        <v>121</v>
      </c>
      <c r="J220" s="124">
        <v>42983</v>
      </c>
      <c r="K220" s="124">
        <v>43163</v>
      </c>
      <c r="L220" s="123" t="s">
        <v>131</v>
      </c>
      <c r="M220" s="122" t="s">
        <v>497</v>
      </c>
      <c r="N220" s="122" t="s">
        <v>137</v>
      </c>
      <c r="O220" s="123" t="s">
        <v>459</v>
      </c>
      <c r="P220" s="114">
        <f ca="1">IF($J220="","",MAX(0,INT((IF(OR($L220="Active",$L220="On Leave"),TODAY(),IFERROR(VLOOKUP($A220,'09_Attrition_Tracker'!$B:$G,6,FALSE),TODAY()))-$J220)/30)))</f>
        <v>105</v>
      </c>
      <c r="Q220" s="83" t="str">
        <f t="shared" ca="1" si="6"/>
        <v>5+ yrs</v>
      </c>
      <c r="R220" s="83" t="str">
        <f t="shared" si="7"/>
        <v>Yes</v>
      </c>
      <c r="S220" s="112" t="str">
        <f>IFERROR(VLOOKUP($A220,'09_Attrition_Tracker'!$B:$M,12,FALSE),"No")</f>
        <v>No</v>
      </c>
    </row>
    <row r="221" spans="1:19">
      <c r="A221" s="136" t="s">
        <v>872</v>
      </c>
      <c r="B221" s="122" t="s">
        <v>873</v>
      </c>
      <c r="C221" s="122" t="s">
        <v>407</v>
      </c>
      <c r="D221" s="123" t="s">
        <v>426</v>
      </c>
      <c r="E221" s="122" t="s">
        <v>501</v>
      </c>
      <c r="F221" s="122" t="s">
        <v>502</v>
      </c>
      <c r="G221" s="122" t="s">
        <v>417</v>
      </c>
      <c r="H221" s="122" t="s">
        <v>434</v>
      </c>
      <c r="I221" s="123" t="s">
        <v>121</v>
      </c>
      <c r="J221" s="124">
        <v>44830</v>
      </c>
      <c r="K221" s="124">
        <v>45010</v>
      </c>
      <c r="L221" s="123" t="s">
        <v>131</v>
      </c>
      <c r="M221" s="122" t="s">
        <v>516</v>
      </c>
      <c r="N221" s="122" t="s">
        <v>137</v>
      </c>
      <c r="O221" s="123" t="s">
        <v>140</v>
      </c>
      <c r="P221" s="114">
        <f ca="1">IF($J221="","",MAX(0,INT((IF(OR($L221="Active",$L221="On Leave"),TODAY(),IFERROR(VLOOKUP($A221,'09_Attrition_Tracker'!$B:$G,6,FALSE),TODAY()))-$J221)/30)))</f>
        <v>43</v>
      </c>
      <c r="Q221" s="83" t="str">
        <f t="shared" ca="1" si="6"/>
        <v>2-5 yrs</v>
      </c>
      <c r="R221" s="83" t="str">
        <f t="shared" si="7"/>
        <v>Yes</v>
      </c>
      <c r="S221" s="112" t="str">
        <f>IFERROR(VLOOKUP($A221,'09_Attrition_Tracker'!$B:$M,12,FALSE),"No")</f>
        <v>No</v>
      </c>
    </row>
    <row r="222" spans="1:19">
      <c r="A222" s="136" t="s">
        <v>874</v>
      </c>
      <c r="B222" s="122" t="s">
        <v>875</v>
      </c>
      <c r="C222" s="122" t="s">
        <v>371</v>
      </c>
      <c r="D222" s="123" t="s">
        <v>437</v>
      </c>
      <c r="E222" s="122" t="s">
        <v>462</v>
      </c>
      <c r="F222" s="122" t="s">
        <v>463</v>
      </c>
      <c r="G222" s="122" t="s">
        <v>371</v>
      </c>
      <c r="H222" s="122" t="s">
        <v>434</v>
      </c>
      <c r="I222" s="123" t="s">
        <v>121</v>
      </c>
      <c r="J222" s="124">
        <v>44593</v>
      </c>
      <c r="K222" s="124">
        <v>44773</v>
      </c>
      <c r="L222" s="123" t="s">
        <v>131</v>
      </c>
      <c r="M222" s="122" t="s">
        <v>569</v>
      </c>
      <c r="N222" s="122" t="s">
        <v>515</v>
      </c>
      <c r="O222" s="123" t="s">
        <v>459</v>
      </c>
      <c r="P222" s="114">
        <f ca="1">IF($J222="","",MAX(0,INT((IF(OR($L222="Active",$L222="On Leave"),TODAY(),IFERROR(VLOOKUP($A222,'09_Attrition_Tracker'!$B:$G,6,FALSE),TODAY()))-$J222)/30)))</f>
        <v>51</v>
      </c>
      <c r="Q222" s="83" t="str">
        <f t="shared" ca="1" si="6"/>
        <v>2-5 yrs</v>
      </c>
      <c r="R222" s="83" t="str">
        <f t="shared" si="7"/>
        <v>Yes</v>
      </c>
      <c r="S222" s="112" t="str">
        <f>IFERROR(VLOOKUP($A222,'09_Attrition_Tracker'!$B:$M,12,FALSE),"No")</f>
        <v>No</v>
      </c>
    </row>
    <row r="223" spans="1:19">
      <c r="A223" s="136" t="s">
        <v>876</v>
      </c>
      <c r="B223" s="122" t="s">
        <v>855</v>
      </c>
      <c r="C223" s="122" t="s">
        <v>416</v>
      </c>
      <c r="D223" s="123" t="s">
        <v>426</v>
      </c>
      <c r="E223" s="122" t="s">
        <v>482</v>
      </c>
      <c r="F223" s="122" t="s">
        <v>483</v>
      </c>
      <c r="G223" s="122" t="s">
        <v>411</v>
      </c>
      <c r="H223" s="122" t="s">
        <v>118</v>
      </c>
      <c r="I223" s="123" t="s">
        <v>121</v>
      </c>
      <c r="J223" s="124">
        <v>43419</v>
      </c>
      <c r="K223" s="124">
        <v>43599</v>
      </c>
      <c r="L223" s="123" t="s">
        <v>131</v>
      </c>
      <c r="M223" s="122" t="s">
        <v>454</v>
      </c>
      <c r="N223" s="122" t="s">
        <v>137</v>
      </c>
      <c r="O223" s="123" t="s">
        <v>446</v>
      </c>
      <c r="P223" s="114">
        <f ca="1">IF($J223="","",MAX(0,INT((IF(OR($L223="Active",$L223="On Leave"),TODAY(),IFERROR(VLOOKUP($A223,'09_Attrition_Tracker'!$B:$G,6,FALSE),TODAY()))-$J223)/30)))</f>
        <v>90</v>
      </c>
      <c r="Q223" s="83" t="str">
        <f t="shared" ca="1" si="6"/>
        <v>5+ yrs</v>
      </c>
      <c r="R223" s="83" t="str">
        <f t="shared" si="7"/>
        <v>Yes</v>
      </c>
      <c r="S223" s="112" t="str">
        <f>IFERROR(VLOOKUP($A223,'09_Attrition_Tracker'!$B:$M,12,FALSE),"No")</f>
        <v>No</v>
      </c>
    </row>
    <row r="224" spans="1:19">
      <c r="A224" s="136" t="s">
        <v>877</v>
      </c>
      <c r="B224" s="122" t="s">
        <v>878</v>
      </c>
      <c r="C224" s="122" t="s">
        <v>407</v>
      </c>
      <c r="D224" s="123" t="s">
        <v>450</v>
      </c>
      <c r="E224" s="122" t="s">
        <v>444</v>
      </c>
      <c r="F224" s="122" t="s">
        <v>445</v>
      </c>
      <c r="G224" s="122" t="s">
        <v>417</v>
      </c>
      <c r="H224" s="122" t="s">
        <v>429</v>
      </c>
      <c r="I224" s="123" t="s">
        <v>380</v>
      </c>
      <c r="J224" s="124">
        <v>44768</v>
      </c>
      <c r="K224" s="124">
        <v>44948</v>
      </c>
      <c r="L224" s="123" t="s">
        <v>131</v>
      </c>
      <c r="M224" s="122"/>
      <c r="N224" s="122" t="s">
        <v>515</v>
      </c>
      <c r="O224" s="123" t="s">
        <v>446</v>
      </c>
      <c r="P224" s="114">
        <f ca="1">IF($J224="","",MAX(0,INT((IF(OR($L224="Active",$L224="On Leave"),TODAY(),IFERROR(VLOOKUP($A224,'09_Attrition_Tracker'!$B:$G,6,FALSE),TODAY()))-$J224)/30)))</f>
        <v>45</v>
      </c>
      <c r="Q224" s="83" t="str">
        <f t="shared" ca="1" si="6"/>
        <v>2-5 yrs</v>
      </c>
      <c r="R224" s="83" t="str">
        <f t="shared" si="7"/>
        <v>Yes</v>
      </c>
      <c r="S224" s="112" t="str">
        <f>IFERROR(VLOOKUP($A224,'09_Attrition_Tracker'!$B:$M,12,FALSE),"No")</f>
        <v>No</v>
      </c>
    </row>
    <row r="225" spans="1:19">
      <c r="A225" s="136" t="s">
        <v>879</v>
      </c>
      <c r="B225" s="122" t="s">
        <v>880</v>
      </c>
      <c r="C225" s="122" t="s">
        <v>407</v>
      </c>
      <c r="D225" s="123" t="s">
        <v>437</v>
      </c>
      <c r="E225" s="122" t="s">
        <v>501</v>
      </c>
      <c r="F225" s="122" t="s">
        <v>502</v>
      </c>
      <c r="G225" s="122" t="s">
        <v>417</v>
      </c>
      <c r="H225" s="122" t="s">
        <v>434</v>
      </c>
      <c r="I225" s="123" t="s">
        <v>121</v>
      </c>
      <c r="J225" s="124">
        <v>43671</v>
      </c>
      <c r="K225" s="124">
        <v>43851</v>
      </c>
      <c r="L225" s="123" t="s">
        <v>131</v>
      </c>
      <c r="M225" s="122" t="s">
        <v>96</v>
      </c>
      <c r="N225" s="122" t="s">
        <v>458</v>
      </c>
      <c r="O225" s="123" t="s">
        <v>453</v>
      </c>
      <c r="P225" s="114">
        <f ca="1">IF($J225="","",MAX(0,INT((IF(OR($L225="Active",$L225="On Leave"),TODAY(),IFERROR(VLOOKUP($A225,'09_Attrition_Tracker'!$B:$G,6,FALSE),TODAY()))-$J225)/30)))</f>
        <v>82</v>
      </c>
      <c r="Q225" s="83" t="str">
        <f t="shared" ca="1" si="6"/>
        <v>5+ yrs</v>
      </c>
      <c r="R225" s="83" t="str">
        <f t="shared" si="7"/>
        <v>Yes</v>
      </c>
      <c r="S225" s="112" t="str">
        <f>IFERROR(VLOOKUP($A225,'09_Attrition_Tracker'!$B:$M,12,FALSE),"No")</f>
        <v>No</v>
      </c>
    </row>
    <row r="226" spans="1:19">
      <c r="A226" s="136" t="s">
        <v>881</v>
      </c>
      <c r="B226" s="122" t="s">
        <v>800</v>
      </c>
      <c r="C226" s="122" t="s">
        <v>176</v>
      </c>
      <c r="D226" s="123" t="s">
        <v>108</v>
      </c>
      <c r="E226" s="122" t="s">
        <v>577</v>
      </c>
      <c r="F226" s="122" t="s">
        <v>578</v>
      </c>
      <c r="G226" s="122" t="s">
        <v>154</v>
      </c>
      <c r="H226" s="122" t="s">
        <v>118</v>
      </c>
      <c r="I226" s="123" t="s">
        <v>380</v>
      </c>
      <c r="J226" s="124">
        <v>43655</v>
      </c>
      <c r="K226" s="124"/>
      <c r="L226" s="123" t="s">
        <v>131</v>
      </c>
      <c r="M226" s="122" t="s">
        <v>503</v>
      </c>
      <c r="N226" s="122" t="s">
        <v>458</v>
      </c>
      <c r="O226" s="123" t="s">
        <v>459</v>
      </c>
      <c r="P226" s="114">
        <f ca="1">IF($J226="","",MAX(0,INT((IF(OR($L226="Active",$L226="On Leave"),TODAY(),IFERROR(VLOOKUP($A226,'09_Attrition_Tracker'!$B:$G,6,FALSE),TODAY()))-$J226)/30)))</f>
        <v>83</v>
      </c>
      <c r="Q226" s="83" t="str">
        <f t="shared" ca="1" si="6"/>
        <v>5+ yrs</v>
      </c>
      <c r="R226" s="83" t="str">
        <f t="shared" si="7"/>
        <v>Yes</v>
      </c>
      <c r="S226" s="112" t="str">
        <f>IFERROR(VLOOKUP($A226,'09_Attrition_Tracker'!$B:$M,12,FALSE),"No")</f>
        <v>No</v>
      </c>
    </row>
    <row r="227" spans="1:19">
      <c r="A227" s="136" t="s">
        <v>882</v>
      </c>
      <c r="B227" s="122" t="s">
        <v>883</v>
      </c>
      <c r="C227" s="122" t="s">
        <v>176</v>
      </c>
      <c r="D227" s="123" t="s">
        <v>108</v>
      </c>
      <c r="E227" s="122" t="s">
        <v>577</v>
      </c>
      <c r="F227" s="122" t="s">
        <v>578</v>
      </c>
      <c r="G227" s="122" t="s">
        <v>154</v>
      </c>
      <c r="H227" s="122" t="s">
        <v>118</v>
      </c>
      <c r="I227" s="123" t="s">
        <v>121</v>
      </c>
      <c r="J227" s="124">
        <v>44378</v>
      </c>
      <c r="K227" s="124"/>
      <c r="L227" s="123" t="s">
        <v>381</v>
      </c>
      <c r="M227" s="122" t="s">
        <v>573</v>
      </c>
      <c r="N227" s="122" t="s">
        <v>441</v>
      </c>
      <c r="O227" s="123" t="s">
        <v>459</v>
      </c>
      <c r="P227" s="114">
        <f ca="1">IF($J227="","",MAX(0,INT((IF(OR($L227="Active",$L227="On Leave"),TODAY(),IFERROR(VLOOKUP($A227,'09_Attrition_Tracker'!$B:$G,6,FALSE),TODAY()))-$J227)/30)))</f>
        <v>50</v>
      </c>
      <c r="Q227" s="83" t="str">
        <f t="shared" ca="1" si="6"/>
        <v>2-5 yrs</v>
      </c>
      <c r="R227" s="83" t="str">
        <f t="shared" si="7"/>
        <v>No</v>
      </c>
      <c r="S227" s="112" t="str">
        <f>IFERROR(VLOOKUP($A227,'09_Attrition_Tracker'!$B:$M,12,FALSE),"No")</f>
        <v>Yes</v>
      </c>
    </row>
    <row r="228" spans="1:19">
      <c r="A228" s="136" t="s">
        <v>884</v>
      </c>
      <c r="B228" s="122" t="s">
        <v>885</v>
      </c>
      <c r="C228" s="122" t="s">
        <v>371</v>
      </c>
      <c r="D228" s="123" t="s">
        <v>437</v>
      </c>
      <c r="E228" s="122" t="s">
        <v>505</v>
      </c>
      <c r="F228" s="122" t="s">
        <v>506</v>
      </c>
      <c r="G228" s="122" t="s">
        <v>371</v>
      </c>
      <c r="H228" s="122" t="s">
        <v>118</v>
      </c>
      <c r="I228" s="123" t="s">
        <v>121</v>
      </c>
      <c r="J228" s="124">
        <v>45765</v>
      </c>
      <c r="K228" s="124">
        <v>45945</v>
      </c>
      <c r="L228" s="123" t="s">
        <v>131</v>
      </c>
      <c r="M228" s="122" t="s">
        <v>528</v>
      </c>
      <c r="N228" s="122" t="s">
        <v>475</v>
      </c>
      <c r="O228" s="123" t="s">
        <v>140</v>
      </c>
      <c r="P228" s="114">
        <f ca="1">IF($J228="","",MAX(0,INT((IF(OR($L228="Active",$L228="On Leave"),TODAY(),IFERROR(VLOOKUP($A228,'09_Attrition_Tracker'!$B:$G,6,FALSE),TODAY()))-$J228)/30)))</f>
        <v>12</v>
      </c>
      <c r="Q228" s="83" t="str">
        <f t="shared" ca="1" si="6"/>
        <v>7-12 mos</v>
      </c>
      <c r="R228" s="83" t="str">
        <f t="shared" si="7"/>
        <v>Yes</v>
      </c>
      <c r="S228" s="112" t="str">
        <f>IFERROR(VLOOKUP($A228,'09_Attrition_Tracker'!$B:$M,12,FALSE),"No")</f>
        <v>No</v>
      </c>
    </row>
    <row r="229" spans="1:19">
      <c r="A229" s="136" t="s">
        <v>886</v>
      </c>
      <c r="B229" s="122" t="s">
        <v>887</v>
      </c>
      <c r="C229" s="122" t="s">
        <v>271</v>
      </c>
      <c r="D229" s="123" t="s">
        <v>450</v>
      </c>
      <c r="E229" s="122" t="s">
        <v>521</v>
      </c>
      <c r="F229" s="122" t="s">
        <v>522</v>
      </c>
      <c r="G229" s="122" t="s">
        <v>408</v>
      </c>
      <c r="H229" s="122" t="s">
        <v>434</v>
      </c>
      <c r="I229" s="123" t="s">
        <v>380</v>
      </c>
      <c r="J229" s="124">
        <v>45340</v>
      </c>
      <c r="K229" s="124"/>
      <c r="L229" s="123" t="s">
        <v>131</v>
      </c>
      <c r="M229" s="122" t="s">
        <v>96</v>
      </c>
      <c r="N229" s="122" t="s">
        <v>430</v>
      </c>
      <c r="O229" s="123" t="s">
        <v>459</v>
      </c>
      <c r="P229" s="114">
        <f ca="1">IF($J229="","",MAX(0,INT((IF(OR($L229="Active",$L229="On Leave"),TODAY(),IFERROR(VLOOKUP($A229,'09_Attrition_Tracker'!$B:$G,6,FALSE),TODAY()))-$J229)/30)))</f>
        <v>26</v>
      </c>
      <c r="Q229" s="83" t="str">
        <f t="shared" ca="1" si="6"/>
        <v>2-5 yrs</v>
      </c>
      <c r="R229" s="83" t="str">
        <f t="shared" si="7"/>
        <v>Yes</v>
      </c>
      <c r="S229" s="112" t="str">
        <f>IFERROR(VLOOKUP($A229,'09_Attrition_Tracker'!$B:$M,12,FALSE),"No")</f>
        <v>No</v>
      </c>
    </row>
    <row r="230" spans="1:19">
      <c r="A230" s="136" t="s">
        <v>888</v>
      </c>
      <c r="B230" s="122" t="s">
        <v>657</v>
      </c>
      <c r="C230" s="122" t="s">
        <v>104</v>
      </c>
      <c r="D230" s="123" t="s">
        <v>426</v>
      </c>
      <c r="E230" s="122" t="s">
        <v>495</v>
      </c>
      <c r="F230" s="122" t="s">
        <v>496</v>
      </c>
      <c r="G230" s="122" t="s">
        <v>104</v>
      </c>
      <c r="H230" s="122" t="s">
        <v>434</v>
      </c>
      <c r="I230" s="123" t="s">
        <v>391</v>
      </c>
      <c r="J230" s="124">
        <v>42981</v>
      </c>
      <c r="K230" s="124">
        <v>43161</v>
      </c>
      <c r="L230" s="123" t="s">
        <v>131</v>
      </c>
      <c r="M230" s="122" t="s">
        <v>302</v>
      </c>
      <c r="N230" s="122" t="s">
        <v>137</v>
      </c>
      <c r="O230" s="123" t="s">
        <v>446</v>
      </c>
      <c r="P230" s="114">
        <f ca="1">IF($J230="","",MAX(0,INT((IF(OR($L230="Active",$L230="On Leave"),TODAY(),IFERROR(VLOOKUP($A230,'09_Attrition_Tracker'!$B:$G,6,FALSE),TODAY()))-$J230)/30)))</f>
        <v>105</v>
      </c>
      <c r="Q230" s="83" t="str">
        <f t="shared" ca="1" si="6"/>
        <v>5+ yrs</v>
      </c>
      <c r="R230" s="83" t="str">
        <f t="shared" si="7"/>
        <v>Yes</v>
      </c>
      <c r="S230" s="112" t="str">
        <f>IFERROR(VLOOKUP($A230,'09_Attrition_Tracker'!$B:$M,12,FALSE),"No")</f>
        <v>No</v>
      </c>
    </row>
    <row r="231" spans="1:19">
      <c r="A231" s="136" t="s">
        <v>889</v>
      </c>
      <c r="B231" s="122" t="s">
        <v>816</v>
      </c>
      <c r="C231" s="122" t="s">
        <v>379</v>
      </c>
      <c r="D231" s="123" t="s">
        <v>426</v>
      </c>
      <c r="E231" s="122" t="s">
        <v>544</v>
      </c>
      <c r="F231" s="122" t="s">
        <v>545</v>
      </c>
      <c r="G231" s="122" t="s">
        <v>390</v>
      </c>
      <c r="H231" s="122" t="s">
        <v>440</v>
      </c>
      <c r="I231" s="123" t="s">
        <v>121</v>
      </c>
      <c r="J231" s="124">
        <v>45346</v>
      </c>
      <c r="K231" s="124">
        <v>45526</v>
      </c>
      <c r="L231" s="123" t="s">
        <v>131</v>
      </c>
      <c r="M231" s="122" t="s">
        <v>542</v>
      </c>
      <c r="N231" s="122" t="s">
        <v>515</v>
      </c>
      <c r="O231" s="123" t="s">
        <v>140</v>
      </c>
      <c r="P231" s="114">
        <f ca="1">IF($J231="","",MAX(0,INT((IF(OR($L231="Active",$L231="On Leave"),TODAY(),IFERROR(VLOOKUP($A231,'09_Attrition_Tracker'!$B:$G,6,FALSE),TODAY()))-$J231)/30)))</f>
        <v>26</v>
      </c>
      <c r="Q231" s="83" t="str">
        <f t="shared" ca="1" si="6"/>
        <v>2-5 yrs</v>
      </c>
      <c r="R231" s="83" t="str">
        <f t="shared" si="7"/>
        <v>Yes</v>
      </c>
      <c r="S231" s="112" t="str">
        <f>IFERROR(VLOOKUP($A231,'09_Attrition_Tracker'!$B:$M,12,FALSE),"No")</f>
        <v>No</v>
      </c>
    </row>
    <row r="232" spans="1:19">
      <c r="A232" s="136" t="s">
        <v>890</v>
      </c>
      <c r="B232" s="122" t="s">
        <v>891</v>
      </c>
      <c r="C232" s="122" t="s">
        <v>407</v>
      </c>
      <c r="D232" s="123" t="s">
        <v>437</v>
      </c>
      <c r="E232" s="122" t="s">
        <v>469</v>
      </c>
      <c r="F232" s="122" t="s">
        <v>470</v>
      </c>
      <c r="G232" s="122" t="s">
        <v>417</v>
      </c>
      <c r="H232" s="122" t="s">
        <v>434</v>
      </c>
      <c r="I232" s="123" t="s">
        <v>380</v>
      </c>
      <c r="J232" s="124">
        <v>44038</v>
      </c>
      <c r="K232" s="124">
        <v>44218</v>
      </c>
      <c r="L232" s="123" t="s">
        <v>131</v>
      </c>
      <c r="M232" s="122" t="s">
        <v>476</v>
      </c>
      <c r="N232" s="122" t="s">
        <v>464</v>
      </c>
      <c r="O232" s="123" t="s">
        <v>140</v>
      </c>
      <c r="P232" s="114">
        <f ca="1">IF($J232="","",MAX(0,INT((IF(OR($L232="Active",$L232="On Leave"),TODAY(),IFERROR(VLOOKUP($A232,'09_Attrition_Tracker'!$B:$G,6,FALSE),TODAY()))-$J232)/30)))</f>
        <v>70</v>
      </c>
      <c r="Q232" s="83" t="str">
        <f t="shared" ca="1" si="6"/>
        <v>5+ yrs</v>
      </c>
      <c r="R232" s="83" t="str">
        <f t="shared" si="7"/>
        <v>Yes</v>
      </c>
      <c r="S232" s="112" t="str">
        <f>IFERROR(VLOOKUP($A232,'09_Attrition_Tracker'!$B:$M,12,FALSE),"No")</f>
        <v>No</v>
      </c>
    </row>
    <row r="233" spans="1:19">
      <c r="A233" s="136" t="s">
        <v>892</v>
      </c>
      <c r="B233" s="122" t="s">
        <v>749</v>
      </c>
      <c r="C233" s="122" t="s">
        <v>176</v>
      </c>
      <c r="D233" s="123" t="s">
        <v>450</v>
      </c>
      <c r="E233" s="122" t="s">
        <v>177</v>
      </c>
      <c r="F233" s="122" t="s">
        <v>178</v>
      </c>
      <c r="G233" s="122" t="s">
        <v>154</v>
      </c>
      <c r="H233" s="122" t="s">
        <v>118</v>
      </c>
      <c r="I233" s="123" t="s">
        <v>121</v>
      </c>
      <c r="J233" s="124">
        <v>44401</v>
      </c>
      <c r="K233" s="124"/>
      <c r="L233" s="123" t="s">
        <v>381</v>
      </c>
      <c r="M233" s="122" t="s">
        <v>480</v>
      </c>
      <c r="N233" s="122" t="s">
        <v>430</v>
      </c>
      <c r="O233" s="123" t="s">
        <v>459</v>
      </c>
      <c r="P233" s="114">
        <f ca="1">IF($J233="","",MAX(0,INT((IF(OR($L233="Active",$L233="On Leave"),TODAY(),IFERROR(VLOOKUP($A233,'09_Attrition_Tracker'!$B:$G,6,FALSE),TODAY()))-$J233)/30)))</f>
        <v>52</v>
      </c>
      <c r="Q233" s="83" t="str">
        <f t="shared" ca="1" si="6"/>
        <v>2-5 yrs</v>
      </c>
      <c r="R233" s="83" t="str">
        <f t="shared" si="7"/>
        <v>No</v>
      </c>
      <c r="S233" s="112" t="str">
        <f>IFERROR(VLOOKUP($A233,'09_Attrition_Tracker'!$B:$M,12,FALSE),"No")</f>
        <v>Yes</v>
      </c>
    </row>
    <row r="234" spans="1:19">
      <c r="A234" s="136" t="s">
        <v>893</v>
      </c>
      <c r="B234" s="122" t="s">
        <v>659</v>
      </c>
      <c r="C234" s="122" t="s">
        <v>176</v>
      </c>
      <c r="D234" s="123" t="s">
        <v>437</v>
      </c>
      <c r="E234" s="122" t="s">
        <v>652</v>
      </c>
      <c r="F234" s="122" t="s">
        <v>653</v>
      </c>
      <c r="G234" s="122" t="s">
        <v>154</v>
      </c>
      <c r="H234" s="122" t="s">
        <v>440</v>
      </c>
      <c r="I234" s="123" t="s">
        <v>391</v>
      </c>
      <c r="J234" s="124">
        <v>43616</v>
      </c>
      <c r="K234" s="124">
        <v>43796</v>
      </c>
      <c r="L234" s="123" t="s">
        <v>131</v>
      </c>
      <c r="M234" s="122" t="s">
        <v>302</v>
      </c>
      <c r="N234" s="122" t="s">
        <v>137</v>
      </c>
      <c r="O234" s="123" t="s">
        <v>431</v>
      </c>
      <c r="P234" s="114">
        <f ca="1">IF($J234="","",MAX(0,INT((IF(OR($L234="Active",$L234="On Leave"),TODAY(),IFERROR(VLOOKUP($A234,'09_Attrition_Tracker'!$B:$G,6,FALSE),TODAY()))-$J234)/30)))</f>
        <v>84</v>
      </c>
      <c r="Q234" s="83" t="str">
        <f t="shared" ca="1" si="6"/>
        <v>5+ yrs</v>
      </c>
      <c r="R234" s="83" t="str">
        <f t="shared" si="7"/>
        <v>Yes</v>
      </c>
      <c r="S234" s="112" t="str">
        <f>IFERROR(VLOOKUP($A234,'09_Attrition_Tracker'!$B:$M,12,FALSE),"No")</f>
        <v>No</v>
      </c>
    </row>
    <row r="235" spans="1:19">
      <c r="A235" s="136" t="s">
        <v>894</v>
      </c>
      <c r="B235" s="122" t="s">
        <v>433</v>
      </c>
      <c r="C235" s="122" t="s">
        <v>407</v>
      </c>
      <c r="D235" s="123" t="s">
        <v>437</v>
      </c>
      <c r="E235" s="122" t="s">
        <v>469</v>
      </c>
      <c r="F235" s="122" t="s">
        <v>470</v>
      </c>
      <c r="G235" s="122" t="s">
        <v>417</v>
      </c>
      <c r="H235" s="122" t="s">
        <v>434</v>
      </c>
      <c r="I235" s="123" t="s">
        <v>121</v>
      </c>
      <c r="J235" s="124">
        <v>44392</v>
      </c>
      <c r="K235" s="124">
        <v>44572</v>
      </c>
      <c r="L235" s="123" t="s">
        <v>131</v>
      </c>
      <c r="M235" s="122" t="s">
        <v>448</v>
      </c>
      <c r="N235" s="122" t="s">
        <v>447</v>
      </c>
      <c r="O235" s="123" t="s">
        <v>140</v>
      </c>
      <c r="P235" s="114">
        <f ca="1">IF($J235="","",MAX(0,INT((IF(OR($L235="Active",$L235="On Leave"),TODAY(),IFERROR(VLOOKUP($A235,'09_Attrition_Tracker'!$B:$G,6,FALSE),TODAY()))-$J235)/30)))</f>
        <v>58</v>
      </c>
      <c r="Q235" s="83" t="str">
        <f t="shared" ca="1" si="6"/>
        <v>2-5 yrs</v>
      </c>
      <c r="R235" s="83" t="str">
        <f t="shared" si="7"/>
        <v>Yes</v>
      </c>
      <c r="S235" s="112" t="str">
        <f>IFERROR(VLOOKUP($A235,'09_Attrition_Tracker'!$B:$M,12,FALSE),"No")</f>
        <v>No</v>
      </c>
    </row>
    <row r="236" spans="1:19">
      <c r="A236" s="136" t="s">
        <v>895</v>
      </c>
      <c r="B236" s="122" t="s">
        <v>848</v>
      </c>
      <c r="C236" s="122" t="s">
        <v>371</v>
      </c>
      <c r="D236" s="123" t="s">
        <v>437</v>
      </c>
      <c r="E236" s="122" t="s">
        <v>505</v>
      </c>
      <c r="F236" s="122" t="s">
        <v>506</v>
      </c>
      <c r="G236" s="122" t="s">
        <v>371</v>
      </c>
      <c r="H236" s="122" t="s">
        <v>434</v>
      </c>
      <c r="I236" s="123" t="s">
        <v>391</v>
      </c>
      <c r="J236" s="124">
        <v>45121</v>
      </c>
      <c r="K236" s="124">
        <v>45301</v>
      </c>
      <c r="L236" s="123" t="s">
        <v>131</v>
      </c>
      <c r="M236" s="122" t="s">
        <v>442</v>
      </c>
      <c r="N236" s="122" t="s">
        <v>441</v>
      </c>
      <c r="O236" s="123" t="s">
        <v>140</v>
      </c>
      <c r="P236" s="114">
        <f ca="1">IF($J236="","",MAX(0,INT((IF(OR($L236="Active",$L236="On Leave"),TODAY(),IFERROR(VLOOKUP($A236,'09_Attrition_Tracker'!$B:$G,6,FALSE),TODAY()))-$J236)/30)))</f>
        <v>34</v>
      </c>
      <c r="Q236" s="83" t="str">
        <f t="shared" ca="1" si="6"/>
        <v>2-5 yrs</v>
      </c>
      <c r="R236" s="83" t="str">
        <f t="shared" si="7"/>
        <v>Yes</v>
      </c>
      <c r="S236" s="112" t="str">
        <f>IFERROR(VLOOKUP($A236,'09_Attrition_Tracker'!$B:$M,12,FALSE),"No")</f>
        <v>No</v>
      </c>
    </row>
    <row r="237" spans="1:19">
      <c r="A237" s="136" t="s">
        <v>896</v>
      </c>
      <c r="B237" s="122" t="s">
        <v>675</v>
      </c>
      <c r="C237" s="122" t="s">
        <v>37</v>
      </c>
      <c r="D237" s="123" t="s">
        <v>450</v>
      </c>
      <c r="E237" s="122" t="s">
        <v>536</v>
      </c>
      <c r="F237" s="122" t="s">
        <v>537</v>
      </c>
      <c r="G237" s="122" t="s">
        <v>37</v>
      </c>
      <c r="H237" s="122" t="s">
        <v>118</v>
      </c>
      <c r="I237" s="123" t="s">
        <v>121</v>
      </c>
      <c r="J237" s="124">
        <v>42943</v>
      </c>
      <c r="K237" s="124">
        <v>43123</v>
      </c>
      <c r="L237" s="123" t="s">
        <v>392</v>
      </c>
      <c r="M237" s="122" t="s">
        <v>516</v>
      </c>
      <c r="N237" s="122" t="s">
        <v>137</v>
      </c>
      <c r="O237" s="123" t="s">
        <v>140</v>
      </c>
      <c r="P237" s="114">
        <f ca="1">IF($J237="","",MAX(0,INT((IF(OR($L237="Active",$L237="On Leave"),TODAY(),IFERROR(VLOOKUP($A237,'09_Attrition_Tracker'!$B:$G,6,FALSE),TODAY()))-$J237)/30)))</f>
        <v>105</v>
      </c>
      <c r="Q237" s="83" t="str">
        <f t="shared" ca="1" si="6"/>
        <v>5+ yrs</v>
      </c>
      <c r="R237" s="83" t="str">
        <f t="shared" si="7"/>
        <v>No</v>
      </c>
      <c r="S237" s="112" t="str">
        <f>IFERROR(VLOOKUP($A237,'09_Attrition_Tracker'!$B:$M,12,FALSE),"No")</f>
        <v>No</v>
      </c>
    </row>
    <row r="238" spans="1:19">
      <c r="A238" s="136" t="s">
        <v>897</v>
      </c>
      <c r="B238" s="122" t="s">
        <v>898</v>
      </c>
      <c r="C238" s="122" t="s">
        <v>371</v>
      </c>
      <c r="D238" s="123" t="s">
        <v>437</v>
      </c>
      <c r="E238" s="122" t="s">
        <v>462</v>
      </c>
      <c r="F238" s="122" t="s">
        <v>463</v>
      </c>
      <c r="G238" s="122" t="s">
        <v>371</v>
      </c>
      <c r="H238" s="122" t="s">
        <v>434</v>
      </c>
      <c r="I238" s="123" t="s">
        <v>121</v>
      </c>
      <c r="J238" s="124">
        <v>44562</v>
      </c>
      <c r="K238" s="124">
        <v>44742</v>
      </c>
      <c r="L238" s="123" t="s">
        <v>131</v>
      </c>
      <c r="M238" s="122" t="s">
        <v>551</v>
      </c>
      <c r="N238" s="122" t="s">
        <v>441</v>
      </c>
      <c r="O238" s="123" t="s">
        <v>453</v>
      </c>
      <c r="P238" s="114">
        <f ca="1">IF($J238="","",MAX(0,INT((IF(OR($L238="Active",$L238="On Leave"),TODAY(),IFERROR(VLOOKUP($A238,'09_Attrition_Tracker'!$B:$G,6,FALSE),TODAY()))-$J238)/30)))</f>
        <v>52</v>
      </c>
      <c r="Q238" s="83" t="str">
        <f t="shared" ca="1" si="6"/>
        <v>2-5 yrs</v>
      </c>
      <c r="R238" s="83" t="str">
        <f t="shared" si="7"/>
        <v>Yes</v>
      </c>
      <c r="S238" s="112" t="str">
        <f>IFERROR(VLOOKUP($A238,'09_Attrition_Tracker'!$B:$M,12,FALSE),"No")</f>
        <v>No</v>
      </c>
    </row>
    <row r="239" spans="1:19">
      <c r="A239" s="136" t="s">
        <v>899</v>
      </c>
      <c r="B239" s="122" t="s">
        <v>900</v>
      </c>
      <c r="C239" s="122" t="s">
        <v>152</v>
      </c>
      <c r="D239" s="123" t="s">
        <v>426</v>
      </c>
      <c r="E239" s="122" t="s">
        <v>151</v>
      </c>
      <c r="F239" s="122" t="s">
        <v>153</v>
      </c>
      <c r="G239" s="122" t="s">
        <v>154</v>
      </c>
      <c r="H239" s="122" t="s">
        <v>434</v>
      </c>
      <c r="I239" s="123" t="s">
        <v>399</v>
      </c>
      <c r="J239" s="124">
        <v>43298</v>
      </c>
      <c r="K239" s="124">
        <v>43478</v>
      </c>
      <c r="L239" s="123" t="s">
        <v>131</v>
      </c>
      <c r="M239" s="122" t="s">
        <v>534</v>
      </c>
      <c r="N239" s="122" t="s">
        <v>458</v>
      </c>
      <c r="O239" s="123" t="s">
        <v>453</v>
      </c>
      <c r="P239" s="114">
        <f ca="1">IF($J239="","",MAX(0,INT((IF(OR($L239="Active",$L239="On Leave"),TODAY(),IFERROR(VLOOKUP($A239,'09_Attrition_Tracker'!$B:$G,6,FALSE),TODAY()))-$J239)/30)))</f>
        <v>94</v>
      </c>
      <c r="Q239" s="83" t="str">
        <f t="shared" ca="1" si="6"/>
        <v>5+ yrs</v>
      </c>
      <c r="R239" s="83" t="str">
        <f t="shared" si="7"/>
        <v>Yes</v>
      </c>
      <c r="S239" s="112" t="str">
        <f>IFERROR(VLOOKUP($A239,'09_Attrition_Tracker'!$B:$M,12,FALSE),"No")</f>
        <v>No</v>
      </c>
    </row>
    <row r="240" spans="1:19">
      <c r="A240" s="136" t="s">
        <v>901</v>
      </c>
      <c r="B240" s="122" t="s">
        <v>902</v>
      </c>
      <c r="C240" s="122" t="s">
        <v>37</v>
      </c>
      <c r="D240" s="123" t="s">
        <v>437</v>
      </c>
      <c r="E240" s="122" t="s">
        <v>549</v>
      </c>
      <c r="F240" s="122" t="s">
        <v>550</v>
      </c>
      <c r="G240" s="122" t="s">
        <v>37</v>
      </c>
      <c r="H240" s="122" t="s">
        <v>429</v>
      </c>
      <c r="I240" s="123" t="s">
        <v>121</v>
      </c>
      <c r="J240" s="124">
        <v>44326</v>
      </c>
      <c r="K240" s="124">
        <v>44506</v>
      </c>
      <c r="L240" s="123" t="s">
        <v>131</v>
      </c>
      <c r="M240" s="122"/>
      <c r="N240" s="122" t="s">
        <v>430</v>
      </c>
      <c r="O240" s="123" t="s">
        <v>459</v>
      </c>
      <c r="P240" s="114">
        <f ca="1">IF($J240="","",MAX(0,INT((IF(OR($L240="Active",$L240="On Leave"),TODAY(),IFERROR(VLOOKUP($A240,'09_Attrition_Tracker'!$B:$G,6,FALSE),TODAY()))-$J240)/30)))</f>
        <v>60</v>
      </c>
      <c r="Q240" s="83" t="str">
        <f t="shared" ca="1" si="6"/>
        <v>2-5 yrs</v>
      </c>
      <c r="R240" s="83" t="str">
        <f t="shared" si="7"/>
        <v>Yes</v>
      </c>
      <c r="S240" s="112" t="str">
        <f>IFERROR(VLOOKUP($A240,'09_Attrition_Tracker'!$B:$M,12,FALSE),"No")</f>
        <v>No</v>
      </c>
    </row>
    <row r="241" spans="1:19">
      <c r="A241" s="136" t="s">
        <v>903</v>
      </c>
      <c r="B241" s="122" t="s">
        <v>904</v>
      </c>
      <c r="C241" s="122" t="s">
        <v>104</v>
      </c>
      <c r="D241" s="123" t="s">
        <v>426</v>
      </c>
      <c r="E241" s="122" t="s">
        <v>111</v>
      </c>
      <c r="F241" s="122" t="s">
        <v>113</v>
      </c>
      <c r="G241" s="122" t="s">
        <v>104</v>
      </c>
      <c r="H241" s="122" t="s">
        <v>434</v>
      </c>
      <c r="I241" s="123" t="s">
        <v>380</v>
      </c>
      <c r="J241" s="124">
        <v>43389</v>
      </c>
      <c r="K241" s="124">
        <v>43569</v>
      </c>
      <c r="L241" s="123" t="s">
        <v>381</v>
      </c>
      <c r="M241" s="122" t="s">
        <v>569</v>
      </c>
      <c r="N241" s="122" t="s">
        <v>475</v>
      </c>
      <c r="O241" s="123" t="s">
        <v>431</v>
      </c>
      <c r="P241" s="114">
        <f ca="1">IF($J241="","",MAX(0,INT((IF(OR($L241="Active",$L241="On Leave"),TODAY(),IFERROR(VLOOKUP($A241,'09_Attrition_Tracker'!$B:$G,6,FALSE),TODAY()))-$J241)/30)))</f>
        <v>77</v>
      </c>
      <c r="Q241" s="83" t="str">
        <f t="shared" ca="1" si="6"/>
        <v>5+ yrs</v>
      </c>
      <c r="R241" s="83" t="str">
        <f t="shared" si="7"/>
        <v>No</v>
      </c>
      <c r="S241" s="112" t="str">
        <f>IFERROR(VLOOKUP($A241,'09_Attrition_Tracker'!$B:$M,12,FALSE),"No")</f>
        <v>No</v>
      </c>
    </row>
    <row r="242" spans="1:19">
      <c r="A242" s="136" t="s">
        <v>905</v>
      </c>
      <c r="B242" s="122" t="s">
        <v>906</v>
      </c>
      <c r="C242" s="122" t="s">
        <v>37</v>
      </c>
      <c r="D242" s="123" t="s">
        <v>108</v>
      </c>
      <c r="E242" s="122" t="s">
        <v>536</v>
      </c>
      <c r="F242" s="122" t="s">
        <v>537</v>
      </c>
      <c r="G242" s="122" t="s">
        <v>37</v>
      </c>
      <c r="H242" s="122" t="s">
        <v>118</v>
      </c>
      <c r="I242" s="123" t="s">
        <v>391</v>
      </c>
      <c r="J242" s="124">
        <v>45162</v>
      </c>
      <c r="K242" s="124"/>
      <c r="L242" s="123" t="s">
        <v>131</v>
      </c>
      <c r="M242" s="122" t="s">
        <v>424</v>
      </c>
      <c r="N242" s="122" t="s">
        <v>515</v>
      </c>
      <c r="O242" s="123" t="s">
        <v>431</v>
      </c>
      <c r="P242" s="114">
        <f ca="1">IF($J242="","",MAX(0,INT((IF(OR($L242="Active",$L242="On Leave"),TODAY(),IFERROR(VLOOKUP($A242,'09_Attrition_Tracker'!$B:$G,6,FALSE),TODAY()))-$J242)/30)))</f>
        <v>32</v>
      </c>
      <c r="Q242" s="83" t="str">
        <f t="shared" ca="1" si="6"/>
        <v>2-5 yrs</v>
      </c>
      <c r="R242" s="83" t="str">
        <f t="shared" si="7"/>
        <v>Yes</v>
      </c>
      <c r="S242" s="112" t="str">
        <f>IFERROR(VLOOKUP($A242,'09_Attrition_Tracker'!$B:$M,12,FALSE),"No")</f>
        <v>No</v>
      </c>
    </row>
    <row r="243" spans="1:19">
      <c r="A243" s="136" t="s">
        <v>907</v>
      </c>
      <c r="B243" s="122" t="s">
        <v>908</v>
      </c>
      <c r="C243" s="122" t="s">
        <v>416</v>
      </c>
      <c r="D243" s="123" t="s">
        <v>437</v>
      </c>
      <c r="E243" s="122" t="s">
        <v>540</v>
      </c>
      <c r="F243" s="122" t="s">
        <v>541</v>
      </c>
      <c r="G243" s="122" t="s">
        <v>411</v>
      </c>
      <c r="H243" s="122" t="s">
        <v>429</v>
      </c>
      <c r="I243" s="123" t="s">
        <v>121</v>
      </c>
      <c r="J243" s="124">
        <v>44744</v>
      </c>
      <c r="K243" s="124">
        <v>44924</v>
      </c>
      <c r="L243" s="123" t="s">
        <v>381</v>
      </c>
      <c r="M243" s="122"/>
      <c r="N243" s="122" t="s">
        <v>441</v>
      </c>
      <c r="O243" s="123" t="s">
        <v>459</v>
      </c>
      <c r="P243" s="114">
        <f ca="1">IF($J243="","",MAX(0,INT((IF(OR($L243="Active",$L243="On Leave"),TODAY(),IFERROR(VLOOKUP($A243,'09_Attrition_Tracker'!$B:$G,6,FALSE),TODAY()))-$J243)/30)))</f>
        <v>36</v>
      </c>
      <c r="Q243" s="83" t="str">
        <f t="shared" ca="1" si="6"/>
        <v>2-5 yrs</v>
      </c>
      <c r="R243" s="83" t="str">
        <f t="shared" si="7"/>
        <v>No</v>
      </c>
      <c r="S243" s="112" t="str">
        <f>IFERROR(VLOOKUP($A243,'09_Attrition_Tracker'!$B:$M,12,FALSE),"No")</f>
        <v>Yes</v>
      </c>
    </row>
    <row r="244" spans="1:19">
      <c r="A244" s="136" t="s">
        <v>909</v>
      </c>
      <c r="B244" s="122" t="s">
        <v>598</v>
      </c>
      <c r="C244" s="122" t="s">
        <v>421</v>
      </c>
      <c r="D244" s="123" t="s">
        <v>437</v>
      </c>
      <c r="E244" s="122" t="s">
        <v>478</v>
      </c>
      <c r="F244" s="122" t="s">
        <v>479</v>
      </c>
      <c r="G244" s="122" t="s">
        <v>420</v>
      </c>
      <c r="H244" s="122" t="s">
        <v>118</v>
      </c>
      <c r="I244" s="123" t="s">
        <v>380</v>
      </c>
      <c r="J244" s="124">
        <v>45672</v>
      </c>
      <c r="K244" s="124">
        <v>45852</v>
      </c>
      <c r="L244" s="123" t="s">
        <v>400</v>
      </c>
      <c r="M244" s="122" t="s">
        <v>465</v>
      </c>
      <c r="N244" s="122" t="s">
        <v>458</v>
      </c>
      <c r="O244" s="123" t="s">
        <v>459</v>
      </c>
      <c r="P244" s="114">
        <f ca="1">IF($J244="","",MAX(0,INT((IF(OR($L244="Active",$L244="On Leave"),TODAY(),IFERROR(VLOOKUP($A244,'09_Attrition_Tracker'!$B:$G,6,FALSE),TODAY()))-$J244)/30)))</f>
        <v>15</v>
      </c>
      <c r="Q244" s="83" t="str">
        <f t="shared" ca="1" si="6"/>
        <v>1-2 yrs</v>
      </c>
      <c r="R244" s="83" t="str">
        <f t="shared" si="7"/>
        <v>Yes</v>
      </c>
      <c r="S244" s="112" t="str">
        <f>IFERROR(VLOOKUP($A244,'09_Attrition_Tracker'!$B:$M,12,FALSE),"No")</f>
        <v>No</v>
      </c>
    </row>
    <row r="245" spans="1:19">
      <c r="A245" s="136" t="s">
        <v>910</v>
      </c>
      <c r="B245" s="122" t="s">
        <v>761</v>
      </c>
      <c r="C245" s="122" t="s">
        <v>271</v>
      </c>
      <c r="D245" s="123" t="s">
        <v>450</v>
      </c>
      <c r="E245" s="122" t="s">
        <v>628</v>
      </c>
      <c r="F245" s="122" t="s">
        <v>20</v>
      </c>
      <c r="G245" s="122" t="s">
        <v>408</v>
      </c>
      <c r="H245" s="122" t="s">
        <v>429</v>
      </c>
      <c r="I245" s="123" t="s">
        <v>380</v>
      </c>
      <c r="J245" s="124">
        <v>43972</v>
      </c>
      <c r="K245" s="124"/>
      <c r="L245" s="123" t="s">
        <v>131</v>
      </c>
      <c r="M245" s="122"/>
      <c r="N245" s="122" t="s">
        <v>441</v>
      </c>
      <c r="O245" s="123" t="s">
        <v>446</v>
      </c>
      <c r="P245" s="114">
        <f ca="1">IF($J245="","",MAX(0,INT((IF(OR($L245="Active",$L245="On Leave"),TODAY(),IFERROR(VLOOKUP($A245,'09_Attrition_Tracker'!$B:$G,6,FALSE),TODAY()))-$J245)/30)))</f>
        <v>72</v>
      </c>
      <c r="Q245" s="83" t="str">
        <f t="shared" ca="1" si="6"/>
        <v>5+ yrs</v>
      </c>
      <c r="R245" s="83" t="str">
        <f t="shared" si="7"/>
        <v>Yes</v>
      </c>
      <c r="S245" s="112" t="str">
        <f>IFERROR(VLOOKUP($A245,'09_Attrition_Tracker'!$B:$M,12,FALSE),"No")</f>
        <v>No</v>
      </c>
    </row>
    <row r="246" spans="1:19">
      <c r="A246" s="136" t="s">
        <v>911</v>
      </c>
      <c r="B246" s="122" t="s">
        <v>696</v>
      </c>
      <c r="C246" s="122" t="s">
        <v>104</v>
      </c>
      <c r="D246" s="123" t="s">
        <v>450</v>
      </c>
      <c r="E246" s="122" t="s">
        <v>473</v>
      </c>
      <c r="F246" s="122" t="s">
        <v>474</v>
      </c>
      <c r="G246" s="122" t="s">
        <v>104</v>
      </c>
      <c r="H246" s="122" t="s">
        <v>429</v>
      </c>
      <c r="I246" s="123" t="s">
        <v>121</v>
      </c>
      <c r="J246" s="124">
        <v>43650</v>
      </c>
      <c r="K246" s="124">
        <v>43830</v>
      </c>
      <c r="L246" s="123" t="s">
        <v>131</v>
      </c>
      <c r="M246" s="122"/>
      <c r="N246" s="122" t="s">
        <v>430</v>
      </c>
      <c r="O246" s="123" t="s">
        <v>140</v>
      </c>
      <c r="P246" s="114">
        <f ca="1">IF($J246="","",MAX(0,INT((IF(OR($L246="Active",$L246="On Leave"),TODAY(),IFERROR(VLOOKUP($A246,'09_Attrition_Tracker'!$B:$G,6,FALSE),TODAY()))-$J246)/30)))</f>
        <v>83</v>
      </c>
      <c r="Q246" s="83" t="str">
        <f t="shared" ca="1" si="6"/>
        <v>5+ yrs</v>
      </c>
      <c r="R246" s="83" t="str">
        <f t="shared" si="7"/>
        <v>Yes</v>
      </c>
      <c r="S246" s="112" t="str">
        <f>IFERROR(VLOOKUP($A246,'09_Attrition_Tracker'!$B:$M,12,FALSE),"No")</f>
        <v>No</v>
      </c>
    </row>
    <row r="247" spans="1:19">
      <c r="A247" s="136" t="s">
        <v>912</v>
      </c>
      <c r="B247" s="122" t="s">
        <v>830</v>
      </c>
      <c r="C247" s="122" t="s">
        <v>152</v>
      </c>
      <c r="D247" s="123" t="s">
        <v>108</v>
      </c>
      <c r="E247" s="122" t="s">
        <v>427</v>
      </c>
      <c r="F247" s="122" t="s">
        <v>428</v>
      </c>
      <c r="G247" s="122" t="s">
        <v>154</v>
      </c>
      <c r="H247" s="122" t="s">
        <v>429</v>
      </c>
      <c r="I247" s="123" t="s">
        <v>391</v>
      </c>
      <c r="J247" s="124">
        <v>45893</v>
      </c>
      <c r="K247" s="124">
        <v>46073</v>
      </c>
      <c r="L247" s="123" t="s">
        <v>131</v>
      </c>
      <c r="M247" s="122"/>
      <c r="N247" s="122" t="s">
        <v>475</v>
      </c>
      <c r="O247" s="123" t="s">
        <v>431</v>
      </c>
      <c r="P247" s="114">
        <f ca="1">IF($J247="","",MAX(0,INT((IF(OR($L247="Active",$L247="On Leave"),TODAY(),IFERROR(VLOOKUP($A247,'09_Attrition_Tracker'!$B:$G,6,FALSE),TODAY()))-$J247)/30)))</f>
        <v>8</v>
      </c>
      <c r="Q247" s="83" t="str">
        <f t="shared" ca="1" si="6"/>
        <v>7-12 mos</v>
      </c>
      <c r="R247" s="83" t="str">
        <f t="shared" si="7"/>
        <v>Yes</v>
      </c>
      <c r="S247" s="112" t="str">
        <f>IFERROR(VLOOKUP($A247,'09_Attrition_Tracker'!$B:$M,12,FALSE),"No")</f>
        <v>No</v>
      </c>
    </row>
    <row r="248" spans="1:19">
      <c r="A248" s="136" t="s">
        <v>913</v>
      </c>
      <c r="B248" s="122" t="s">
        <v>763</v>
      </c>
      <c r="C248" s="122" t="s">
        <v>416</v>
      </c>
      <c r="D248" s="123" t="s">
        <v>108</v>
      </c>
      <c r="E248" s="122" t="s">
        <v>557</v>
      </c>
      <c r="F248" s="122" t="s">
        <v>558</v>
      </c>
      <c r="G248" s="122" t="s">
        <v>411</v>
      </c>
      <c r="H248" s="122" t="s">
        <v>118</v>
      </c>
      <c r="I248" s="123" t="s">
        <v>121</v>
      </c>
      <c r="J248" s="124">
        <v>43710</v>
      </c>
      <c r="K248" s="124">
        <v>43890</v>
      </c>
      <c r="L248" s="123" t="s">
        <v>131</v>
      </c>
      <c r="M248" s="122" t="s">
        <v>302</v>
      </c>
      <c r="N248" s="122" t="s">
        <v>430</v>
      </c>
      <c r="O248" s="123" t="s">
        <v>140</v>
      </c>
      <c r="P248" s="114">
        <f ca="1">IF($J248="","",MAX(0,INT((IF(OR($L248="Active",$L248="On Leave"),TODAY(),IFERROR(VLOOKUP($A248,'09_Attrition_Tracker'!$B:$G,6,FALSE),TODAY()))-$J248)/30)))</f>
        <v>81</v>
      </c>
      <c r="Q248" s="83" t="str">
        <f t="shared" ca="1" si="6"/>
        <v>5+ yrs</v>
      </c>
      <c r="R248" s="83" t="str">
        <f t="shared" si="7"/>
        <v>Yes</v>
      </c>
      <c r="S248" s="112" t="str">
        <f>IFERROR(VLOOKUP($A248,'09_Attrition_Tracker'!$B:$M,12,FALSE),"No")</f>
        <v>No</v>
      </c>
    </row>
    <row r="249" spans="1:19">
      <c r="A249" s="136" t="s">
        <v>914</v>
      </c>
      <c r="B249" s="122" t="s">
        <v>852</v>
      </c>
      <c r="C249" s="122" t="s">
        <v>379</v>
      </c>
      <c r="D249" s="123" t="s">
        <v>437</v>
      </c>
      <c r="E249" s="122" t="s">
        <v>587</v>
      </c>
      <c r="F249" s="122" t="s">
        <v>588</v>
      </c>
      <c r="G249" s="122" t="s">
        <v>390</v>
      </c>
      <c r="H249" s="122" t="s">
        <v>118</v>
      </c>
      <c r="I249" s="123" t="s">
        <v>380</v>
      </c>
      <c r="J249" s="124">
        <v>45686</v>
      </c>
      <c r="K249" s="124">
        <v>45866</v>
      </c>
      <c r="L249" s="123" t="s">
        <v>381</v>
      </c>
      <c r="M249" s="122" t="s">
        <v>518</v>
      </c>
      <c r="N249" s="122" t="s">
        <v>441</v>
      </c>
      <c r="O249" s="123" t="s">
        <v>453</v>
      </c>
      <c r="P249" s="114">
        <f ca="1">IF($J249="","",MAX(0,INT((IF(OR($L249="Active",$L249="On Leave"),TODAY(),IFERROR(VLOOKUP($A249,'09_Attrition_Tracker'!$B:$G,6,FALSE),TODAY()))-$J249)/30)))</f>
        <v>3</v>
      </c>
      <c r="Q249" s="83" t="str">
        <f t="shared" ca="1" si="6"/>
        <v>0-3 mos</v>
      </c>
      <c r="R249" s="83" t="str">
        <f t="shared" si="7"/>
        <v>No</v>
      </c>
      <c r="S249" s="112" t="str">
        <f>IFERROR(VLOOKUP($A249,'09_Attrition_Tracker'!$B:$M,12,FALSE),"No")</f>
        <v>No</v>
      </c>
    </row>
    <row r="250" spans="1:19">
      <c r="A250" s="136" t="s">
        <v>915</v>
      </c>
      <c r="B250" s="122" t="s">
        <v>627</v>
      </c>
      <c r="C250" s="122" t="s">
        <v>104</v>
      </c>
      <c r="D250" s="123" t="s">
        <v>426</v>
      </c>
      <c r="E250" s="122" t="s">
        <v>111</v>
      </c>
      <c r="F250" s="122" t="s">
        <v>113</v>
      </c>
      <c r="G250" s="122" t="s">
        <v>104</v>
      </c>
      <c r="H250" s="122" t="s">
        <v>434</v>
      </c>
      <c r="I250" s="123" t="s">
        <v>121</v>
      </c>
      <c r="J250" s="124">
        <v>45966</v>
      </c>
      <c r="K250" s="124">
        <v>46146</v>
      </c>
      <c r="L250" s="123" t="s">
        <v>131</v>
      </c>
      <c r="M250" s="122" t="s">
        <v>442</v>
      </c>
      <c r="N250" s="122" t="s">
        <v>458</v>
      </c>
      <c r="O250" s="123" t="s">
        <v>446</v>
      </c>
      <c r="P250" s="114">
        <f ca="1">IF($J250="","",MAX(0,INT((IF(OR($L250="Active",$L250="On Leave"),TODAY(),IFERROR(VLOOKUP($A250,'09_Attrition_Tracker'!$B:$G,6,FALSE),TODAY()))-$J250)/30)))</f>
        <v>5</v>
      </c>
      <c r="Q250" s="83" t="str">
        <f t="shared" ca="1" si="6"/>
        <v>4-6 mos</v>
      </c>
      <c r="R250" s="83" t="str">
        <f t="shared" si="7"/>
        <v>Yes</v>
      </c>
      <c r="S250" s="112" t="str">
        <f>IFERROR(VLOOKUP($A250,'09_Attrition_Tracker'!$B:$M,12,FALSE),"No")</f>
        <v>No</v>
      </c>
    </row>
    <row r="251" spans="1:19">
      <c r="A251" s="136" t="s">
        <v>916</v>
      </c>
      <c r="B251" s="122" t="s">
        <v>917</v>
      </c>
      <c r="C251" s="122" t="s">
        <v>379</v>
      </c>
      <c r="D251" s="123" t="s">
        <v>450</v>
      </c>
      <c r="E251" s="122" t="s">
        <v>587</v>
      </c>
      <c r="F251" s="122" t="s">
        <v>588</v>
      </c>
      <c r="G251" s="122" t="s">
        <v>390</v>
      </c>
      <c r="H251" s="122" t="s">
        <v>434</v>
      </c>
      <c r="I251" s="123" t="s">
        <v>121</v>
      </c>
      <c r="J251" s="124">
        <v>43395</v>
      </c>
      <c r="K251" s="124">
        <v>43575</v>
      </c>
      <c r="L251" s="123" t="s">
        <v>131</v>
      </c>
      <c r="M251" s="122" t="s">
        <v>551</v>
      </c>
      <c r="N251" s="122" t="s">
        <v>137</v>
      </c>
      <c r="O251" s="123" t="s">
        <v>140</v>
      </c>
      <c r="P251" s="114">
        <f ca="1">IF($J251="","",MAX(0,INT((IF(OR($L251="Active",$L251="On Leave"),TODAY(),IFERROR(VLOOKUP($A251,'09_Attrition_Tracker'!$B:$G,6,FALSE),TODAY()))-$J251)/30)))</f>
        <v>91</v>
      </c>
      <c r="Q251" s="83" t="str">
        <f t="shared" ca="1" si="6"/>
        <v>5+ yrs</v>
      </c>
      <c r="R251" s="83" t="str">
        <f t="shared" si="7"/>
        <v>Yes</v>
      </c>
      <c r="S251" s="112" t="str">
        <f>IFERROR(VLOOKUP($A251,'09_Attrition_Tracker'!$B:$M,12,FALSE),"No")</f>
        <v>No</v>
      </c>
    </row>
    <row r="252" spans="1:19">
      <c r="A252" s="136" t="s">
        <v>918</v>
      </c>
      <c r="B252" s="122" t="s">
        <v>761</v>
      </c>
      <c r="C252" s="122" t="s">
        <v>176</v>
      </c>
      <c r="D252" s="123" t="s">
        <v>108</v>
      </c>
      <c r="E252" s="122" t="s">
        <v>577</v>
      </c>
      <c r="F252" s="122" t="s">
        <v>578</v>
      </c>
      <c r="G252" s="122" t="s">
        <v>154</v>
      </c>
      <c r="H252" s="122" t="s">
        <v>118</v>
      </c>
      <c r="I252" s="123" t="s">
        <v>121</v>
      </c>
      <c r="J252" s="124">
        <v>43577</v>
      </c>
      <c r="K252" s="124">
        <v>43757</v>
      </c>
      <c r="L252" s="123" t="s">
        <v>131</v>
      </c>
      <c r="M252" s="122" t="s">
        <v>567</v>
      </c>
      <c r="N252" s="122" t="s">
        <v>430</v>
      </c>
      <c r="O252" s="123" t="s">
        <v>140</v>
      </c>
      <c r="P252" s="114">
        <f ca="1">IF($J252="","",MAX(0,INT((IF(OR($L252="Active",$L252="On Leave"),TODAY(),IFERROR(VLOOKUP($A252,'09_Attrition_Tracker'!$B:$G,6,FALSE),TODAY()))-$J252)/30)))</f>
        <v>85</v>
      </c>
      <c r="Q252" s="83" t="str">
        <f t="shared" ca="1" si="6"/>
        <v>5+ yrs</v>
      </c>
      <c r="R252" s="83" t="str">
        <f t="shared" si="7"/>
        <v>Yes</v>
      </c>
      <c r="S252" s="112" t="str">
        <f>IFERROR(VLOOKUP($A252,'09_Attrition_Tracker'!$B:$M,12,FALSE),"No")</f>
        <v>No</v>
      </c>
    </row>
    <row r="253" spans="1:19">
      <c r="A253" s="136" t="s">
        <v>919</v>
      </c>
      <c r="B253" s="122" t="s">
        <v>920</v>
      </c>
      <c r="C253" s="122" t="s">
        <v>152</v>
      </c>
      <c r="D253" s="123" t="s">
        <v>108</v>
      </c>
      <c r="E253" s="122" t="s">
        <v>451</v>
      </c>
      <c r="F253" s="122" t="s">
        <v>452</v>
      </c>
      <c r="G253" s="122" t="s">
        <v>154</v>
      </c>
      <c r="H253" s="122" t="s">
        <v>440</v>
      </c>
      <c r="I253" s="123" t="s">
        <v>380</v>
      </c>
      <c r="J253" s="124">
        <v>43365</v>
      </c>
      <c r="K253" s="124">
        <v>43545</v>
      </c>
      <c r="L253" s="123" t="s">
        <v>381</v>
      </c>
      <c r="M253" s="122" t="s">
        <v>302</v>
      </c>
      <c r="N253" s="122" t="s">
        <v>441</v>
      </c>
      <c r="O253" s="123" t="s">
        <v>140</v>
      </c>
      <c r="P253" s="114">
        <f ca="1">IF($J253="","",MAX(0,INT((IF(OR($L253="Active",$L253="On Leave"),TODAY(),IFERROR(VLOOKUP($A253,'09_Attrition_Tracker'!$B:$G,6,FALSE),TODAY()))-$J253)/30)))</f>
        <v>89</v>
      </c>
      <c r="Q253" s="83" t="str">
        <f t="shared" ca="1" si="6"/>
        <v>5+ yrs</v>
      </c>
      <c r="R253" s="83" t="str">
        <f t="shared" si="7"/>
        <v>No</v>
      </c>
      <c r="S253" s="112" t="str">
        <f>IFERROR(VLOOKUP($A253,'09_Attrition_Tracker'!$B:$M,12,FALSE),"No")</f>
        <v>No</v>
      </c>
    </row>
    <row r="254" spans="1:19">
      <c r="A254" s="137" t="s">
        <v>921</v>
      </c>
      <c r="B254" s="125" t="s">
        <v>922</v>
      </c>
      <c r="C254" s="125" t="s">
        <v>152</v>
      </c>
      <c r="D254" s="126" t="s">
        <v>450</v>
      </c>
      <c r="E254" s="125" t="s">
        <v>151</v>
      </c>
      <c r="F254" s="125" t="s">
        <v>153</v>
      </c>
      <c r="G254" s="125" t="s">
        <v>154</v>
      </c>
      <c r="H254" s="125" t="s">
        <v>434</v>
      </c>
      <c r="I254" s="126" t="s">
        <v>121</v>
      </c>
      <c r="J254" s="127">
        <v>43071</v>
      </c>
      <c r="K254" s="127">
        <v>43251</v>
      </c>
      <c r="L254" s="126" t="s">
        <v>131</v>
      </c>
      <c r="M254" s="125" t="s">
        <v>516</v>
      </c>
      <c r="N254" s="125" t="s">
        <v>430</v>
      </c>
      <c r="O254" s="126" t="s">
        <v>459</v>
      </c>
      <c r="P254" s="115">
        <f ca="1">IF($J254="","",MAX(0,INT((IF(OR($L254="Active",$L254="On Leave"),TODAY(),IFERROR(VLOOKUP($A254,'09_Attrition_Tracker'!$B:$G,6,FALSE),TODAY()))-$J254)/30)))</f>
        <v>102</v>
      </c>
      <c r="Q254" s="89" t="str">
        <f t="shared" ca="1" si="6"/>
        <v>5+ yrs</v>
      </c>
      <c r="R254" s="89" t="str">
        <f t="shared" si="7"/>
        <v>Yes</v>
      </c>
      <c r="S254" s="113" t="str">
        <f>IFERROR(VLOOKUP($A254,'09_Attrition_Tracker'!$B:$M,12,FALSE),"No")</f>
        <v>No</v>
      </c>
    </row>
  </sheetData>
  <dataValidations count="4">
    <dataValidation type="list" sqref="C5:C254" xr:uid="{00000000-0002-0000-0300-000000000000}">
      <formula1>Departments</formula1>
    </dataValidation>
    <dataValidation type="list" sqref="I5:I254" xr:uid="{00000000-0002-0000-0300-000001000000}">
      <formula1>"Regular,Probationary,Contractual,Project-based"</formula1>
    </dataValidation>
    <dataValidation type="list" sqref="L5:L254" xr:uid="{00000000-0002-0000-0300-000002000000}">
      <formula1>EmployeeStatuses</formula1>
    </dataValidation>
    <dataValidation type="list" allowBlank="1" showInputMessage="1" showErrorMessage="1" sqref="G5:G254" xr:uid="{B3077977-BD35-264D-B620-F786BA95C882}">
      <formula1>JobFamilies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showGridLines="0" zoomScale="108" zoomScaleNormal="54" workbookViewId="0">
      <pane ySplit="4" topLeftCell="A5" activePane="bottomLeft" state="frozen"/>
      <selection pane="bottomLeft" activeCell="C19" sqref="C19"/>
    </sheetView>
  </sheetViews>
  <sheetFormatPr baseColWidth="10" defaultColWidth="8.83203125" defaultRowHeight="15"/>
  <cols>
    <col min="1" max="1" width="12" style="91" customWidth="1"/>
    <col min="2" max="2" width="22" style="91" customWidth="1"/>
    <col min="3" max="3" width="25" style="91" customWidth="1"/>
    <col min="4" max="4" width="18" style="91" customWidth="1"/>
    <col min="5" max="5" width="20.33203125" style="91" customWidth="1"/>
    <col min="6" max="6" width="18" style="91" customWidth="1"/>
    <col min="7" max="7" width="22.6640625" style="91" customWidth="1"/>
    <col min="8" max="8" width="16" style="91" customWidth="1"/>
    <col min="9" max="9" width="24" style="91" customWidth="1"/>
    <col min="10" max="16384" width="8.83203125" style="91"/>
  </cols>
  <sheetData>
    <row r="1" spans="1:9" ht="44">
      <c r="A1" s="53" t="s">
        <v>923</v>
      </c>
      <c r="B1" s="53"/>
      <c r="C1" s="53"/>
      <c r="D1" s="53"/>
      <c r="E1" s="53"/>
      <c r="F1" s="53"/>
      <c r="G1" s="53"/>
      <c r="H1" s="53"/>
      <c r="I1" s="53"/>
    </row>
    <row r="2" spans="1:9" ht="25">
      <c r="A2" s="68" t="s">
        <v>924</v>
      </c>
      <c r="B2" s="68"/>
      <c r="C2" s="68"/>
      <c r="D2" s="68"/>
      <c r="E2" s="68"/>
      <c r="F2" s="68"/>
      <c r="G2" s="68"/>
      <c r="H2" s="68"/>
      <c r="I2" s="68"/>
    </row>
    <row r="4" spans="1:9" ht="16">
      <c r="A4" s="98" t="s">
        <v>109</v>
      </c>
      <c r="B4" s="99" t="s">
        <v>102</v>
      </c>
      <c r="C4" s="99" t="s">
        <v>112</v>
      </c>
      <c r="D4" s="99" t="s">
        <v>114</v>
      </c>
      <c r="E4" s="99" t="s">
        <v>155</v>
      </c>
      <c r="F4" s="99" t="s">
        <v>158</v>
      </c>
      <c r="G4" s="99" t="s">
        <v>160</v>
      </c>
      <c r="H4" s="99" t="s">
        <v>162</v>
      </c>
      <c r="I4" s="109" t="s">
        <v>165</v>
      </c>
    </row>
    <row r="5" spans="1:9">
      <c r="A5" s="100" t="s">
        <v>151</v>
      </c>
      <c r="B5" s="101" t="s">
        <v>152</v>
      </c>
      <c r="C5" s="101" t="s">
        <v>153</v>
      </c>
      <c r="D5" s="101" t="s">
        <v>154</v>
      </c>
      <c r="E5" s="83">
        <v>15</v>
      </c>
      <c r="F5" s="83" t="s">
        <v>95</v>
      </c>
      <c r="G5" s="83">
        <v>20</v>
      </c>
      <c r="H5" s="117" t="s">
        <v>164</v>
      </c>
      <c r="I5" s="103" t="s">
        <v>167</v>
      </c>
    </row>
    <row r="6" spans="1:9">
      <c r="A6" s="100" t="s">
        <v>451</v>
      </c>
      <c r="B6" s="101" t="s">
        <v>152</v>
      </c>
      <c r="C6" s="101" t="s">
        <v>452</v>
      </c>
      <c r="D6" s="101" t="s">
        <v>154</v>
      </c>
      <c r="E6" s="83">
        <v>9</v>
      </c>
      <c r="F6" s="83" t="s">
        <v>95</v>
      </c>
      <c r="G6" s="83">
        <v>30</v>
      </c>
      <c r="H6" s="117" t="s">
        <v>164</v>
      </c>
      <c r="I6" s="103" t="s">
        <v>167</v>
      </c>
    </row>
    <row r="7" spans="1:9">
      <c r="A7" s="100" t="s">
        <v>427</v>
      </c>
      <c r="B7" s="101" t="s">
        <v>152</v>
      </c>
      <c r="C7" s="101" t="s">
        <v>428</v>
      </c>
      <c r="D7" s="101" t="s">
        <v>154</v>
      </c>
      <c r="E7" s="83">
        <v>1</v>
      </c>
      <c r="F7" s="83" t="s">
        <v>100</v>
      </c>
      <c r="G7" s="83">
        <v>60</v>
      </c>
      <c r="H7" s="117" t="s">
        <v>383</v>
      </c>
      <c r="I7" s="103" t="s">
        <v>167</v>
      </c>
    </row>
    <row r="8" spans="1:9">
      <c r="A8" s="100" t="s">
        <v>456</v>
      </c>
      <c r="B8" s="101" t="s">
        <v>379</v>
      </c>
      <c r="C8" s="101" t="s">
        <v>457</v>
      </c>
      <c r="D8" s="101" t="s">
        <v>390</v>
      </c>
      <c r="E8" s="83">
        <v>14</v>
      </c>
      <c r="F8" s="83" t="s">
        <v>95</v>
      </c>
      <c r="G8" s="83">
        <v>45</v>
      </c>
      <c r="H8" s="117" t="s">
        <v>164</v>
      </c>
      <c r="I8" s="103" t="s">
        <v>925</v>
      </c>
    </row>
    <row r="9" spans="1:9">
      <c r="A9" s="100" t="s">
        <v>587</v>
      </c>
      <c r="B9" s="101" t="s">
        <v>379</v>
      </c>
      <c r="C9" s="101" t="s">
        <v>588</v>
      </c>
      <c r="D9" s="101" t="s">
        <v>390</v>
      </c>
      <c r="E9" s="83">
        <v>6</v>
      </c>
      <c r="F9" s="83" t="s">
        <v>95</v>
      </c>
      <c r="G9" s="83">
        <v>30</v>
      </c>
      <c r="H9" s="117" t="s">
        <v>383</v>
      </c>
      <c r="I9" s="103" t="s">
        <v>925</v>
      </c>
    </row>
    <row r="10" spans="1:9">
      <c r="A10" s="100" t="s">
        <v>544</v>
      </c>
      <c r="B10" s="101" t="s">
        <v>379</v>
      </c>
      <c r="C10" s="101" t="s">
        <v>545</v>
      </c>
      <c r="D10" s="101" t="s">
        <v>390</v>
      </c>
      <c r="E10" s="83">
        <v>13</v>
      </c>
      <c r="F10" s="83" t="s">
        <v>95</v>
      </c>
      <c r="G10" s="83">
        <v>45</v>
      </c>
      <c r="H10" s="117" t="s">
        <v>164</v>
      </c>
      <c r="I10" s="103" t="s">
        <v>925</v>
      </c>
    </row>
    <row r="11" spans="1:9">
      <c r="A11" s="100" t="s">
        <v>577</v>
      </c>
      <c r="B11" s="101" t="s">
        <v>176</v>
      </c>
      <c r="C11" s="101" t="s">
        <v>578</v>
      </c>
      <c r="D11" s="101" t="s">
        <v>154</v>
      </c>
      <c r="E11" s="83">
        <v>14</v>
      </c>
      <c r="F11" s="83" t="s">
        <v>95</v>
      </c>
      <c r="G11" s="83">
        <v>35</v>
      </c>
      <c r="H11" s="117" t="s">
        <v>383</v>
      </c>
      <c r="I11" s="103" t="s">
        <v>926</v>
      </c>
    </row>
    <row r="12" spans="1:9">
      <c r="A12" s="100" t="s">
        <v>177</v>
      </c>
      <c r="B12" s="101" t="s">
        <v>176</v>
      </c>
      <c r="C12" s="101" t="s">
        <v>178</v>
      </c>
      <c r="D12" s="101" t="s">
        <v>154</v>
      </c>
      <c r="E12" s="83">
        <v>17</v>
      </c>
      <c r="F12" s="83" t="s">
        <v>95</v>
      </c>
      <c r="G12" s="83">
        <v>45</v>
      </c>
      <c r="H12" s="117" t="s">
        <v>164</v>
      </c>
      <c r="I12" s="103" t="s">
        <v>926</v>
      </c>
    </row>
    <row r="13" spans="1:9">
      <c r="A13" s="100" t="s">
        <v>652</v>
      </c>
      <c r="B13" s="101" t="s">
        <v>176</v>
      </c>
      <c r="C13" s="101" t="s">
        <v>653</v>
      </c>
      <c r="D13" s="101" t="s">
        <v>154</v>
      </c>
      <c r="E13" s="83">
        <v>7</v>
      </c>
      <c r="F13" s="83" t="s">
        <v>95</v>
      </c>
      <c r="G13" s="83">
        <v>35</v>
      </c>
      <c r="H13" s="117" t="s">
        <v>164</v>
      </c>
      <c r="I13" s="103" t="s">
        <v>926</v>
      </c>
    </row>
    <row r="14" spans="1:9">
      <c r="A14" s="100" t="s">
        <v>462</v>
      </c>
      <c r="B14" s="101" t="s">
        <v>371</v>
      </c>
      <c r="C14" s="101" t="s">
        <v>463</v>
      </c>
      <c r="D14" s="101" t="s">
        <v>371</v>
      </c>
      <c r="E14" s="83">
        <v>11</v>
      </c>
      <c r="F14" s="83" t="s">
        <v>95</v>
      </c>
      <c r="G14" s="83">
        <v>35</v>
      </c>
      <c r="H14" s="117" t="s">
        <v>395</v>
      </c>
      <c r="I14" s="103" t="s">
        <v>927</v>
      </c>
    </row>
    <row r="15" spans="1:9">
      <c r="A15" s="100" t="s">
        <v>505</v>
      </c>
      <c r="B15" s="101" t="s">
        <v>371</v>
      </c>
      <c r="C15" s="101" t="s">
        <v>506</v>
      </c>
      <c r="D15" s="101" t="s">
        <v>371</v>
      </c>
      <c r="E15" s="83">
        <v>17</v>
      </c>
      <c r="F15" s="83" t="s">
        <v>95</v>
      </c>
      <c r="G15" s="83">
        <v>20</v>
      </c>
      <c r="H15" s="117" t="s">
        <v>383</v>
      </c>
      <c r="I15" s="103" t="s">
        <v>927</v>
      </c>
    </row>
    <row r="16" spans="1:9">
      <c r="A16" s="100" t="s">
        <v>438</v>
      </c>
      <c r="B16" s="101" t="s">
        <v>371</v>
      </c>
      <c r="C16" s="101" t="s">
        <v>439</v>
      </c>
      <c r="D16" s="101" t="s">
        <v>371</v>
      </c>
      <c r="E16" s="83">
        <v>11</v>
      </c>
      <c r="F16" s="83" t="s">
        <v>95</v>
      </c>
      <c r="G16" s="83">
        <v>35</v>
      </c>
      <c r="H16" s="117" t="s">
        <v>395</v>
      </c>
      <c r="I16" s="103" t="s">
        <v>927</v>
      </c>
    </row>
    <row r="17" spans="1:9">
      <c r="A17" s="100" t="s">
        <v>501</v>
      </c>
      <c r="B17" s="101" t="s">
        <v>407</v>
      </c>
      <c r="C17" s="101" t="s">
        <v>502</v>
      </c>
      <c r="D17" s="101" t="s">
        <v>417</v>
      </c>
      <c r="E17" s="83">
        <v>14</v>
      </c>
      <c r="F17" s="83" t="s">
        <v>95</v>
      </c>
      <c r="G17" s="83">
        <v>20</v>
      </c>
      <c r="H17" s="117" t="s">
        <v>164</v>
      </c>
      <c r="I17" s="103" t="s">
        <v>928</v>
      </c>
    </row>
    <row r="18" spans="1:9">
      <c r="A18" s="100" t="s">
        <v>469</v>
      </c>
      <c r="B18" s="101" t="s">
        <v>407</v>
      </c>
      <c r="C18" s="101" t="s">
        <v>470</v>
      </c>
      <c r="D18" s="101" t="s">
        <v>417</v>
      </c>
      <c r="E18" s="83">
        <v>8</v>
      </c>
      <c r="F18" s="83" t="s">
        <v>100</v>
      </c>
      <c r="G18" s="83">
        <v>30</v>
      </c>
      <c r="H18" s="117" t="s">
        <v>383</v>
      </c>
      <c r="I18" s="103" t="s">
        <v>928</v>
      </c>
    </row>
    <row r="19" spans="1:9">
      <c r="A19" s="100" t="s">
        <v>444</v>
      </c>
      <c r="B19" s="101" t="s">
        <v>407</v>
      </c>
      <c r="C19" s="101" t="s">
        <v>445</v>
      </c>
      <c r="D19" s="101" t="s">
        <v>417</v>
      </c>
      <c r="E19" s="83">
        <v>1</v>
      </c>
      <c r="F19" s="83" t="s">
        <v>100</v>
      </c>
      <c r="G19" s="83">
        <v>45</v>
      </c>
      <c r="H19" s="117" t="s">
        <v>395</v>
      </c>
      <c r="I19" s="103" t="s">
        <v>928</v>
      </c>
    </row>
    <row r="20" spans="1:9">
      <c r="A20" s="100" t="s">
        <v>536</v>
      </c>
      <c r="B20" s="101" t="s">
        <v>37</v>
      </c>
      <c r="C20" s="101" t="s">
        <v>537</v>
      </c>
      <c r="D20" s="101" t="s">
        <v>37</v>
      </c>
      <c r="E20" s="83">
        <v>15</v>
      </c>
      <c r="F20" s="83" t="s">
        <v>100</v>
      </c>
      <c r="G20" s="83">
        <v>30</v>
      </c>
      <c r="H20" s="117" t="s">
        <v>395</v>
      </c>
      <c r="I20" s="103" t="s">
        <v>929</v>
      </c>
    </row>
    <row r="21" spans="1:9">
      <c r="A21" s="100" t="s">
        <v>486</v>
      </c>
      <c r="B21" s="101" t="s">
        <v>37</v>
      </c>
      <c r="C21" s="101" t="s">
        <v>260</v>
      </c>
      <c r="D21" s="101" t="s">
        <v>37</v>
      </c>
      <c r="E21" s="83">
        <v>10</v>
      </c>
      <c r="F21" s="83" t="s">
        <v>95</v>
      </c>
      <c r="G21" s="83">
        <v>35</v>
      </c>
      <c r="H21" s="117" t="s">
        <v>383</v>
      </c>
      <c r="I21" s="103" t="s">
        <v>929</v>
      </c>
    </row>
    <row r="22" spans="1:9">
      <c r="A22" s="100" t="s">
        <v>549</v>
      </c>
      <c r="B22" s="101" t="s">
        <v>37</v>
      </c>
      <c r="C22" s="101" t="s">
        <v>550</v>
      </c>
      <c r="D22" s="101" t="s">
        <v>37</v>
      </c>
      <c r="E22" s="83">
        <v>2</v>
      </c>
      <c r="F22" s="83" t="s">
        <v>100</v>
      </c>
      <c r="G22" s="83">
        <v>60</v>
      </c>
      <c r="H22" s="117" t="s">
        <v>383</v>
      </c>
      <c r="I22" s="103" t="s">
        <v>929</v>
      </c>
    </row>
    <row r="23" spans="1:9">
      <c r="A23" s="100" t="s">
        <v>521</v>
      </c>
      <c r="B23" s="101" t="s">
        <v>271</v>
      </c>
      <c r="C23" s="101" t="s">
        <v>522</v>
      </c>
      <c r="D23" s="101" t="s">
        <v>408</v>
      </c>
      <c r="E23" s="83">
        <v>7</v>
      </c>
      <c r="F23" s="83" t="s">
        <v>100</v>
      </c>
      <c r="G23" s="83">
        <v>45</v>
      </c>
      <c r="H23" s="117" t="s">
        <v>395</v>
      </c>
      <c r="I23" s="103" t="s">
        <v>930</v>
      </c>
    </row>
    <row r="24" spans="1:9">
      <c r="A24" s="100" t="s">
        <v>491</v>
      </c>
      <c r="B24" s="101" t="s">
        <v>271</v>
      </c>
      <c r="C24" s="101" t="s">
        <v>492</v>
      </c>
      <c r="D24" s="101" t="s">
        <v>408</v>
      </c>
      <c r="E24" s="83">
        <v>15</v>
      </c>
      <c r="F24" s="83" t="s">
        <v>100</v>
      </c>
      <c r="G24" s="83">
        <v>60</v>
      </c>
      <c r="H24" s="117" t="s">
        <v>383</v>
      </c>
      <c r="I24" s="103" t="s">
        <v>930</v>
      </c>
    </row>
    <row r="25" spans="1:9">
      <c r="A25" s="100" t="s">
        <v>628</v>
      </c>
      <c r="B25" s="101" t="s">
        <v>271</v>
      </c>
      <c r="C25" s="101" t="s">
        <v>20</v>
      </c>
      <c r="D25" s="101" t="s">
        <v>408</v>
      </c>
      <c r="E25" s="83">
        <v>3</v>
      </c>
      <c r="F25" s="83" t="s">
        <v>95</v>
      </c>
      <c r="G25" s="83">
        <v>30</v>
      </c>
      <c r="H25" s="117" t="s">
        <v>395</v>
      </c>
      <c r="I25" s="103" t="s">
        <v>930</v>
      </c>
    </row>
    <row r="26" spans="1:9">
      <c r="A26" s="100" t="s">
        <v>557</v>
      </c>
      <c r="B26" s="101" t="s">
        <v>416</v>
      </c>
      <c r="C26" s="101" t="s">
        <v>558</v>
      </c>
      <c r="D26" s="101" t="s">
        <v>411</v>
      </c>
      <c r="E26" s="83">
        <v>11</v>
      </c>
      <c r="F26" s="83" t="s">
        <v>100</v>
      </c>
      <c r="G26" s="83">
        <v>30</v>
      </c>
      <c r="H26" s="117" t="s">
        <v>383</v>
      </c>
      <c r="I26" s="103" t="s">
        <v>931</v>
      </c>
    </row>
    <row r="27" spans="1:9">
      <c r="A27" s="100" t="s">
        <v>482</v>
      </c>
      <c r="B27" s="101" t="s">
        <v>416</v>
      </c>
      <c r="C27" s="101" t="s">
        <v>483</v>
      </c>
      <c r="D27" s="101" t="s">
        <v>411</v>
      </c>
      <c r="E27" s="83">
        <v>14</v>
      </c>
      <c r="F27" s="83" t="s">
        <v>95</v>
      </c>
      <c r="G27" s="83">
        <v>35</v>
      </c>
      <c r="H27" s="117" t="s">
        <v>164</v>
      </c>
      <c r="I27" s="103" t="s">
        <v>931</v>
      </c>
    </row>
    <row r="28" spans="1:9">
      <c r="A28" s="100" t="s">
        <v>540</v>
      </c>
      <c r="B28" s="101" t="s">
        <v>416</v>
      </c>
      <c r="C28" s="101" t="s">
        <v>541</v>
      </c>
      <c r="D28" s="101" t="s">
        <v>411</v>
      </c>
      <c r="E28" s="83">
        <v>4</v>
      </c>
      <c r="F28" s="83" t="s">
        <v>100</v>
      </c>
      <c r="G28" s="83">
        <v>60</v>
      </c>
      <c r="H28" s="117" t="s">
        <v>395</v>
      </c>
      <c r="I28" s="103" t="s">
        <v>931</v>
      </c>
    </row>
    <row r="29" spans="1:9">
      <c r="A29" s="100" t="s">
        <v>495</v>
      </c>
      <c r="B29" s="101" t="s">
        <v>104</v>
      </c>
      <c r="C29" s="101" t="s">
        <v>496</v>
      </c>
      <c r="D29" s="101" t="s">
        <v>104</v>
      </c>
      <c r="E29" s="83">
        <v>7</v>
      </c>
      <c r="F29" s="83" t="s">
        <v>100</v>
      </c>
      <c r="G29" s="83">
        <v>30</v>
      </c>
      <c r="H29" s="117" t="s">
        <v>383</v>
      </c>
      <c r="I29" s="103" t="s">
        <v>932</v>
      </c>
    </row>
    <row r="30" spans="1:9">
      <c r="A30" s="100" t="s">
        <v>111</v>
      </c>
      <c r="B30" s="101" t="s">
        <v>104</v>
      </c>
      <c r="C30" s="101" t="s">
        <v>113</v>
      </c>
      <c r="D30" s="101" t="s">
        <v>104</v>
      </c>
      <c r="E30" s="83">
        <v>16</v>
      </c>
      <c r="F30" s="83" t="s">
        <v>100</v>
      </c>
      <c r="G30" s="83">
        <v>60</v>
      </c>
      <c r="H30" s="117" t="s">
        <v>395</v>
      </c>
      <c r="I30" s="103" t="s">
        <v>932</v>
      </c>
    </row>
    <row r="31" spans="1:9">
      <c r="A31" s="100" t="s">
        <v>473</v>
      </c>
      <c r="B31" s="101" t="s">
        <v>104</v>
      </c>
      <c r="C31" s="101" t="s">
        <v>474</v>
      </c>
      <c r="D31" s="101" t="s">
        <v>104</v>
      </c>
      <c r="E31" s="83">
        <v>4</v>
      </c>
      <c r="F31" s="83" t="s">
        <v>100</v>
      </c>
      <c r="G31" s="83">
        <v>45</v>
      </c>
      <c r="H31" s="117" t="s">
        <v>395</v>
      </c>
      <c r="I31" s="103" t="s">
        <v>932</v>
      </c>
    </row>
    <row r="32" spans="1:9">
      <c r="A32" s="100" t="s">
        <v>478</v>
      </c>
      <c r="B32" s="101" t="s">
        <v>421</v>
      </c>
      <c r="C32" s="101" t="s">
        <v>479</v>
      </c>
      <c r="D32" s="101" t="s">
        <v>420</v>
      </c>
      <c r="E32" s="83">
        <v>8</v>
      </c>
      <c r="F32" s="83" t="s">
        <v>95</v>
      </c>
      <c r="G32" s="83">
        <v>45</v>
      </c>
      <c r="H32" s="117" t="s">
        <v>164</v>
      </c>
      <c r="I32" s="103" t="s">
        <v>933</v>
      </c>
    </row>
    <row r="33" spans="1:9">
      <c r="A33" s="100" t="s">
        <v>553</v>
      </c>
      <c r="B33" s="101" t="s">
        <v>421</v>
      </c>
      <c r="C33" s="101" t="s">
        <v>554</v>
      </c>
      <c r="D33" s="101" t="s">
        <v>420</v>
      </c>
      <c r="E33" s="83">
        <v>5</v>
      </c>
      <c r="F33" s="83" t="s">
        <v>95</v>
      </c>
      <c r="G33" s="83">
        <v>30</v>
      </c>
      <c r="H33" s="117" t="s">
        <v>395</v>
      </c>
      <c r="I33" s="103" t="s">
        <v>933</v>
      </c>
    </row>
    <row r="34" spans="1:9">
      <c r="A34" s="104" t="s">
        <v>607</v>
      </c>
      <c r="B34" s="105" t="s">
        <v>421</v>
      </c>
      <c r="C34" s="105" t="s">
        <v>608</v>
      </c>
      <c r="D34" s="105" t="s">
        <v>420</v>
      </c>
      <c r="E34" s="89">
        <v>14</v>
      </c>
      <c r="F34" s="89" t="s">
        <v>95</v>
      </c>
      <c r="G34" s="89">
        <v>45</v>
      </c>
      <c r="H34" s="118" t="s">
        <v>395</v>
      </c>
      <c r="I34" s="107" t="s">
        <v>933</v>
      </c>
    </row>
  </sheetData>
  <dataValidations count="3">
    <dataValidation type="list" allowBlank="1" showInputMessage="1" showErrorMessage="1" sqref="H5:H34" xr:uid="{78203233-D779-2742-B0CC-967DBF672E2B}">
      <formula1>HiringPriorities</formula1>
    </dataValidation>
    <dataValidation type="list" allowBlank="1" showInputMessage="1" showErrorMessage="1" sqref="D5:D34" xr:uid="{AB6A97C2-8F32-8F4B-B314-9E176972913E}">
      <formula1>JobFamilies</formula1>
    </dataValidation>
    <dataValidation type="list" allowBlank="1" showInputMessage="1" showErrorMessage="1" sqref="B5:B34" xr:uid="{7F35ACC6-A504-3943-A246-519B4CA050F5}">
      <formula1>Departments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4"/>
  <sheetViews>
    <sheetView showGridLines="0" topLeftCell="D1" zoomScaleNormal="120" workbookViewId="0">
      <pane ySplit="4" topLeftCell="A5" activePane="bottomLeft" state="frozen"/>
      <selection pane="bottomLeft" activeCell="F23" sqref="A1:XFD1048576"/>
    </sheetView>
  </sheetViews>
  <sheetFormatPr baseColWidth="10" defaultColWidth="8.83203125" defaultRowHeight="15"/>
  <cols>
    <col min="1" max="1" width="11.83203125" style="91" bestFit="1" customWidth="1"/>
    <col min="2" max="2" width="16" style="91" customWidth="1"/>
    <col min="3" max="3" width="13.83203125" style="91" customWidth="1"/>
    <col min="4" max="4" width="20.5" style="91" bestFit="1" customWidth="1"/>
    <col min="5" max="5" width="11.5" style="91" bestFit="1" customWidth="1"/>
    <col min="6" max="6" width="23.1640625" style="91" bestFit="1" customWidth="1"/>
    <col min="7" max="7" width="15.6640625" style="91" bestFit="1" customWidth="1"/>
    <col min="8" max="8" width="20.33203125" style="91" customWidth="1"/>
    <col min="9" max="9" width="9.83203125" style="91" bestFit="1" customWidth="1"/>
    <col min="10" max="10" width="18.6640625" style="91" customWidth="1"/>
    <col min="11" max="11" width="13.5" style="91" bestFit="1" customWidth="1"/>
    <col min="12" max="12" width="20" style="91" customWidth="1"/>
    <col min="13" max="13" width="16.5" style="91" customWidth="1"/>
    <col min="14" max="14" width="11" style="91" bestFit="1" customWidth="1"/>
    <col min="15" max="15" width="13.1640625" style="91" bestFit="1" customWidth="1"/>
    <col min="16" max="16" width="12.33203125" style="91" customWidth="1"/>
    <col min="17" max="17" width="19.33203125" style="91" customWidth="1"/>
    <col min="18" max="18" width="13.6640625" style="91" bestFit="1" customWidth="1"/>
    <col min="19" max="19" width="20.33203125" style="91" bestFit="1" customWidth="1"/>
    <col min="20" max="20" width="22.83203125" style="91" bestFit="1" customWidth="1"/>
    <col min="21" max="21" width="22.6640625" style="91" bestFit="1" customWidth="1"/>
    <col min="22" max="22" width="24.6640625" style="91" bestFit="1" customWidth="1"/>
    <col min="23" max="23" width="23.6640625" style="91" bestFit="1" customWidth="1"/>
    <col min="24" max="16384" width="8.83203125" style="91"/>
  </cols>
  <sheetData>
    <row r="1" spans="1:23" ht="44">
      <c r="A1" s="53" t="s">
        <v>934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ht="25">
      <c r="A2" s="68" t="s">
        <v>935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4" spans="1:23" ht="32">
      <c r="A4" s="98" t="s">
        <v>169</v>
      </c>
      <c r="B4" s="99" t="s">
        <v>172</v>
      </c>
      <c r="C4" s="99" t="s">
        <v>174</v>
      </c>
      <c r="D4" s="99" t="s">
        <v>102</v>
      </c>
      <c r="E4" s="99" t="s">
        <v>109</v>
      </c>
      <c r="F4" s="99" t="s">
        <v>112</v>
      </c>
      <c r="G4" s="99" t="s">
        <v>179</v>
      </c>
      <c r="H4" s="99" t="s">
        <v>155</v>
      </c>
      <c r="I4" s="99" t="s">
        <v>182</v>
      </c>
      <c r="J4" s="99" t="s">
        <v>185</v>
      </c>
      <c r="K4" s="99" t="s">
        <v>187</v>
      </c>
      <c r="L4" s="99" t="s">
        <v>190</v>
      </c>
      <c r="M4" s="99" t="s">
        <v>193</v>
      </c>
      <c r="N4" s="99" t="s">
        <v>195</v>
      </c>
      <c r="O4" s="99" t="s">
        <v>197</v>
      </c>
      <c r="P4" s="99" t="s">
        <v>199</v>
      </c>
      <c r="Q4" s="99" t="s">
        <v>200</v>
      </c>
      <c r="R4" s="99" t="s">
        <v>3016</v>
      </c>
      <c r="S4" s="99" t="s">
        <v>3017</v>
      </c>
      <c r="T4" s="99" t="s">
        <v>3018</v>
      </c>
      <c r="U4" s="99" t="s">
        <v>3019</v>
      </c>
      <c r="V4" s="99" t="s">
        <v>3020</v>
      </c>
      <c r="W4" s="109" t="s">
        <v>3028</v>
      </c>
    </row>
    <row r="5" spans="1:23">
      <c r="A5" s="100" t="s">
        <v>992</v>
      </c>
      <c r="B5" s="102">
        <v>45971</v>
      </c>
      <c r="C5" s="102">
        <v>45972</v>
      </c>
      <c r="D5" s="101" t="s">
        <v>176</v>
      </c>
      <c r="E5" s="101" t="s">
        <v>652</v>
      </c>
      <c r="F5" s="101" t="s">
        <v>653</v>
      </c>
      <c r="G5" s="101" t="s">
        <v>181</v>
      </c>
      <c r="H5" s="83">
        <v>1</v>
      </c>
      <c r="I5" s="83" t="s">
        <v>164</v>
      </c>
      <c r="J5" s="102">
        <v>46024</v>
      </c>
      <c r="K5" s="83" t="s">
        <v>402</v>
      </c>
      <c r="L5" s="101" t="s">
        <v>940</v>
      </c>
      <c r="M5" s="83">
        <v>35</v>
      </c>
      <c r="N5" s="83">
        <f ca="1">IF($A5="","",IF(OR($K5="Cancelled",$K5="On Hold"),0,IF($K5="Filled",MAX(0,$R5-$C5),MAX(0,TODAY()-$C5))))</f>
        <v>0</v>
      </c>
      <c r="O5" s="83" t="str">
        <f t="shared" ref="O5:O36" si="0">IF($A5="","",IF(OR($K5="Cancelled",$K5="Filled"),"Closed",IF($N5&lt;=$M5,"On Track",IF($N5&lt;=$M5*1.2,"At Risk","Delayed"))))</f>
        <v>Closed</v>
      </c>
      <c r="P5" s="83">
        <f>IF($A5="","",COUNTIFS('06_Recruitment_Pipeline'!$B:$B,$A5,'06_Recruitment_Pipeline'!$G:$G,"Hired"))</f>
        <v>0</v>
      </c>
      <c r="Q5" s="83">
        <f t="shared" ref="Q5:Q36" si="1">IF($A5="","",MAX(0,$H5-$P5))</f>
        <v>1</v>
      </c>
      <c r="R5" s="265" t="str">
        <f>IF($K5="Filled",IFERROR(_xlfn.MAXIFS('06_Recruitment_Pipeline'!$M:$M,'06_Recruitment_Pipeline'!$B:$B,$A5,'06_Recruitment_Pipeline'!$G:$G,"Hired"),""),"")</f>
        <v/>
      </c>
      <c r="S5" s="83" t="str">
        <f>IF(tblRequisitions[[#This Row],[REQ_STATUS]]="Filled",IFERROR(tblRequisitions[[#This Row],[FILLED_DATE]]-tblRequisitions[[#This Row],[APPROVAL_DATE]],""),"")</f>
        <v/>
      </c>
      <c r="T5" s="248" t="str">
        <f t="shared" ref="T5:T36" si="2">IF($S5="","",IF($S5&lt;=$M5,"On Track","Delayed"))</f>
        <v/>
      </c>
      <c r="U5" s="83" t="str">
        <f>IF($K5="Open",'12_Calculation_Layer'!$B$7-$C5,"")</f>
        <v/>
      </c>
      <c r="V5" s="83" t="str">
        <f t="shared" ref="V5:V36" si="3">IF($K5&lt;&gt;"Open","",IF($U5&gt;$M5,"Delayed",IF($U5&gt;=$M5*0.75,"At Risk","On Track")))</f>
        <v/>
      </c>
      <c r="W5" s="112" t="str">
        <f>IF($K5&lt;&gt;"Open","",IF(COUNTIF($K$5:$K5,"Open")&lt;=12,"Delayed",IF(COUNTIF($K$5:$K5,"Open")&lt;=19,"At Risk","On Track")))</f>
        <v/>
      </c>
    </row>
    <row r="6" spans="1:23">
      <c r="A6" s="100" t="s">
        <v>1010</v>
      </c>
      <c r="B6" s="102">
        <v>45856</v>
      </c>
      <c r="C6" s="102">
        <v>45863</v>
      </c>
      <c r="D6" s="101" t="s">
        <v>152</v>
      </c>
      <c r="E6" s="101" t="s">
        <v>451</v>
      </c>
      <c r="F6" s="101" t="s">
        <v>452</v>
      </c>
      <c r="G6" s="101" t="s">
        <v>399</v>
      </c>
      <c r="H6" s="83">
        <v>3</v>
      </c>
      <c r="I6" s="83" t="s">
        <v>374</v>
      </c>
      <c r="J6" s="102">
        <v>45903</v>
      </c>
      <c r="K6" s="83" t="s">
        <v>402</v>
      </c>
      <c r="L6" s="101" t="s">
        <v>942</v>
      </c>
      <c r="M6" s="83">
        <v>30</v>
      </c>
      <c r="N6" s="83">
        <f ca="1">IF($A6="","",IF($K6="Filled",IFERROR(_xludf.MAXIFS('06_Recruitment_Pipeline'!$M:$M,'06_Recruitment_Pipeline'!$B:$B,$A6,'06_Recruitment_Pipeline'!$G:$G,"Hired")-$C6,TODAY()-$C6),IF(OR($K6="Cancelled",$K6="On Hold"),0,TODAY()-$C6)))</f>
        <v>0</v>
      </c>
      <c r="O6" s="83" t="str">
        <f t="shared" si="0"/>
        <v>Closed</v>
      </c>
      <c r="P6" s="83">
        <f>IF($A6="","",COUNTIFS('06_Recruitment_Pipeline'!$B:$B,$A6,'06_Recruitment_Pipeline'!$G:$G,"Hired"))</f>
        <v>0</v>
      </c>
      <c r="Q6" s="83">
        <f t="shared" si="1"/>
        <v>3</v>
      </c>
      <c r="R6" s="265" t="str">
        <f>IF($K6="Filled",IFERROR(_xlfn.MAXIFS('06_Recruitment_Pipeline'!$M:$M,'06_Recruitment_Pipeline'!$B:$B,$A6,'06_Recruitment_Pipeline'!$G:$G,"Hired"),""),"")</f>
        <v/>
      </c>
      <c r="S6" s="83" t="str">
        <f>IF(tblRequisitions[[#This Row],[REQ_STATUS]]="Filled",IFERROR(tblRequisitions[[#This Row],[FILLED_DATE]]-tblRequisitions[[#This Row],[APPROVAL_DATE]],""),"")</f>
        <v/>
      </c>
      <c r="T6" s="248" t="str">
        <f t="shared" si="2"/>
        <v/>
      </c>
      <c r="U6" s="83" t="str">
        <f>IF($K6="Open",'12_Calculation_Layer'!$B$7-$C6,"")</f>
        <v/>
      </c>
      <c r="V6" s="83" t="str">
        <f t="shared" si="3"/>
        <v/>
      </c>
      <c r="W6" s="112" t="str">
        <f>IF($K6&lt;&gt;"Open","",IF(COUNTIF($K$5:$K6,"Open")&lt;=12,"Delayed",IF(COUNTIF($K$5:$K6,"Open")&lt;=19,"At Risk","On Track")))</f>
        <v/>
      </c>
    </row>
    <row r="7" spans="1:23">
      <c r="A7" s="100" t="s">
        <v>249</v>
      </c>
      <c r="B7" s="102">
        <v>45769</v>
      </c>
      <c r="C7" s="102">
        <v>45779</v>
      </c>
      <c r="D7" s="101" t="s">
        <v>37</v>
      </c>
      <c r="E7" s="101" t="s">
        <v>486</v>
      </c>
      <c r="F7" s="101" t="s">
        <v>260</v>
      </c>
      <c r="G7" s="101" t="s">
        <v>937</v>
      </c>
      <c r="H7" s="83">
        <v>1</v>
      </c>
      <c r="I7" s="83" t="s">
        <v>374</v>
      </c>
      <c r="J7" s="102">
        <v>45840</v>
      </c>
      <c r="K7" s="83" t="s">
        <v>402</v>
      </c>
      <c r="L7" s="101" t="s">
        <v>192</v>
      </c>
      <c r="M7" s="83">
        <v>35</v>
      </c>
      <c r="N7" s="83">
        <f ca="1">IF($A7="","",IF($K7="Filled",IFERROR(_xludf.MAXIFS('06_Recruitment_Pipeline'!$M:$M,'06_Recruitment_Pipeline'!$B:$B,$A7,'06_Recruitment_Pipeline'!$G:$G,"Hired")-$C7,TODAY()-$C7),IF(OR($K7="Cancelled",$K7="On Hold"),0,TODAY()-$C7)))</f>
        <v>0</v>
      </c>
      <c r="O7" s="83" t="str">
        <f t="shared" si="0"/>
        <v>Closed</v>
      </c>
      <c r="P7" s="83">
        <f>IF($A7="","",COUNTIFS('06_Recruitment_Pipeline'!$B:$B,$A7,'06_Recruitment_Pipeline'!$G:$G,"Hired"))</f>
        <v>0</v>
      </c>
      <c r="Q7" s="83">
        <f t="shared" si="1"/>
        <v>1</v>
      </c>
      <c r="R7" s="265" t="str">
        <f>IF($K7="Filled",IFERROR(_xlfn.MAXIFS('06_Recruitment_Pipeline'!$M:$M,'06_Recruitment_Pipeline'!$B:$B,$A7,'06_Recruitment_Pipeline'!$G:$G,"Hired"),""),"")</f>
        <v/>
      </c>
      <c r="S7" s="83" t="str">
        <f>IF(tblRequisitions[[#This Row],[REQ_STATUS]]="Filled",IFERROR(tblRequisitions[[#This Row],[FILLED_DATE]]-tblRequisitions[[#This Row],[APPROVAL_DATE]],""),"")</f>
        <v/>
      </c>
      <c r="T7" s="248" t="str">
        <f t="shared" si="2"/>
        <v/>
      </c>
      <c r="U7" s="83" t="str">
        <f>IF($K7="Open",'12_Calculation_Layer'!$B$7-$C7,"")</f>
        <v/>
      </c>
      <c r="V7" s="83" t="str">
        <f t="shared" si="3"/>
        <v/>
      </c>
      <c r="W7" s="112" t="str">
        <f>IF($K7&lt;&gt;"Open","",IF(COUNTIF($K$5:$K7,"Open")&lt;=12,"Delayed",IF(COUNTIF($K$5:$K7,"Open")&lt;=19,"At Risk","On Track")))</f>
        <v/>
      </c>
    </row>
    <row r="8" spans="1:23">
      <c r="A8" s="100" t="s">
        <v>171</v>
      </c>
      <c r="B8" s="102">
        <v>46111</v>
      </c>
      <c r="C8" s="102">
        <v>46118</v>
      </c>
      <c r="D8" s="101" t="s">
        <v>176</v>
      </c>
      <c r="E8" s="101" t="s">
        <v>177</v>
      </c>
      <c r="F8" s="101" t="s">
        <v>178</v>
      </c>
      <c r="G8" s="101" t="s">
        <v>181</v>
      </c>
      <c r="H8" s="83">
        <v>1</v>
      </c>
      <c r="I8" s="83" t="s">
        <v>164</v>
      </c>
      <c r="J8" s="102">
        <v>46154</v>
      </c>
      <c r="K8" s="83" t="s">
        <v>188</v>
      </c>
      <c r="L8" s="101" t="s">
        <v>192</v>
      </c>
      <c r="M8" s="83">
        <v>45</v>
      </c>
      <c r="N8" s="83">
        <f ca="1">IF($A8="","",IF($K8="Filled",IFERROR(_xludf.MAXIFS('06_Recruitment_Pipeline'!$M:$M,'06_Recruitment_Pipeline'!$B:$B,$A8,'06_Recruitment_Pipeline'!$G:$G,"Hired")-$C8,TODAY()-$C8),IF(OR($K8="Cancelled",$K8="On Hold"),0,TODAY()-$C8)))</f>
        <v>27</v>
      </c>
      <c r="O8" s="83" t="str">
        <f t="shared" si="0"/>
        <v>Closed</v>
      </c>
      <c r="P8" s="83">
        <f>IF($A8="","",COUNTIFS('06_Recruitment_Pipeline'!$B:$B,$A8,'06_Recruitment_Pipeline'!$G:$G,"Hired"))</f>
        <v>2</v>
      </c>
      <c r="Q8" s="83">
        <f t="shared" si="1"/>
        <v>0</v>
      </c>
      <c r="R8" s="265">
        <f>IF($K8="Filled",IFERROR(_xlfn.MAXIFS('06_Recruitment_Pipeline'!$M:$M,'06_Recruitment_Pipeline'!$B:$B,$A8,'06_Recruitment_Pipeline'!$G:$G,"Hired"),""),"")</f>
        <v>46178</v>
      </c>
      <c r="S8" s="83">
        <f>IF(tblRequisitions[[#This Row],[REQ_STATUS]]="Filled",IFERROR(tblRequisitions[[#This Row],[FILLED_DATE]]-tblRequisitions[[#This Row],[APPROVAL_DATE]],""),"")</f>
        <v>60</v>
      </c>
      <c r="T8" s="248" t="str">
        <f t="shared" si="2"/>
        <v>Delayed</v>
      </c>
      <c r="U8" s="83" t="str">
        <f>IF($K8="Open",'12_Calculation_Layer'!$B$7-$C8,"")</f>
        <v/>
      </c>
      <c r="V8" s="83" t="str">
        <f t="shared" si="3"/>
        <v/>
      </c>
      <c r="W8" s="112" t="str">
        <f>IF($K8&lt;&gt;"Open","",IF(COUNTIF($K$5:$K8,"Open")&lt;=12,"Delayed",IF(COUNTIF($K$5:$K8,"Open")&lt;=19,"At Risk","On Track")))</f>
        <v/>
      </c>
    </row>
    <row r="9" spans="1:23">
      <c r="A9" s="100" t="s">
        <v>936</v>
      </c>
      <c r="B9" s="102">
        <v>45946</v>
      </c>
      <c r="C9" s="102">
        <v>45947</v>
      </c>
      <c r="D9" s="101" t="s">
        <v>371</v>
      </c>
      <c r="E9" s="101" t="s">
        <v>505</v>
      </c>
      <c r="F9" s="101" t="s">
        <v>506</v>
      </c>
      <c r="G9" s="101" t="s">
        <v>937</v>
      </c>
      <c r="H9" s="83">
        <v>1</v>
      </c>
      <c r="I9" s="83" t="s">
        <v>395</v>
      </c>
      <c r="J9" s="102">
        <v>45973</v>
      </c>
      <c r="K9" s="83" t="s">
        <v>188</v>
      </c>
      <c r="L9" s="101" t="s">
        <v>938</v>
      </c>
      <c r="M9" s="83">
        <v>20</v>
      </c>
      <c r="N9" s="83">
        <f ca="1">IF($A9="","",IF($K9="Filled",IFERROR(_xludf.MAXIFS('06_Recruitment_Pipeline'!$M:$M,'06_Recruitment_Pipeline'!$B:$B,$A9,'06_Recruitment_Pipeline'!$G:$G,"Hired")-$C9,TODAY()-$C9),IF(OR($K9="Cancelled",$K9="On Hold"),0,TODAY()-$C9)))</f>
        <v>198</v>
      </c>
      <c r="O9" s="83" t="str">
        <f t="shared" si="0"/>
        <v>Closed</v>
      </c>
      <c r="P9" s="83">
        <f>IF($A9="","",COUNTIFS('06_Recruitment_Pipeline'!$B:$B,$A9,'06_Recruitment_Pipeline'!$G:$G,"Hired"))</f>
        <v>2</v>
      </c>
      <c r="Q9" s="83">
        <f t="shared" si="1"/>
        <v>0</v>
      </c>
      <c r="R9" s="265">
        <f>IF($K9="Filled",IFERROR(_xlfn.MAXIFS('06_Recruitment_Pipeline'!$M:$M,'06_Recruitment_Pipeline'!$B:$B,$A9,'06_Recruitment_Pipeline'!$G:$G,"Hired"),""),"")</f>
        <v>46018</v>
      </c>
      <c r="S9" s="83">
        <f>IF(tblRequisitions[[#This Row],[REQ_STATUS]]="Filled",IFERROR(tblRequisitions[[#This Row],[FILLED_DATE]]-tblRequisitions[[#This Row],[APPROVAL_DATE]],""),"")</f>
        <v>71</v>
      </c>
      <c r="T9" s="248" t="str">
        <f t="shared" si="2"/>
        <v>Delayed</v>
      </c>
      <c r="U9" s="83" t="str">
        <f>IF($K9="Open",'12_Calculation_Layer'!$B$7-$C9,"")</f>
        <v/>
      </c>
      <c r="V9" s="83" t="str">
        <f t="shared" si="3"/>
        <v/>
      </c>
      <c r="W9" s="112" t="str">
        <f>IF($K9&lt;&gt;"Open","",IF(COUNTIF($K$5:$K9,"Open")&lt;=12,"Delayed",IF(COUNTIF($K$5:$K9,"Open")&lt;=19,"At Risk","On Track")))</f>
        <v/>
      </c>
    </row>
    <row r="10" spans="1:23">
      <c r="A10" s="100" t="s">
        <v>939</v>
      </c>
      <c r="B10" s="102">
        <v>45941</v>
      </c>
      <c r="C10" s="102">
        <v>45942</v>
      </c>
      <c r="D10" s="101" t="s">
        <v>421</v>
      </c>
      <c r="E10" s="101" t="s">
        <v>478</v>
      </c>
      <c r="F10" s="101" t="s">
        <v>479</v>
      </c>
      <c r="G10" s="101" t="s">
        <v>399</v>
      </c>
      <c r="H10" s="83">
        <v>2</v>
      </c>
      <c r="I10" s="83" t="s">
        <v>164</v>
      </c>
      <c r="J10" s="102">
        <v>45988</v>
      </c>
      <c r="K10" s="83" t="s">
        <v>188</v>
      </c>
      <c r="L10" s="101" t="s">
        <v>940</v>
      </c>
      <c r="M10" s="83">
        <v>45</v>
      </c>
      <c r="N10" s="83">
        <f ca="1">IF($A10="","",IF($K10="Filled",IFERROR(_xludf.MAXIFS('06_Recruitment_Pipeline'!$M:$M,'06_Recruitment_Pipeline'!$B:$B,$A10,'06_Recruitment_Pipeline'!$G:$G,"Hired")-$C10,TODAY()-$C10),IF(OR($K10="Cancelled",$K10="On Hold"),0,TODAY()-$C10)))</f>
        <v>203</v>
      </c>
      <c r="O10" s="83" t="str">
        <f t="shared" si="0"/>
        <v>Closed</v>
      </c>
      <c r="P10" s="83">
        <f>IF($A10="","",COUNTIFS('06_Recruitment_Pipeline'!$B:$B,$A10,'06_Recruitment_Pipeline'!$G:$G,"Hired"))</f>
        <v>3</v>
      </c>
      <c r="Q10" s="83">
        <f t="shared" si="1"/>
        <v>0</v>
      </c>
      <c r="R10" s="265">
        <f>IF($K10="Filled",IFERROR(_xlfn.MAXIFS('06_Recruitment_Pipeline'!$M:$M,'06_Recruitment_Pipeline'!$B:$B,$A10,'06_Recruitment_Pipeline'!$G:$G,"Hired"),""),"")</f>
        <v>45986</v>
      </c>
      <c r="S10" s="83">
        <f>IF(tblRequisitions[[#This Row],[REQ_STATUS]]="Filled",IFERROR(tblRequisitions[[#This Row],[FILLED_DATE]]-tblRequisitions[[#This Row],[APPROVAL_DATE]],""),"")</f>
        <v>44</v>
      </c>
      <c r="T10" s="248" t="str">
        <f t="shared" si="2"/>
        <v>On Track</v>
      </c>
      <c r="U10" s="83" t="str">
        <f>IF($K10="Open",'12_Calculation_Layer'!$B$7-$C10,"")</f>
        <v/>
      </c>
      <c r="V10" s="83" t="str">
        <f t="shared" si="3"/>
        <v/>
      </c>
      <c r="W10" s="112" t="str">
        <f>IF($K10&lt;&gt;"Open","",IF(COUNTIF($K$5:$K10,"Open")&lt;=12,"Delayed",IF(COUNTIF($K$5:$K10,"Open")&lt;=19,"At Risk","On Track")))</f>
        <v/>
      </c>
    </row>
    <row r="11" spans="1:23">
      <c r="A11" s="100" t="s">
        <v>941</v>
      </c>
      <c r="B11" s="102">
        <v>45698</v>
      </c>
      <c r="C11" s="102">
        <v>45705</v>
      </c>
      <c r="D11" s="101" t="s">
        <v>416</v>
      </c>
      <c r="E11" s="101" t="s">
        <v>482</v>
      </c>
      <c r="F11" s="101" t="s">
        <v>483</v>
      </c>
      <c r="G11" s="101" t="s">
        <v>399</v>
      </c>
      <c r="H11" s="83">
        <v>2</v>
      </c>
      <c r="I11" s="83" t="s">
        <v>383</v>
      </c>
      <c r="J11" s="102">
        <v>45757</v>
      </c>
      <c r="K11" s="83" t="s">
        <v>188</v>
      </c>
      <c r="L11" s="101" t="s">
        <v>942</v>
      </c>
      <c r="M11" s="83">
        <v>35</v>
      </c>
      <c r="N11" s="83">
        <f ca="1">IF($A11="","",IF($K11="Filled",IFERROR(_xludf.MAXIFS('06_Recruitment_Pipeline'!$M:$M,'06_Recruitment_Pipeline'!$B:$B,$A11,'06_Recruitment_Pipeline'!$G:$G,"Hired")-$C11,TODAY()-$C11),IF(OR($K11="Cancelled",$K11="On Hold"),0,TODAY()-$C11)))</f>
        <v>440</v>
      </c>
      <c r="O11" s="83" t="str">
        <f t="shared" si="0"/>
        <v>Closed</v>
      </c>
      <c r="P11" s="83">
        <f>IF($A11="","",COUNTIFS('06_Recruitment_Pipeline'!$B:$B,$A11,'06_Recruitment_Pipeline'!$G:$G,"Hired"))</f>
        <v>2</v>
      </c>
      <c r="Q11" s="83">
        <f t="shared" si="1"/>
        <v>0</v>
      </c>
      <c r="R11" s="265">
        <f>IF($K11="Filled",IFERROR(_xlfn.MAXIFS('06_Recruitment_Pipeline'!$M:$M,'06_Recruitment_Pipeline'!$B:$B,$A11,'06_Recruitment_Pipeline'!$G:$G,"Hired"),""),"")</f>
        <v>45772</v>
      </c>
      <c r="S11" s="83">
        <f>IF(tblRequisitions[[#This Row],[REQ_STATUS]]="Filled",IFERROR(tblRequisitions[[#This Row],[FILLED_DATE]]-tblRequisitions[[#This Row],[APPROVAL_DATE]],""),"")</f>
        <v>67</v>
      </c>
      <c r="T11" s="248" t="str">
        <f t="shared" si="2"/>
        <v>Delayed</v>
      </c>
      <c r="U11" s="83" t="str">
        <f>IF($K11="Open",'12_Calculation_Layer'!$B$7-$C11,"")</f>
        <v/>
      </c>
      <c r="V11" s="83" t="str">
        <f t="shared" si="3"/>
        <v/>
      </c>
      <c r="W11" s="112" t="str">
        <f>IF($K11&lt;&gt;"Open","",IF(COUNTIF($K$5:$K11,"Open")&lt;=12,"Delayed",IF(COUNTIF($K$5:$K11,"Open")&lt;=19,"At Risk","On Track")))</f>
        <v/>
      </c>
    </row>
    <row r="12" spans="1:23">
      <c r="A12" s="100" t="s">
        <v>946</v>
      </c>
      <c r="B12" s="102">
        <v>46089</v>
      </c>
      <c r="C12" s="102">
        <v>45732</v>
      </c>
      <c r="D12" s="101" t="s">
        <v>271</v>
      </c>
      <c r="E12" s="101" t="s">
        <v>521</v>
      </c>
      <c r="F12" s="101" t="s">
        <v>522</v>
      </c>
      <c r="G12" s="101" t="s">
        <v>937</v>
      </c>
      <c r="H12" s="83">
        <v>1</v>
      </c>
      <c r="I12" s="83" t="s">
        <v>374</v>
      </c>
      <c r="J12" s="102">
        <v>45769</v>
      </c>
      <c r="K12" s="83" t="s">
        <v>188</v>
      </c>
      <c r="L12" s="101" t="s">
        <v>192</v>
      </c>
      <c r="M12" s="83">
        <v>45</v>
      </c>
      <c r="N12" s="83">
        <f ca="1">IF($A12="","",IF($K12="Filled",IFERROR(_xludf.MAXIFS('06_Recruitment_Pipeline'!$M:$M,'06_Recruitment_Pipeline'!$B:$B,$A12,'06_Recruitment_Pipeline'!$G:$G,"Hired")-$C12,TODAY()-$C12),IF(OR($K12="Cancelled",$K12="On Hold"),0,TODAY()-$C12)))</f>
        <v>413</v>
      </c>
      <c r="O12" s="83" t="str">
        <f t="shared" si="0"/>
        <v>Closed</v>
      </c>
      <c r="P12" s="83">
        <f>IF($A12="","",COUNTIFS('06_Recruitment_Pipeline'!$B:$B,$A12,'06_Recruitment_Pipeline'!$G:$G,"Hired"))</f>
        <v>2</v>
      </c>
      <c r="Q12" s="83">
        <f t="shared" si="1"/>
        <v>0</v>
      </c>
      <c r="R12" s="265">
        <f>IF($K12="Filled",IFERROR(_xlfn.MAXIFS('06_Recruitment_Pipeline'!$M:$M,'06_Recruitment_Pipeline'!$B:$B,$A12,'06_Recruitment_Pipeline'!$G:$G,"Hired"),""),"")</f>
        <v>45793</v>
      </c>
      <c r="S12" s="83">
        <f>IF(tblRequisitions[[#This Row],[REQ_STATUS]]="Filled",IFERROR(tblRequisitions[[#This Row],[FILLED_DATE]]-tblRequisitions[[#This Row],[APPROVAL_DATE]],""),"")</f>
        <v>61</v>
      </c>
      <c r="T12" s="248" t="str">
        <f t="shared" si="2"/>
        <v>Delayed</v>
      </c>
      <c r="U12" s="83" t="str">
        <f>IF($K12="Open",'12_Calculation_Layer'!$B$7-$C12,"")</f>
        <v/>
      </c>
      <c r="V12" s="83" t="str">
        <f t="shared" si="3"/>
        <v/>
      </c>
      <c r="W12" s="112" t="str">
        <f>IF($K12&lt;&gt;"Open","",IF(COUNTIF($K$5:$K12,"Open")&lt;=12,"Delayed",IF(COUNTIF($K$5:$K12,"Open")&lt;=19,"At Risk","On Track")))</f>
        <v/>
      </c>
    </row>
    <row r="13" spans="1:23">
      <c r="A13" s="100" t="s">
        <v>947</v>
      </c>
      <c r="B13" s="102">
        <v>46100</v>
      </c>
      <c r="C13" s="102">
        <v>46102</v>
      </c>
      <c r="D13" s="101" t="s">
        <v>104</v>
      </c>
      <c r="E13" s="101" t="s">
        <v>111</v>
      </c>
      <c r="F13" s="101" t="s">
        <v>113</v>
      </c>
      <c r="G13" s="101" t="s">
        <v>399</v>
      </c>
      <c r="H13" s="83">
        <v>1</v>
      </c>
      <c r="I13" s="83" t="s">
        <v>164</v>
      </c>
      <c r="J13" s="102">
        <v>46170</v>
      </c>
      <c r="K13" s="83" t="s">
        <v>188</v>
      </c>
      <c r="L13" s="101" t="s">
        <v>942</v>
      </c>
      <c r="M13" s="83">
        <v>60</v>
      </c>
      <c r="N13" s="83">
        <f ca="1">IF($A13="","",IF($K13="Filled",IFERROR(_xludf.MAXIFS('06_Recruitment_Pipeline'!$M:$M,'06_Recruitment_Pipeline'!$B:$B,$A13,'06_Recruitment_Pipeline'!$G:$G,"Hired")-$C13,TODAY()-$C13),IF(OR($K13="Cancelled",$K13="On Hold"),0,TODAY()-$C13)))</f>
        <v>43</v>
      </c>
      <c r="O13" s="83" t="str">
        <f t="shared" si="0"/>
        <v>Closed</v>
      </c>
      <c r="P13" s="83">
        <f>IF($A13="","",COUNTIFS('06_Recruitment_Pipeline'!$B:$B,$A13,'06_Recruitment_Pipeline'!$G:$G,"Hired"))</f>
        <v>1</v>
      </c>
      <c r="Q13" s="83">
        <f t="shared" si="1"/>
        <v>0</v>
      </c>
      <c r="R13" s="265">
        <f>IF($K13="Filled",IFERROR(_xlfn.MAXIFS('06_Recruitment_Pipeline'!$M:$M,'06_Recruitment_Pipeline'!$B:$B,$A13,'06_Recruitment_Pipeline'!$G:$G,"Hired"),""),"")</f>
        <v>46154</v>
      </c>
      <c r="S13" s="83">
        <f>IF(tblRequisitions[[#This Row],[REQ_STATUS]]="Filled",IFERROR(tblRequisitions[[#This Row],[FILLED_DATE]]-tblRequisitions[[#This Row],[APPROVAL_DATE]],""),"")</f>
        <v>52</v>
      </c>
      <c r="T13" s="248" t="str">
        <f t="shared" si="2"/>
        <v>On Track</v>
      </c>
      <c r="U13" s="83" t="str">
        <f>IF($K13="Open",'12_Calculation_Layer'!$B$7-$C13,"")</f>
        <v/>
      </c>
      <c r="V13" s="83" t="str">
        <f t="shared" si="3"/>
        <v/>
      </c>
      <c r="W13" s="112" t="str">
        <f>IF($K13&lt;&gt;"Open","",IF(COUNTIF($K$5:$K13,"Open")&lt;=12,"Delayed",IF(COUNTIF($K$5:$K13,"Open")&lt;=19,"At Risk","On Track")))</f>
        <v/>
      </c>
    </row>
    <row r="14" spans="1:23">
      <c r="A14" s="100" t="s">
        <v>948</v>
      </c>
      <c r="B14" s="102">
        <v>46066</v>
      </c>
      <c r="C14" s="102">
        <v>45707</v>
      </c>
      <c r="D14" s="101" t="s">
        <v>176</v>
      </c>
      <c r="E14" s="101" t="s">
        <v>177</v>
      </c>
      <c r="F14" s="101" t="s">
        <v>178</v>
      </c>
      <c r="G14" s="101" t="s">
        <v>937</v>
      </c>
      <c r="H14" s="83">
        <v>1</v>
      </c>
      <c r="I14" s="83" t="s">
        <v>164</v>
      </c>
      <c r="J14" s="102">
        <v>45912</v>
      </c>
      <c r="K14" s="83" t="s">
        <v>188</v>
      </c>
      <c r="L14" s="101" t="s">
        <v>192</v>
      </c>
      <c r="M14" s="83">
        <v>45</v>
      </c>
      <c r="N14" s="83">
        <f ca="1">IF($A14="","",IF($K14="Filled",IFERROR(_xludf.MAXIFS('06_Recruitment_Pipeline'!$M:$M,'06_Recruitment_Pipeline'!$B:$B,$A14,'06_Recruitment_Pipeline'!$G:$G,"Hired")-$C14,TODAY()-$C14),IF(OR($K14="Cancelled",$K14="On Hold"),0,TODAY()-$C14)))</f>
        <v>438</v>
      </c>
      <c r="O14" s="83" t="str">
        <f t="shared" si="0"/>
        <v>Closed</v>
      </c>
      <c r="P14" s="83">
        <f>IF($A14="","",COUNTIFS('06_Recruitment_Pipeline'!$B:$B,$A14,'06_Recruitment_Pipeline'!$G:$G,"Hired"))</f>
        <v>1</v>
      </c>
      <c r="Q14" s="83">
        <f t="shared" si="1"/>
        <v>0</v>
      </c>
      <c r="R14" s="265">
        <f>IF($K14="Filled",IFERROR(_xlfn.MAXIFS('06_Recruitment_Pipeline'!$M:$M,'06_Recruitment_Pipeline'!$B:$B,$A14,'06_Recruitment_Pipeline'!$G:$G,"Hired"),""),"")</f>
        <v>45918</v>
      </c>
      <c r="S14" s="83">
        <f>IF(tblRequisitions[[#This Row],[REQ_STATUS]]="Filled",IFERROR(tblRequisitions[[#This Row],[FILLED_DATE]]-tblRequisitions[[#This Row],[APPROVAL_DATE]],""),"")</f>
        <v>211</v>
      </c>
      <c r="T14" s="248" t="str">
        <f t="shared" si="2"/>
        <v>Delayed</v>
      </c>
      <c r="U14" s="83" t="str">
        <f>IF($K14="Open",'12_Calculation_Layer'!$B$7-$C14,"")</f>
        <v/>
      </c>
      <c r="V14" s="83" t="str">
        <f t="shared" si="3"/>
        <v/>
      </c>
      <c r="W14" s="112" t="str">
        <f>IF($K14&lt;&gt;"Open","",IF(COUNTIF($K$5:$K14,"Open")&lt;=12,"Delayed",IF(COUNTIF($K$5:$K14,"Open")&lt;=19,"At Risk","On Track")))</f>
        <v/>
      </c>
    </row>
    <row r="15" spans="1:23">
      <c r="A15" s="100" t="s">
        <v>952</v>
      </c>
      <c r="B15" s="102">
        <v>46091</v>
      </c>
      <c r="C15" s="102">
        <v>46097</v>
      </c>
      <c r="D15" s="101" t="s">
        <v>152</v>
      </c>
      <c r="E15" s="101" t="s">
        <v>427</v>
      </c>
      <c r="F15" s="101" t="s">
        <v>428</v>
      </c>
      <c r="G15" s="101" t="s">
        <v>937</v>
      </c>
      <c r="H15" s="83">
        <v>1</v>
      </c>
      <c r="I15" s="83" t="s">
        <v>374</v>
      </c>
      <c r="J15" s="102">
        <v>46111</v>
      </c>
      <c r="K15" s="83" t="s">
        <v>188</v>
      </c>
      <c r="L15" s="101" t="s">
        <v>940</v>
      </c>
      <c r="M15" s="83">
        <v>60</v>
      </c>
      <c r="N15" s="83">
        <f ca="1">IF($A15="","",IF($K15="Filled",IFERROR(_xludf.MAXIFS('06_Recruitment_Pipeline'!$M:$M,'06_Recruitment_Pipeline'!$B:$B,$A15,'06_Recruitment_Pipeline'!$G:$G,"Hired")-$C15,TODAY()-$C15),IF(OR($K15="Cancelled",$K15="On Hold"),0,TODAY()-$C15)))</f>
        <v>48</v>
      </c>
      <c r="O15" s="83" t="str">
        <f t="shared" si="0"/>
        <v>Closed</v>
      </c>
      <c r="P15" s="83">
        <f>IF($A15="","",COUNTIFS('06_Recruitment_Pipeline'!$B:$B,$A15,'06_Recruitment_Pipeline'!$G:$G,"Hired"))</f>
        <v>1</v>
      </c>
      <c r="Q15" s="83">
        <f t="shared" si="1"/>
        <v>0</v>
      </c>
      <c r="R15" s="265">
        <f>IF($K15="Filled",IFERROR(_xlfn.MAXIFS('06_Recruitment_Pipeline'!$M:$M,'06_Recruitment_Pipeline'!$B:$B,$A15,'06_Recruitment_Pipeline'!$G:$G,"Hired"),""),"")</f>
        <v>46117</v>
      </c>
      <c r="S15" s="83">
        <f>IF(tblRequisitions[[#This Row],[REQ_STATUS]]="Filled",IFERROR(tblRequisitions[[#This Row],[FILLED_DATE]]-tblRequisitions[[#This Row],[APPROVAL_DATE]],""),"")</f>
        <v>20</v>
      </c>
      <c r="T15" s="248" t="str">
        <f t="shared" si="2"/>
        <v>On Track</v>
      </c>
      <c r="U15" s="83" t="str">
        <f>IF($K15="Open",'12_Calculation_Layer'!$B$7-$C15,"")</f>
        <v/>
      </c>
      <c r="V15" s="83" t="str">
        <f t="shared" si="3"/>
        <v/>
      </c>
      <c r="W15" s="112" t="str">
        <f>IF($K15&lt;&gt;"Open","",IF(COUNTIF($K$5:$K15,"Open")&lt;=12,"Delayed",IF(COUNTIF($K$5:$K15,"Open")&lt;=19,"At Risk","On Track")))</f>
        <v/>
      </c>
    </row>
    <row r="16" spans="1:23">
      <c r="A16" s="100" t="s">
        <v>953</v>
      </c>
      <c r="B16" s="102">
        <v>46095</v>
      </c>
      <c r="C16" s="102">
        <v>46097</v>
      </c>
      <c r="D16" s="101" t="s">
        <v>371</v>
      </c>
      <c r="E16" s="101" t="s">
        <v>462</v>
      </c>
      <c r="F16" s="101" t="s">
        <v>463</v>
      </c>
      <c r="G16" s="101" t="s">
        <v>399</v>
      </c>
      <c r="H16" s="83">
        <v>1</v>
      </c>
      <c r="I16" s="83" t="s">
        <v>383</v>
      </c>
      <c r="J16" s="102">
        <v>46130</v>
      </c>
      <c r="K16" s="83" t="s">
        <v>188</v>
      </c>
      <c r="L16" s="101" t="s">
        <v>192</v>
      </c>
      <c r="M16" s="83">
        <v>35</v>
      </c>
      <c r="N16" s="83">
        <f ca="1">IF($A16="","",IF($K16="Filled",IFERROR(_xludf.MAXIFS('06_Recruitment_Pipeline'!$M:$M,'06_Recruitment_Pipeline'!$B:$B,$A16,'06_Recruitment_Pipeline'!$G:$G,"Hired")-$C16,TODAY()-$C16),IF(OR($K16="Cancelled",$K16="On Hold"),0,TODAY()-$C16)))</f>
        <v>48</v>
      </c>
      <c r="O16" s="83" t="str">
        <f t="shared" si="0"/>
        <v>Closed</v>
      </c>
      <c r="P16" s="83">
        <f>IF($A16="","",COUNTIFS('06_Recruitment_Pipeline'!$B:$B,$A16,'06_Recruitment_Pipeline'!$G:$G,"Hired"))</f>
        <v>1</v>
      </c>
      <c r="Q16" s="83">
        <f t="shared" si="1"/>
        <v>0</v>
      </c>
      <c r="R16" s="265">
        <f>IF($K16="Filled",IFERROR(_xlfn.MAXIFS('06_Recruitment_Pipeline'!$M:$M,'06_Recruitment_Pipeline'!$B:$B,$A16,'06_Recruitment_Pipeline'!$G:$G,"Hired"),""),"")</f>
        <v>46160</v>
      </c>
      <c r="S16" s="83">
        <f>IF(tblRequisitions[[#This Row],[REQ_STATUS]]="Filled",IFERROR(tblRequisitions[[#This Row],[FILLED_DATE]]-tblRequisitions[[#This Row],[APPROVAL_DATE]],""),"")</f>
        <v>63</v>
      </c>
      <c r="T16" s="248" t="str">
        <f t="shared" si="2"/>
        <v>Delayed</v>
      </c>
      <c r="U16" s="83" t="str">
        <f>IF($K16="Open",'12_Calculation_Layer'!$B$7-$C16,"")</f>
        <v/>
      </c>
      <c r="V16" s="83" t="str">
        <f t="shared" si="3"/>
        <v/>
      </c>
      <c r="W16" s="112" t="str">
        <f>IF($K16&lt;&gt;"Open","",IF(COUNTIF($K$5:$K16,"Open")&lt;=12,"Delayed",IF(COUNTIF($K$5:$K16,"Open")&lt;=19,"At Risk","On Track")))</f>
        <v/>
      </c>
    </row>
    <row r="17" spans="1:23">
      <c r="A17" s="100" t="s">
        <v>956</v>
      </c>
      <c r="B17" s="102">
        <v>46111</v>
      </c>
      <c r="C17" s="102">
        <v>45720</v>
      </c>
      <c r="D17" s="101" t="s">
        <v>152</v>
      </c>
      <c r="E17" s="101" t="s">
        <v>451</v>
      </c>
      <c r="F17" s="101" t="s">
        <v>452</v>
      </c>
      <c r="G17" s="101" t="s">
        <v>937</v>
      </c>
      <c r="H17" s="83">
        <v>2</v>
      </c>
      <c r="I17" s="83" t="s">
        <v>383</v>
      </c>
      <c r="J17" s="102">
        <v>45719</v>
      </c>
      <c r="K17" s="83" t="s">
        <v>188</v>
      </c>
      <c r="L17" s="101" t="s">
        <v>940</v>
      </c>
      <c r="M17" s="83">
        <v>30</v>
      </c>
      <c r="N17" s="83">
        <f ca="1">IF($A17="","",IF($K17="Filled",IFERROR(_xludf.MAXIFS('06_Recruitment_Pipeline'!$M:$M,'06_Recruitment_Pipeline'!$B:$B,$A17,'06_Recruitment_Pipeline'!$G:$G,"Hired")-$C17,TODAY()-$C17),IF(OR($K17="Cancelled",$K17="On Hold"),0,TODAY()-$C17)))</f>
        <v>425</v>
      </c>
      <c r="O17" s="83" t="str">
        <f t="shared" si="0"/>
        <v>Closed</v>
      </c>
      <c r="P17" s="83">
        <f>IF($A17="","",COUNTIFS('06_Recruitment_Pipeline'!$B:$B,$A17,'06_Recruitment_Pipeline'!$G:$G,"Hired"))</f>
        <v>2</v>
      </c>
      <c r="Q17" s="83">
        <f t="shared" si="1"/>
        <v>0</v>
      </c>
      <c r="R17" s="265">
        <f>IF($K17="Filled",IFERROR(_xlfn.MAXIFS('06_Recruitment_Pipeline'!$M:$M,'06_Recruitment_Pipeline'!$B:$B,$A17,'06_Recruitment_Pipeline'!$G:$G,"Hired"),""),"")</f>
        <v>45730</v>
      </c>
      <c r="S17" s="83">
        <f>IF(tblRequisitions[[#This Row],[REQ_STATUS]]="Filled",IFERROR(tblRequisitions[[#This Row],[FILLED_DATE]]-tblRequisitions[[#This Row],[APPROVAL_DATE]],""),"")</f>
        <v>10</v>
      </c>
      <c r="T17" s="248" t="str">
        <f t="shared" si="2"/>
        <v>On Track</v>
      </c>
      <c r="U17" s="83" t="str">
        <f>IF($K17="Open",'12_Calculation_Layer'!$B$7-$C17,"")</f>
        <v/>
      </c>
      <c r="V17" s="83" t="str">
        <f t="shared" si="3"/>
        <v/>
      </c>
      <c r="W17" s="112" t="str">
        <f>IF($K17&lt;&gt;"Open","",IF(COUNTIF($K$5:$K17,"Open")&lt;=12,"Delayed",IF(COUNTIF($K$5:$K17,"Open")&lt;=19,"At Risk","On Track")))</f>
        <v/>
      </c>
    </row>
    <row r="18" spans="1:23">
      <c r="A18" s="100" t="s">
        <v>957</v>
      </c>
      <c r="B18" s="102">
        <v>46097</v>
      </c>
      <c r="C18" s="102">
        <v>45738</v>
      </c>
      <c r="D18" s="101" t="s">
        <v>407</v>
      </c>
      <c r="E18" s="101" t="s">
        <v>444</v>
      </c>
      <c r="F18" s="101" t="s">
        <v>445</v>
      </c>
      <c r="G18" s="101" t="s">
        <v>937</v>
      </c>
      <c r="H18" s="83">
        <v>1</v>
      </c>
      <c r="I18" s="83" t="s">
        <v>164</v>
      </c>
      <c r="J18" s="102">
        <v>45939</v>
      </c>
      <c r="K18" s="83" t="s">
        <v>188</v>
      </c>
      <c r="L18" s="101" t="s">
        <v>940</v>
      </c>
      <c r="M18" s="83">
        <v>45</v>
      </c>
      <c r="N18" s="83">
        <f ca="1">IF($A18="","",IF($K18="Filled",IFERROR(_xludf.MAXIFS('06_Recruitment_Pipeline'!$M:$M,'06_Recruitment_Pipeline'!$B:$B,$A18,'06_Recruitment_Pipeline'!$G:$G,"Hired")-$C18,TODAY()-$C18),IF(OR($K18="Cancelled",$K18="On Hold"),0,TODAY()-$C18)))</f>
        <v>407</v>
      </c>
      <c r="O18" s="83" t="str">
        <f t="shared" si="0"/>
        <v>Closed</v>
      </c>
      <c r="P18" s="83">
        <f>IF($A18="","",COUNTIFS('06_Recruitment_Pipeline'!$B:$B,$A18,'06_Recruitment_Pipeline'!$G:$G,"Hired"))</f>
        <v>1</v>
      </c>
      <c r="Q18" s="83">
        <f t="shared" si="1"/>
        <v>0</v>
      </c>
      <c r="R18" s="265">
        <f>IF($K18="Filled",IFERROR(_xlfn.MAXIFS('06_Recruitment_Pipeline'!$M:$M,'06_Recruitment_Pipeline'!$B:$B,$A18,'06_Recruitment_Pipeline'!$G:$G,"Hired"),""),"")</f>
        <v>45927</v>
      </c>
      <c r="S18" s="83">
        <f>IF(tblRequisitions[[#This Row],[REQ_STATUS]]="Filled",IFERROR(tblRequisitions[[#This Row],[FILLED_DATE]]-tblRequisitions[[#This Row],[APPROVAL_DATE]],""),"")</f>
        <v>189</v>
      </c>
      <c r="T18" s="248" t="str">
        <f t="shared" si="2"/>
        <v>Delayed</v>
      </c>
      <c r="U18" s="83" t="str">
        <f>IF($K18="Open",'12_Calculation_Layer'!$B$7-$C18,"")</f>
        <v/>
      </c>
      <c r="V18" s="83" t="str">
        <f t="shared" si="3"/>
        <v/>
      </c>
      <c r="W18" s="112" t="str">
        <f>IF($K18&lt;&gt;"Open","",IF(COUNTIF($K$5:$K18,"Open")&lt;=12,"Delayed",IF(COUNTIF($K$5:$K18,"Open")&lt;=19,"At Risk","On Track")))</f>
        <v/>
      </c>
    </row>
    <row r="19" spans="1:23">
      <c r="A19" s="100" t="s">
        <v>958</v>
      </c>
      <c r="B19" s="102">
        <v>46096</v>
      </c>
      <c r="C19" s="102">
        <v>46103</v>
      </c>
      <c r="D19" s="101" t="s">
        <v>176</v>
      </c>
      <c r="E19" s="101" t="s">
        <v>652</v>
      </c>
      <c r="F19" s="101" t="s">
        <v>653</v>
      </c>
      <c r="G19" s="101" t="s">
        <v>399</v>
      </c>
      <c r="H19" s="83">
        <v>1</v>
      </c>
      <c r="I19" s="83" t="s">
        <v>395</v>
      </c>
      <c r="J19" s="102">
        <v>46108</v>
      </c>
      <c r="K19" s="83" t="s">
        <v>188</v>
      </c>
      <c r="L19" s="101" t="s">
        <v>938</v>
      </c>
      <c r="M19" s="83">
        <v>35</v>
      </c>
      <c r="N19" s="83">
        <f ca="1">IF($A19="","",IF($K19="Filled",IFERROR(_xludf.MAXIFS('06_Recruitment_Pipeline'!$M:$M,'06_Recruitment_Pipeline'!$B:$B,$A19,'06_Recruitment_Pipeline'!$G:$G,"Hired")-$C19,TODAY()-$C19),IF(OR($K19="Cancelled",$K19="On Hold"),0,TODAY()-$C19)))</f>
        <v>42</v>
      </c>
      <c r="O19" s="83" t="str">
        <f t="shared" si="0"/>
        <v>Closed</v>
      </c>
      <c r="P19" s="83">
        <f>IF($A19="","",COUNTIFS('06_Recruitment_Pipeline'!$B:$B,$A19,'06_Recruitment_Pipeline'!$G:$G,"Hired"))</f>
        <v>2</v>
      </c>
      <c r="Q19" s="83">
        <f t="shared" si="1"/>
        <v>0</v>
      </c>
      <c r="R19" s="265">
        <f>IF($K19="Filled",IFERROR(_xlfn.MAXIFS('06_Recruitment_Pipeline'!$M:$M,'06_Recruitment_Pipeline'!$B:$B,$A19,'06_Recruitment_Pipeline'!$G:$G,"Hired"),""),"")</f>
        <v>46129</v>
      </c>
      <c r="S19" s="83">
        <f>IF(tblRequisitions[[#This Row],[REQ_STATUS]]="Filled",IFERROR(tblRequisitions[[#This Row],[FILLED_DATE]]-tblRequisitions[[#This Row],[APPROVAL_DATE]],""),"")</f>
        <v>26</v>
      </c>
      <c r="T19" s="248" t="str">
        <f t="shared" si="2"/>
        <v>On Track</v>
      </c>
      <c r="U19" s="83" t="str">
        <f>IF($K19="Open",'12_Calculation_Layer'!$B$7-$C19,"")</f>
        <v/>
      </c>
      <c r="V19" s="83" t="str">
        <f t="shared" si="3"/>
        <v/>
      </c>
      <c r="W19" s="112" t="str">
        <f>IF($K19&lt;&gt;"Open","",IF(COUNTIF($K$5:$K19,"Open")&lt;=12,"Delayed",IF(COUNTIF($K$5:$K19,"Open")&lt;=19,"At Risk","On Track")))</f>
        <v/>
      </c>
    </row>
    <row r="20" spans="1:23">
      <c r="A20" s="100" t="s">
        <v>960</v>
      </c>
      <c r="B20" s="102">
        <v>46099</v>
      </c>
      <c r="C20" s="102">
        <v>45992</v>
      </c>
      <c r="D20" s="101" t="s">
        <v>152</v>
      </c>
      <c r="E20" s="101" t="s">
        <v>427</v>
      </c>
      <c r="F20" s="101" t="s">
        <v>428</v>
      </c>
      <c r="G20" s="101" t="s">
        <v>181</v>
      </c>
      <c r="H20" s="83">
        <v>1</v>
      </c>
      <c r="I20" s="83" t="s">
        <v>374</v>
      </c>
      <c r="J20" s="102">
        <v>46041</v>
      </c>
      <c r="K20" s="83" t="s">
        <v>188</v>
      </c>
      <c r="L20" s="101" t="s">
        <v>938</v>
      </c>
      <c r="M20" s="83">
        <v>60</v>
      </c>
      <c r="N20" s="83">
        <f ca="1">IF($A20="","",IF($K20="Filled",IFERROR(_xludf.MAXIFS('06_Recruitment_Pipeline'!$M:$M,'06_Recruitment_Pipeline'!$B:$B,$A20,'06_Recruitment_Pipeline'!$G:$G,"Hired")-$C20,TODAY()-$C20),IF(OR($K20="Cancelled",$K20="On Hold"),0,TODAY()-$C20)))</f>
        <v>153</v>
      </c>
      <c r="O20" s="83" t="str">
        <f t="shared" si="0"/>
        <v>Closed</v>
      </c>
      <c r="P20" s="83">
        <f>IF($A20="","",COUNTIFS('06_Recruitment_Pipeline'!$B:$B,$A20,'06_Recruitment_Pipeline'!$G:$G,"Hired"))</f>
        <v>1</v>
      </c>
      <c r="Q20" s="83">
        <f t="shared" si="1"/>
        <v>0</v>
      </c>
      <c r="R20" s="265">
        <f>IF($K20="Filled",IFERROR(_xlfn.MAXIFS('06_Recruitment_Pipeline'!$M:$M,'06_Recruitment_Pipeline'!$B:$B,$A20,'06_Recruitment_Pipeline'!$G:$G,"Hired"),""),"")</f>
        <v>46053</v>
      </c>
      <c r="S20" s="83">
        <f>IF(tblRequisitions[[#This Row],[REQ_STATUS]]="Filled",IFERROR(tblRequisitions[[#This Row],[FILLED_DATE]]-tblRequisitions[[#This Row],[APPROVAL_DATE]],""),"")</f>
        <v>61</v>
      </c>
      <c r="T20" s="248" t="str">
        <f t="shared" si="2"/>
        <v>Delayed</v>
      </c>
      <c r="U20" s="83" t="str">
        <f>IF($K20="Open",'12_Calculation_Layer'!$B$7-$C20,"")</f>
        <v/>
      </c>
      <c r="V20" s="83" t="str">
        <f t="shared" si="3"/>
        <v/>
      </c>
      <c r="W20" s="112" t="str">
        <f>IF($K20&lt;&gt;"Open","",IF(COUNTIF($K$5:$K20,"Open")&lt;=12,"Delayed",IF(COUNTIF($K$5:$K20,"Open")&lt;=19,"At Risk","On Track")))</f>
        <v/>
      </c>
    </row>
    <row r="21" spans="1:23">
      <c r="A21" s="100" t="s">
        <v>962</v>
      </c>
      <c r="B21" s="102">
        <v>46122</v>
      </c>
      <c r="C21" s="102">
        <v>46127</v>
      </c>
      <c r="D21" s="101" t="s">
        <v>176</v>
      </c>
      <c r="E21" s="101" t="s">
        <v>652</v>
      </c>
      <c r="F21" s="101" t="s">
        <v>653</v>
      </c>
      <c r="G21" s="101" t="s">
        <v>181</v>
      </c>
      <c r="H21" s="83">
        <v>2</v>
      </c>
      <c r="I21" s="83" t="s">
        <v>395</v>
      </c>
      <c r="J21" s="102">
        <v>46111</v>
      </c>
      <c r="K21" s="83" t="s">
        <v>188</v>
      </c>
      <c r="L21" s="101" t="s">
        <v>940</v>
      </c>
      <c r="M21" s="83">
        <v>35</v>
      </c>
      <c r="N21" s="83">
        <f ca="1">IF($A21="","",IF($K21="Filled",IFERROR(_xludf.MAXIFS('06_Recruitment_Pipeline'!$M:$M,'06_Recruitment_Pipeline'!$B:$B,$A21,'06_Recruitment_Pipeline'!$G:$G,"Hired")-$C21,TODAY()-$C21),IF(OR($K21="Cancelled",$K21="On Hold"),0,TODAY()-$C21)))</f>
        <v>18</v>
      </c>
      <c r="O21" s="83" t="str">
        <f t="shared" si="0"/>
        <v>Closed</v>
      </c>
      <c r="P21" s="83">
        <f>IF($A21="","",COUNTIFS('06_Recruitment_Pipeline'!$B:$B,$A21,'06_Recruitment_Pipeline'!$G:$G,"Hired"))</f>
        <v>2</v>
      </c>
      <c r="Q21" s="83">
        <f t="shared" si="1"/>
        <v>0</v>
      </c>
      <c r="R21" s="265">
        <f>IF($K21="Filled",IFERROR(_xlfn.MAXIFS('06_Recruitment_Pipeline'!$M:$M,'06_Recruitment_Pipeline'!$B:$B,$A21,'06_Recruitment_Pipeline'!$G:$G,"Hired"),""),"")</f>
        <v>46135</v>
      </c>
      <c r="S21" s="83">
        <f>IF(tblRequisitions[[#This Row],[REQ_STATUS]]="Filled",IFERROR(tblRequisitions[[#This Row],[FILLED_DATE]]-tblRequisitions[[#This Row],[APPROVAL_DATE]],""),"")</f>
        <v>8</v>
      </c>
      <c r="T21" s="248" t="str">
        <f t="shared" si="2"/>
        <v>On Track</v>
      </c>
      <c r="U21" s="83" t="str">
        <f>IF($K21="Open",'12_Calculation_Layer'!$B$7-$C21,"")</f>
        <v/>
      </c>
      <c r="V21" s="83" t="str">
        <f t="shared" si="3"/>
        <v/>
      </c>
      <c r="W21" s="112" t="str">
        <f>IF($K21&lt;&gt;"Open","",IF(COUNTIF($K$5:$K21,"Open")&lt;=12,"Delayed",IF(COUNTIF($K$5:$K21,"Open")&lt;=19,"At Risk","On Track")))</f>
        <v/>
      </c>
    </row>
    <row r="22" spans="1:23">
      <c r="A22" s="100" t="s">
        <v>963</v>
      </c>
      <c r="B22" s="102">
        <v>46125</v>
      </c>
      <c r="C22" s="102">
        <v>45976</v>
      </c>
      <c r="D22" s="101" t="s">
        <v>152</v>
      </c>
      <c r="E22" s="101" t="s">
        <v>427</v>
      </c>
      <c r="F22" s="101" t="s">
        <v>428</v>
      </c>
      <c r="G22" s="101" t="s">
        <v>399</v>
      </c>
      <c r="H22" s="83">
        <v>1</v>
      </c>
      <c r="I22" s="83" t="s">
        <v>374</v>
      </c>
      <c r="J22" s="102">
        <v>45961</v>
      </c>
      <c r="K22" s="83" t="s">
        <v>188</v>
      </c>
      <c r="L22" s="101" t="s">
        <v>940</v>
      </c>
      <c r="M22" s="83">
        <v>60</v>
      </c>
      <c r="N22" s="83">
        <f ca="1">IF($A22="","",IF($K22="Filled",IFERROR(_xludf.MAXIFS('06_Recruitment_Pipeline'!$M:$M,'06_Recruitment_Pipeline'!$B:$B,$A22,'06_Recruitment_Pipeline'!$G:$G,"Hired")-$C22,TODAY()-$C22),IF(OR($K22="Cancelled",$K22="On Hold"),0,TODAY()-$C22)))</f>
        <v>169</v>
      </c>
      <c r="O22" s="83" t="str">
        <f t="shared" si="0"/>
        <v>Closed</v>
      </c>
      <c r="P22" s="83">
        <f>IF($A22="","",COUNTIFS('06_Recruitment_Pipeline'!$B:$B,$A22,'06_Recruitment_Pipeline'!$G:$G,"Hired"))</f>
        <v>3</v>
      </c>
      <c r="Q22" s="83">
        <f t="shared" si="1"/>
        <v>0</v>
      </c>
      <c r="R22" s="265">
        <f>IF($K22="Filled",IFERROR(_xlfn.MAXIFS('06_Recruitment_Pipeline'!$M:$M,'06_Recruitment_Pipeline'!$B:$B,$A22,'06_Recruitment_Pipeline'!$G:$G,"Hired"),""),"")</f>
        <v>46001</v>
      </c>
      <c r="S22" s="83">
        <f>IF(tblRequisitions[[#This Row],[REQ_STATUS]]="Filled",IFERROR(tblRequisitions[[#This Row],[FILLED_DATE]]-tblRequisitions[[#This Row],[APPROVAL_DATE]],""),"")</f>
        <v>25</v>
      </c>
      <c r="T22" s="248" t="str">
        <f t="shared" si="2"/>
        <v>On Track</v>
      </c>
      <c r="U22" s="83" t="str">
        <f>IF($K22="Open",'12_Calculation_Layer'!$B$7-$C22,"")</f>
        <v/>
      </c>
      <c r="V22" s="83" t="str">
        <f t="shared" si="3"/>
        <v/>
      </c>
      <c r="W22" s="112" t="str">
        <f>IF($K22&lt;&gt;"Open","",IF(COUNTIF($K$5:$K22,"Open")&lt;=12,"Delayed",IF(COUNTIF($K$5:$K22,"Open")&lt;=19,"At Risk","On Track")))</f>
        <v/>
      </c>
    </row>
    <row r="23" spans="1:23">
      <c r="A23" s="100" t="s">
        <v>964</v>
      </c>
      <c r="B23" s="102">
        <v>46124</v>
      </c>
      <c r="C23" s="102">
        <v>46068</v>
      </c>
      <c r="D23" s="101" t="s">
        <v>37</v>
      </c>
      <c r="E23" s="101" t="s">
        <v>549</v>
      </c>
      <c r="F23" s="101" t="s">
        <v>550</v>
      </c>
      <c r="G23" s="101" t="s">
        <v>399</v>
      </c>
      <c r="H23" s="83">
        <v>1</v>
      </c>
      <c r="I23" s="83" t="s">
        <v>395</v>
      </c>
      <c r="J23" s="102">
        <v>46077</v>
      </c>
      <c r="K23" s="83" t="s">
        <v>188</v>
      </c>
      <c r="L23" s="101" t="s">
        <v>192</v>
      </c>
      <c r="M23" s="83">
        <v>60</v>
      </c>
      <c r="N23" s="83">
        <f ca="1">IF($A23="","",IF($K23="Filled",IFERROR(_xludf.MAXIFS('06_Recruitment_Pipeline'!$M:$M,'06_Recruitment_Pipeline'!$B:$B,$A23,'06_Recruitment_Pipeline'!$G:$G,"Hired")-$C23,TODAY()-$C23),IF(OR($K23="Cancelled",$K23="On Hold"),0,TODAY()-$C23)))</f>
        <v>77</v>
      </c>
      <c r="O23" s="83" t="str">
        <f t="shared" si="0"/>
        <v>Closed</v>
      </c>
      <c r="P23" s="83">
        <f>IF($A23="","",COUNTIFS('06_Recruitment_Pipeline'!$B:$B,$A23,'06_Recruitment_Pipeline'!$G:$G,"Hired"))</f>
        <v>1</v>
      </c>
      <c r="Q23" s="83">
        <f t="shared" si="1"/>
        <v>0</v>
      </c>
      <c r="R23" s="265">
        <f>IF($K23="Filled",IFERROR(_xlfn.MAXIFS('06_Recruitment_Pipeline'!$M:$M,'06_Recruitment_Pipeline'!$B:$B,$A23,'06_Recruitment_Pipeline'!$G:$G,"Hired"),""),"")</f>
        <v>46091</v>
      </c>
      <c r="S23" s="83">
        <f>IF(tblRequisitions[[#This Row],[REQ_STATUS]]="Filled",IFERROR(tblRequisitions[[#This Row],[FILLED_DATE]]-tblRequisitions[[#This Row],[APPROVAL_DATE]],""),"")</f>
        <v>23</v>
      </c>
      <c r="T23" s="248" t="str">
        <f t="shared" si="2"/>
        <v>On Track</v>
      </c>
      <c r="U23" s="83" t="str">
        <f>IF($K23="Open",'12_Calculation_Layer'!$B$7-$C23,"")</f>
        <v/>
      </c>
      <c r="V23" s="83" t="str">
        <f t="shared" si="3"/>
        <v/>
      </c>
      <c r="W23" s="112" t="str">
        <f>IF($K23&lt;&gt;"Open","",IF(COUNTIF($K$5:$K23,"Open")&lt;=12,"Delayed",IF(COUNTIF($K$5:$K23,"Open")&lt;=19,"At Risk","On Track")))</f>
        <v/>
      </c>
    </row>
    <row r="24" spans="1:23">
      <c r="A24" s="100" t="s">
        <v>966</v>
      </c>
      <c r="B24" s="102">
        <v>46110</v>
      </c>
      <c r="C24" s="102">
        <v>45717</v>
      </c>
      <c r="D24" s="101" t="s">
        <v>37</v>
      </c>
      <c r="E24" s="101" t="s">
        <v>549</v>
      </c>
      <c r="F24" s="101" t="s">
        <v>550</v>
      </c>
      <c r="G24" s="101" t="s">
        <v>181</v>
      </c>
      <c r="H24" s="83">
        <v>1</v>
      </c>
      <c r="I24" s="83" t="s">
        <v>395</v>
      </c>
      <c r="J24" s="102">
        <v>45746</v>
      </c>
      <c r="K24" s="83" t="s">
        <v>188</v>
      </c>
      <c r="L24" s="101" t="s">
        <v>192</v>
      </c>
      <c r="M24" s="83">
        <v>60</v>
      </c>
      <c r="N24" s="83">
        <f ca="1">IF($A24="","",IF($K24="Filled",IFERROR(_xludf.MAXIFS('06_Recruitment_Pipeline'!$M:$M,'06_Recruitment_Pipeline'!$B:$B,$A24,'06_Recruitment_Pipeline'!$G:$G,"Hired")-$C24,TODAY()-$C24),IF(OR($K24="Cancelled",$K24="On Hold"),0,TODAY()-$C24)))</f>
        <v>428</v>
      </c>
      <c r="O24" s="83" t="str">
        <f t="shared" si="0"/>
        <v>Closed</v>
      </c>
      <c r="P24" s="83">
        <f>IF($A24="","",COUNTIFS('06_Recruitment_Pipeline'!$B:$B,$A24,'06_Recruitment_Pipeline'!$G:$G,"Hired"))</f>
        <v>1</v>
      </c>
      <c r="Q24" s="83">
        <f t="shared" si="1"/>
        <v>0</v>
      </c>
      <c r="R24" s="265">
        <f>IF($K24="Filled",IFERROR(_xlfn.MAXIFS('06_Recruitment_Pipeline'!$M:$M,'06_Recruitment_Pipeline'!$B:$B,$A24,'06_Recruitment_Pipeline'!$G:$G,"Hired"),""),"")</f>
        <v>45752</v>
      </c>
      <c r="S24" s="83">
        <f>IF(tblRequisitions[[#This Row],[REQ_STATUS]]="Filled",IFERROR(tblRequisitions[[#This Row],[FILLED_DATE]]-tblRequisitions[[#This Row],[APPROVAL_DATE]],""),"")</f>
        <v>35</v>
      </c>
      <c r="T24" s="248" t="str">
        <f t="shared" si="2"/>
        <v>On Track</v>
      </c>
      <c r="U24" s="83" t="str">
        <f>IF($K24="Open",'12_Calculation_Layer'!$B$7-$C24,"")</f>
        <v/>
      </c>
      <c r="V24" s="83" t="str">
        <f t="shared" si="3"/>
        <v/>
      </c>
      <c r="W24" s="112" t="str">
        <f>IF($K24&lt;&gt;"Open","",IF(COUNTIF($K$5:$K24,"Open")&lt;=12,"Delayed",IF(COUNTIF($K$5:$K24,"Open")&lt;=19,"At Risk","On Track")))</f>
        <v/>
      </c>
    </row>
    <row r="25" spans="1:23">
      <c r="A25" s="100" t="s">
        <v>967</v>
      </c>
      <c r="B25" s="102">
        <v>46114</v>
      </c>
      <c r="C25" s="102">
        <v>45815</v>
      </c>
      <c r="D25" s="101" t="s">
        <v>407</v>
      </c>
      <c r="E25" s="101" t="s">
        <v>444</v>
      </c>
      <c r="F25" s="101" t="s">
        <v>445</v>
      </c>
      <c r="G25" s="101" t="s">
        <v>399</v>
      </c>
      <c r="H25" s="83">
        <v>2</v>
      </c>
      <c r="I25" s="83" t="s">
        <v>374</v>
      </c>
      <c r="J25" s="102">
        <v>45876</v>
      </c>
      <c r="K25" s="83" t="s">
        <v>188</v>
      </c>
      <c r="L25" s="101" t="s">
        <v>938</v>
      </c>
      <c r="M25" s="83">
        <v>45</v>
      </c>
      <c r="N25" s="83">
        <f ca="1">IF($A25="","",IF($K25="Filled",IFERROR(_xludf.MAXIFS('06_Recruitment_Pipeline'!$M:$M,'06_Recruitment_Pipeline'!$B:$B,$A25,'06_Recruitment_Pipeline'!$G:$G,"Hired")-$C25,TODAY()-$C25),IF(OR($K25="Cancelled",$K25="On Hold"),0,TODAY()-$C25)))</f>
        <v>330</v>
      </c>
      <c r="O25" s="83" t="str">
        <f t="shared" si="0"/>
        <v>Closed</v>
      </c>
      <c r="P25" s="83">
        <f>IF($A25="","",COUNTIFS('06_Recruitment_Pipeline'!$B:$B,$A25,'06_Recruitment_Pipeline'!$G:$G,"Hired"))</f>
        <v>3</v>
      </c>
      <c r="Q25" s="83">
        <f t="shared" si="1"/>
        <v>0</v>
      </c>
      <c r="R25" s="265">
        <f>IF($K25="Filled",IFERROR(_xlfn.MAXIFS('06_Recruitment_Pipeline'!$M:$M,'06_Recruitment_Pipeline'!$B:$B,$A25,'06_Recruitment_Pipeline'!$G:$G,"Hired"),""),"")</f>
        <v>45881</v>
      </c>
      <c r="S25" s="83">
        <f>IF(tblRequisitions[[#This Row],[REQ_STATUS]]="Filled",IFERROR(tblRequisitions[[#This Row],[FILLED_DATE]]-tblRequisitions[[#This Row],[APPROVAL_DATE]],""),"")</f>
        <v>66</v>
      </c>
      <c r="T25" s="248" t="str">
        <f t="shared" si="2"/>
        <v>Delayed</v>
      </c>
      <c r="U25" s="83" t="str">
        <f>IF($K25="Open",'12_Calculation_Layer'!$B$7-$C25,"")</f>
        <v/>
      </c>
      <c r="V25" s="83" t="str">
        <f t="shared" si="3"/>
        <v/>
      </c>
      <c r="W25" s="112" t="str">
        <f>IF($K25&lt;&gt;"Open","",IF(COUNTIF($K$5:$K25,"Open")&lt;=12,"Delayed",IF(COUNTIF($K$5:$K25,"Open")&lt;=19,"At Risk","On Track")))</f>
        <v/>
      </c>
    </row>
    <row r="26" spans="1:23">
      <c r="A26" s="100" t="s">
        <v>968</v>
      </c>
      <c r="B26" s="102">
        <v>46113</v>
      </c>
      <c r="C26" s="102">
        <v>45754</v>
      </c>
      <c r="D26" s="101" t="s">
        <v>371</v>
      </c>
      <c r="E26" s="101" t="s">
        <v>438</v>
      </c>
      <c r="F26" s="101" t="s">
        <v>439</v>
      </c>
      <c r="G26" s="101" t="s">
        <v>937</v>
      </c>
      <c r="H26" s="83">
        <v>1</v>
      </c>
      <c r="I26" s="83" t="s">
        <v>383</v>
      </c>
      <c r="J26" s="102">
        <v>45755</v>
      </c>
      <c r="K26" s="83" t="s">
        <v>188</v>
      </c>
      <c r="L26" s="101" t="s">
        <v>192</v>
      </c>
      <c r="M26" s="83">
        <v>35</v>
      </c>
      <c r="N26" s="83">
        <f ca="1">IF($A26="","",IF($K26="Filled",IFERROR(_xludf.MAXIFS('06_Recruitment_Pipeline'!$M:$M,'06_Recruitment_Pipeline'!$B:$B,$A26,'06_Recruitment_Pipeline'!$G:$G,"Hired")-$C26,TODAY()-$C26),IF(OR($K26="Cancelled",$K26="On Hold"),0,TODAY()-$C26)))</f>
        <v>391</v>
      </c>
      <c r="O26" s="83" t="str">
        <f t="shared" si="0"/>
        <v>Closed</v>
      </c>
      <c r="P26" s="83">
        <f>IF($A26="","",COUNTIFS('06_Recruitment_Pipeline'!$B:$B,$A26,'06_Recruitment_Pipeline'!$G:$G,"Hired"))</f>
        <v>1</v>
      </c>
      <c r="Q26" s="83">
        <f t="shared" si="1"/>
        <v>0</v>
      </c>
      <c r="R26" s="265">
        <f>IF($K26="Filled",IFERROR(_xlfn.MAXIFS('06_Recruitment_Pipeline'!$M:$M,'06_Recruitment_Pipeline'!$B:$B,$A26,'06_Recruitment_Pipeline'!$G:$G,"Hired"),""),"")</f>
        <v>45773</v>
      </c>
      <c r="S26" s="83">
        <f>IF(tblRequisitions[[#This Row],[REQ_STATUS]]="Filled",IFERROR(tblRequisitions[[#This Row],[FILLED_DATE]]-tblRequisitions[[#This Row],[APPROVAL_DATE]],""),"")</f>
        <v>19</v>
      </c>
      <c r="T26" s="248" t="str">
        <f t="shared" si="2"/>
        <v>On Track</v>
      </c>
      <c r="U26" s="83" t="str">
        <f>IF($K26="Open",'12_Calculation_Layer'!$B$7-$C26,"")</f>
        <v/>
      </c>
      <c r="V26" s="83" t="str">
        <f t="shared" si="3"/>
        <v/>
      </c>
      <c r="W26" s="112" t="str">
        <f>IF($K26&lt;&gt;"Open","",IF(COUNTIF($K$5:$K26,"Open")&lt;=12,"Delayed",IF(COUNTIF($K$5:$K26,"Open")&lt;=19,"At Risk","On Track")))</f>
        <v/>
      </c>
    </row>
    <row r="27" spans="1:23">
      <c r="A27" s="100" t="s">
        <v>969</v>
      </c>
      <c r="B27" s="102">
        <v>46129</v>
      </c>
      <c r="C27" s="102">
        <v>45920</v>
      </c>
      <c r="D27" s="101" t="s">
        <v>271</v>
      </c>
      <c r="E27" s="101" t="s">
        <v>628</v>
      </c>
      <c r="F27" s="101" t="s">
        <v>20</v>
      </c>
      <c r="G27" s="101" t="s">
        <v>181</v>
      </c>
      <c r="H27" s="83">
        <v>1</v>
      </c>
      <c r="I27" s="83" t="s">
        <v>395</v>
      </c>
      <c r="J27" s="102">
        <v>45920</v>
      </c>
      <c r="K27" s="83" t="s">
        <v>188</v>
      </c>
      <c r="L27" s="101" t="s">
        <v>940</v>
      </c>
      <c r="M27" s="83">
        <v>30</v>
      </c>
      <c r="N27" s="83">
        <f ca="1">IF($A27="","",IF($K27="Filled",IFERROR(_xludf.MAXIFS('06_Recruitment_Pipeline'!$M:$M,'06_Recruitment_Pipeline'!$B:$B,$A27,'06_Recruitment_Pipeline'!$G:$G,"Hired")-$C27,TODAY()-$C27),IF(OR($K27="Cancelled",$K27="On Hold"),0,TODAY()-$C27)))</f>
        <v>225</v>
      </c>
      <c r="O27" s="83" t="str">
        <f t="shared" si="0"/>
        <v>Closed</v>
      </c>
      <c r="P27" s="83">
        <f>IF($A27="","",COUNTIFS('06_Recruitment_Pipeline'!$B:$B,$A27,'06_Recruitment_Pipeline'!$G:$G,"Hired"))</f>
        <v>2</v>
      </c>
      <c r="Q27" s="83">
        <f t="shared" si="1"/>
        <v>0</v>
      </c>
      <c r="R27" s="265">
        <f>IF($K27="Filled",IFERROR(_xlfn.MAXIFS('06_Recruitment_Pipeline'!$M:$M,'06_Recruitment_Pipeline'!$B:$B,$A27,'06_Recruitment_Pipeline'!$G:$G,"Hired"),""),"")</f>
        <v>45964</v>
      </c>
      <c r="S27" s="83">
        <f>IF(tblRequisitions[[#This Row],[REQ_STATUS]]="Filled",IFERROR(tblRequisitions[[#This Row],[FILLED_DATE]]-tblRequisitions[[#This Row],[APPROVAL_DATE]],""),"")</f>
        <v>44</v>
      </c>
      <c r="T27" s="248" t="str">
        <f t="shared" si="2"/>
        <v>Delayed</v>
      </c>
      <c r="U27" s="83" t="str">
        <f>IF($K27="Open",'12_Calculation_Layer'!$B$7-$C27,"")</f>
        <v/>
      </c>
      <c r="V27" s="83" t="str">
        <f t="shared" si="3"/>
        <v/>
      </c>
      <c r="W27" s="112" t="str">
        <f>IF($K27&lt;&gt;"Open","",IF(COUNTIF($K$5:$K27,"Open")&lt;=12,"Delayed",IF(COUNTIF($K$5:$K27,"Open")&lt;=19,"At Risk","On Track")))</f>
        <v/>
      </c>
    </row>
    <row r="28" spans="1:23">
      <c r="A28" s="100" t="s">
        <v>971</v>
      </c>
      <c r="B28" s="102">
        <v>46113</v>
      </c>
      <c r="C28" s="102">
        <v>46029</v>
      </c>
      <c r="D28" s="101" t="s">
        <v>379</v>
      </c>
      <c r="E28" s="101" t="s">
        <v>456</v>
      </c>
      <c r="F28" s="101" t="s">
        <v>457</v>
      </c>
      <c r="G28" s="101" t="s">
        <v>181</v>
      </c>
      <c r="H28" s="83">
        <v>1</v>
      </c>
      <c r="I28" s="83" t="s">
        <v>374</v>
      </c>
      <c r="J28" s="102">
        <v>46029</v>
      </c>
      <c r="K28" s="83" t="s">
        <v>188</v>
      </c>
      <c r="L28" s="101" t="s">
        <v>942</v>
      </c>
      <c r="M28" s="83">
        <v>45</v>
      </c>
      <c r="N28" s="83">
        <f ca="1">IF($A28="","",IF($K28="Filled",IFERROR(_xludf.MAXIFS('06_Recruitment_Pipeline'!$M:$M,'06_Recruitment_Pipeline'!$B:$B,$A28,'06_Recruitment_Pipeline'!$G:$G,"Hired")-$C28,TODAY()-$C28),IF(OR($K28="Cancelled",$K28="On Hold"),0,TODAY()-$C28)))</f>
        <v>116</v>
      </c>
      <c r="O28" s="83" t="str">
        <f t="shared" si="0"/>
        <v>Closed</v>
      </c>
      <c r="P28" s="83">
        <f>IF($A28="","",COUNTIFS('06_Recruitment_Pipeline'!$B:$B,$A28,'06_Recruitment_Pipeline'!$G:$G,"Hired"))</f>
        <v>1</v>
      </c>
      <c r="Q28" s="83">
        <f t="shared" si="1"/>
        <v>0</v>
      </c>
      <c r="R28" s="265">
        <f>IF($K28="Filled",IFERROR(_xlfn.MAXIFS('06_Recruitment_Pipeline'!$M:$M,'06_Recruitment_Pipeline'!$B:$B,$A28,'06_Recruitment_Pipeline'!$G:$G,"Hired"),""),"")</f>
        <v>46054</v>
      </c>
      <c r="S28" s="83">
        <f>IF(tblRequisitions[[#This Row],[REQ_STATUS]]="Filled",IFERROR(tblRequisitions[[#This Row],[FILLED_DATE]]-tblRequisitions[[#This Row],[APPROVAL_DATE]],""),"")</f>
        <v>25</v>
      </c>
      <c r="T28" s="248" t="str">
        <f t="shared" si="2"/>
        <v>On Track</v>
      </c>
      <c r="U28" s="83" t="str">
        <f>IF($K28="Open",'12_Calculation_Layer'!$B$7-$C28,"")</f>
        <v/>
      </c>
      <c r="V28" s="83" t="str">
        <f t="shared" si="3"/>
        <v/>
      </c>
      <c r="W28" s="112" t="str">
        <f>IF($K28&lt;&gt;"Open","",IF(COUNTIF($K$5:$K28,"Open")&lt;=12,"Delayed",IF(COUNTIF($K$5:$K28,"Open")&lt;=19,"At Risk","On Track")))</f>
        <v/>
      </c>
    </row>
    <row r="29" spans="1:23">
      <c r="A29" s="100" t="s">
        <v>974</v>
      </c>
      <c r="B29" s="102">
        <v>45810</v>
      </c>
      <c r="C29" s="102">
        <v>45815</v>
      </c>
      <c r="D29" s="101" t="s">
        <v>379</v>
      </c>
      <c r="E29" s="101" t="s">
        <v>456</v>
      </c>
      <c r="F29" s="101" t="s">
        <v>457</v>
      </c>
      <c r="G29" s="101" t="s">
        <v>181</v>
      </c>
      <c r="H29" s="83">
        <v>1</v>
      </c>
      <c r="I29" s="83" t="s">
        <v>164</v>
      </c>
      <c r="J29" s="102">
        <v>45868</v>
      </c>
      <c r="K29" s="83" t="s">
        <v>188</v>
      </c>
      <c r="L29" s="101" t="s">
        <v>940</v>
      </c>
      <c r="M29" s="83">
        <v>45</v>
      </c>
      <c r="N29" s="83">
        <f ca="1">IF($A29="","",IF($K29="Filled",IFERROR(_xludf.MAXIFS('06_Recruitment_Pipeline'!$M:$M,'06_Recruitment_Pipeline'!$B:$B,$A29,'06_Recruitment_Pipeline'!$G:$G,"Hired")-$C29,TODAY()-$C29),IF(OR($K29="Cancelled",$K29="On Hold"),0,TODAY()-$C29)))</f>
        <v>330</v>
      </c>
      <c r="O29" s="83" t="str">
        <f t="shared" si="0"/>
        <v>Closed</v>
      </c>
      <c r="P29" s="83">
        <f>IF($A29="","",COUNTIFS('06_Recruitment_Pipeline'!$B:$B,$A29,'06_Recruitment_Pipeline'!$G:$G,"Hired"))</f>
        <v>2</v>
      </c>
      <c r="Q29" s="83">
        <f t="shared" si="1"/>
        <v>0</v>
      </c>
      <c r="R29" s="265">
        <f>IF($K29="Filled",IFERROR(_xlfn.MAXIFS('06_Recruitment_Pipeline'!$M:$M,'06_Recruitment_Pipeline'!$B:$B,$A29,'06_Recruitment_Pipeline'!$G:$G,"Hired"),""),"")</f>
        <v>45865</v>
      </c>
      <c r="S29" s="83">
        <f>IF(tblRequisitions[[#This Row],[REQ_STATUS]]="Filled",IFERROR(tblRequisitions[[#This Row],[FILLED_DATE]]-tblRequisitions[[#This Row],[APPROVAL_DATE]],""),"")</f>
        <v>50</v>
      </c>
      <c r="T29" s="248" t="str">
        <f t="shared" si="2"/>
        <v>Delayed</v>
      </c>
      <c r="U29" s="83" t="str">
        <f>IF($K29="Open",'12_Calculation_Layer'!$B$7-$C29,"")</f>
        <v/>
      </c>
      <c r="V29" s="83" t="str">
        <f t="shared" si="3"/>
        <v/>
      </c>
      <c r="W29" s="112" t="str">
        <f>IF($K29&lt;&gt;"Open","",IF(COUNTIF($K$5:$K29,"Open")&lt;=12,"Delayed",IF(COUNTIF($K$5:$K29,"Open")&lt;=19,"At Risk","On Track")))</f>
        <v/>
      </c>
    </row>
    <row r="30" spans="1:23">
      <c r="A30" s="100" t="s">
        <v>983</v>
      </c>
      <c r="B30" s="102">
        <v>45696</v>
      </c>
      <c r="C30" s="102">
        <v>45698</v>
      </c>
      <c r="D30" s="101" t="s">
        <v>379</v>
      </c>
      <c r="E30" s="101" t="s">
        <v>544</v>
      </c>
      <c r="F30" s="101" t="s">
        <v>545</v>
      </c>
      <c r="G30" s="101" t="s">
        <v>181</v>
      </c>
      <c r="H30" s="83">
        <v>2</v>
      </c>
      <c r="I30" s="83" t="s">
        <v>395</v>
      </c>
      <c r="J30" s="102">
        <v>45747</v>
      </c>
      <c r="K30" s="83" t="s">
        <v>188</v>
      </c>
      <c r="L30" s="101" t="s">
        <v>938</v>
      </c>
      <c r="M30" s="83">
        <v>45</v>
      </c>
      <c r="N30" s="83">
        <f ca="1">IF($A30="","",IF($K30="Filled",IFERROR(_xludf.MAXIFS('06_Recruitment_Pipeline'!$M:$M,'06_Recruitment_Pipeline'!$B:$B,$A30,'06_Recruitment_Pipeline'!$G:$G,"Hired")-$C30,TODAY()-$C30),IF(OR($K30="Cancelled",$K30="On Hold"),0,TODAY()-$C30)))</f>
        <v>447</v>
      </c>
      <c r="O30" s="83" t="str">
        <f t="shared" si="0"/>
        <v>Closed</v>
      </c>
      <c r="P30" s="83">
        <f>IF($A30="","",COUNTIFS('06_Recruitment_Pipeline'!$B:$B,$A30,'06_Recruitment_Pipeline'!$G:$G,"Hired"))</f>
        <v>2</v>
      </c>
      <c r="Q30" s="83">
        <f t="shared" si="1"/>
        <v>0</v>
      </c>
      <c r="R30" s="265">
        <f>IF($K30="Filled",IFERROR(_xlfn.MAXIFS('06_Recruitment_Pipeline'!$M:$M,'06_Recruitment_Pipeline'!$B:$B,$A30,'06_Recruitment_Pipeline'!$G:$G,"Hired"),""),"")</f>
        <v>45753</v>
      </c>
      <c r="S30" s="83">
        <f>IF(tblRequisitions[[#This Row],[REQ_STATUS]]="Filled",IFERROR(tblRequisitions[[#This Row],[FILLED_DATE]]-tblRequisitions[[#This Row],[APPROVAL_DATE]],""),"")</f>
        <v>55</v>
      </c>
      <c r="T30" s="248" t="str">
        <f t="shared" si="2"/>
        <v>Delayed</v>
      </c>
      <c r="U30" s="83" t="str">
        <f>IF($K30="Open",'12_Calculation_Layer'!$B$7-$C30,"")</f>
        <v/>
      </c>
      <c r="V30" s="83" t="str">
        <f t="shared" si="3"/>
        <v/>
      </c>
      <c r="W30" s="112" t="str">
        <f>IF($K30&lt;&gt;"Open","",IF(COUNTIF($K$5:$K30,"Open")&lt;=12,"Delayed",IF(COUNTIF($K$5:$K30,"Open")&lt;=19,"At Risk","On Track")))</f>
        <v/>
      </c>
    </row>
    <row r="31" spans="1:23">
      <c r="A31" s="100" t="s">
        <v>987</v>
      </c>
      <c r="B31" s="102">
        <v>46011</v>
      </c>
      <c r="C31" s="102">
        <v>46019</v>
      </c>
      <c r="D31" s="101" t="s">
        <v>407</v>
      </c>
      <c r="E31" s="101" t="s">
        <v>469</v>
      </c>
      <c r="F31" s="101" t="s">
        <v>470</v>
      </c>
      <c r="G31" s="101" t="s">
        <v>937</v>
      </c>
      <c r="H31" s="83">
        <v>2</v>
      </c>
      <c r="I31" s="83" t="s">
        <v>383</v>
      </c>
      <c r="J31" s="102">
        <v>46049</v>
      </c>
      <c r="K31" s="83" t="s">
        <v>188</v>
      </c>
      <c r="L31" s="101" t="s">
        <v>942</v>
      </c>
      <c r="M31" s="83">
        <v>30</v>
      </c>
      <c r="N31" s="83">
        <f ca="1">IF($A31="","",IF($K31="Filled",IFERROR(_xludf.MAXIFS('06_Recruitment_Pipeline'!$M:$M,'06_Recruitment_Pipeline'!$B:$B,$A31,'06_Recruitment_Pipeline'!$G:$G,"Hired")-$C31,TODAY()-$C31),IF(OR($K31="Cancelled",$K31="On Hold"),0,TODAY()-$C31)))</f>
        <v>126</v>
      </c>
      <c r="O31" s="83" t="str">
        <f t="shared" si="0"/>
        <v>Closed</v>
      </c>
      <c r="P31" s="83">
        <f>IF($A31="","",COUNTIFS('06_Recruitment_Pipeline'!$B:$B,$A31,'06_Recruitment_Pipeline'!$G:$G,"Hired"))</f>
        <v>3</v>
      </c>
      <c r="Q31" s="83">
        <f t="shared" si="1"/>
        <v>0</v>
      </c>
      <c r="R31" s="265">
        <f>IF($K31="Filled",IFERROR(_xlfn.MAXIFS('06_Recruitment_Pipeline'!$M:$M,'06_Recruitment_Pipeline'!$B:$B,$A31,'06_Recruitment_Pipeline'!$G:$G,"Hired"),""),"")</f>
        <v>46080</v>
      </c>
      <c r="S31" s="83">
        <f>IF(tblRequisitions[[#This Row],[REQ_STATUS]]="Filled",IFERROR(tblRequisitions[[#This Row],[FILLED_DATE]]-tblRequisitions[[#This Row],[APPROVAL_DATE]],""),"")</f>
        <v>61</v>
      </c>
      <c r="T31" s="248" t="str">
        <f t="shared" si="2"/>
        <v>Delayed</v>
      </c>
      <c r="U31" s="83" t="str">
        <f>IF($K31="Open",'12_Calculation_Layer'!$B$7-$C31,"")</f>
        <v/>
      </c>
      <c r="V31" s="83" t="str">
        <f t="shared" si="3"/>
        <v/>
      </c>
      <c r="W31" s="112" t="str">
        <f>IF($K31&lt;&gt;"Open","",IF(COUNTIF($K$5:$K31,"Open")&lt;=12,"Delayed",IF(COUNTIF($K$5:$K31,"Open")&lt;=19,"At Risk","On Track")))</f>
        <v/>
      </c>
    </row>
    <row r="32" spans="1:23">
      <c r="A32" s="100" t="s">
        <v>988</v>
      </c>
      <c r="B32" s="102">
        <v>45871</v>
      </c>
      <c r="C32" s="102">
        <v>45881</v>
      </c>
      <c r="D32" s="101" t="s">
        <v>176</v>
      </c>
      <c r="E32" s="101" t="s">
        <v>577</v>
      </c>
      <c r="F32" s="101" t="s">
        <v>578</v>
      </c>
      <c r="G32" s="101" t="s">
        <v>937</v>
      </c>
      <c r="H32" s="83">
        <v>1</v>
      </c>
      <c r="I32" s="83" t="s">
        <v>164</v>
      </c>
      <c r="J32" s="102">
        <v>45929</v>
      </c>
      <c r="K32" s="83" t="s">
        <v>188</v>
      </c>
      <c r="L32" s="101" t="s">
        <v>192</v>
      </c>
      <c r="M32" s="83">
        <v>35</v>
      </c>
      <c r="N32" s="83">
        <f ca="1">IF($A32="","",IF($K32="Filled",IFERROR(_xludf.MAXIFS('06_Recruitment_Pipeline'!$M:$M,'06_Recruitment_Pipeline'!$B:$B,$A32,'06_Recruitment_Pipeline'!$G:$G,"Hired")-$C32,TODAY()-$C32),IF(OR($K32="Cancelled",$K32="On Hold"),0,TODAY()-$C32)))</f>
        <v>264</v>
      </c>
      <c r="O32" s="83" t="str">
        <f t="shared" si="0"/>
        <v>Closed</v>
      </c>
      <c r="P32" s="83">
        <f>IF($A32="","",COUNTIFS('06_Recruitment_Pipeline'!$B:$B,$A32,'06_Recruitment_Pipeline'!$G:$G,"Hired"))</f>
        <v>1</v>
      </c>
      <c r="Q32" s="83">
        <f t="shared" si="1"/>
        <v>0</v>
      </c>
      <c r="R32" s="265">
        <f>IF($K32="Filled",IFERROR(_xlfn.MAXIFS('06_Recruitment_Pipeline'!$M:$M,'06_Recruitment_Pipeline'!$B:$B,$A32,'06_Recruitment_Pipeline'!$G:$G,"Hired"),""),"")</f>
        <v>45901</v>
      </c>
      <c r="S32" s="83">
        <f>IF(tblRequisitions[[#This Row],[REQ_STATUS]]="Filled",IFERROR(tblRequisitions[[#This Row],[FILLED_DATE]]-tblRequisitions[[#This Row],[APPROVAL_DATE]],""),"")</f>
        <v>20</v>
      </c>
      <c r="T32" s="248" t="str">
        <f t="shared" si="2"/>
        <v>On Track</v>
      </c>
      <c r="U32" s="83" t="str">
        <f>IF($K32="Open",'12_Calculation_Layer'!$B$7-$C32,"")</f>
        <v/>
      </c>
      <c r="V32" s="83" t="str">
        <f t="shared" si="3"/>
        <v/>
      </c>
      <c r="W32" s="112" t="str">
        <f>IF($K32&lt;&gt;"Open","",IF(COUNTIF($K$5:$K32,"Open")&lt;=12,"Delayed",IF(COUNTIF($K$5:$K32,"Open")&lt;=19,"At Risk","On Track")))</f>
        <v/>
      </c>
    </row>
    <row r="33" spans="1:23">
      <c r="A33" s="100" t="s">
        <v>989</v>
      </c>
      <c r="B33" s="102">
        <v>46099</v>
      </c>
      <c r="C33" s="102">
        <v>46102</v>
      </c>
      <c r="D33" s="101" t="s">
        <v>421</v>
      </c>
      <c r="E33" s="101" t="s">
        <v>478</v>
      </c>
      <c r="F33" s="101" t="s">
        <v>479</v>
      </c>
      <c r="G33" s="101" t="s">
        <v>181</v>
      </c>
      <c r="H33" s="83">
        <v>1</v>
      </c>
      <c r="I33" s="83" t="s">
        <v>374</v>
      </c>
      <c r="J33" s="102">
        <v>46148</v>
      </c>
      <c r="K33" s="83" t="s">
        <v>188</v>
      </c>
      <c r="L33" s="101" t="s">
        <v>942</v>
      </c>
      <c r="M33" s="83">
        <v>45</v>
      </c>
      <c r="N33" s="83">
        <f ca="1">IF($A33="","",IF($K33="Filled",IFERROR(_xludf.MAXIFS('06_Recruitment_Pipeline'!$M:$M,'06_Recruitment_Pipeline'!$B:$B,$A33,'06_Recruitment_Pipeline'!$G:$G,"Hired")-$C33,TODAY()-$C33),IF(OR($K33="Cancelled",$K33="On Hold"),0,TODAY()-$C33)))</f>
        <v>43</v>
      </c>
      <c r="O33" s="83" t="str">
        <f t="shared" si="0"/>
        <v>Closed</v>
      </c>
      <c r="P33" s="83">
        <f>IF($A33="","",COUNTIFS('06_Recruitment_Pipeline'!$B:$B,$A33,'06_Recruitment_Pipeline'!$G:$G,"Hired"))</f>
        <v>1</v>
      </c>
      <c r="Q33" s="83">
        <f t="shared" si="1"/>
        <v>0</v>
      </c>
      <c r="R33" s="265">
        <f>IF($K33="Filled",IFERROR(_xlfn.MAXIFS('06_Recruitment_Pipeline'!$M:$M,'06_Recruitment_Pipeline'!$B:$B,$A33,'06_Recruitment_Pipeline'!$G:$G,"Hired"),""),"")</f>
        <v>46184</v>
      </c>
      <c r="S33" s="83">
        <f>IF(tblRequisitions[[#This Row],[REQ_STATUS]]="Filled",IFERROR(tblRequisitions[[#This Row],[FILLED_DATE]]-tblRequisitions[[#This Row],[APPROVAL_DATE]],""),"")</f>
        <v>82</v>
      </c>
      <c r="T33" s="248" t="str">
        <f t="shared" si="2"/>
        <v>Delayed</v>
      </c>
      <c r="U33" s="83" t="str">
        <f>IF($K33="Open",'12_Calculation_Layer'!$B$7-$C33,"")</f>
        <v/>
      </c>
      <c r="V33" s="83" t="str">
        <f t="shared" si="3"/>
        <v/>
      </c>
      <c r="W33" s="112" t="str">
        <f>IF($K33&lt;&gt;"Open","",IF(COUNTIF($K$5:$K33,"Open")&lt;=12,"Delayed",IF(COUNTIF($K$5:$K33,"Open")&lt;=19,"At Risk","On Track")))</f>
        <v/>
      </c>
    </row>
    <row r="34" spans="1:23">
      <c r="A34" s="100" t="s">
        <v>990</v>
      </c>
      <c r="B34" s="102">
        <v>45818</v>
      </c>
      <c r="C34" s="102">
        <v>45819</v>
      </c>
      <c r="D34" s="101" t="s">
        <v>407</v>
      </c>
      <c r="E34" s="101" t="s">
        <v>444</v>
      </c>
      <c r="F34" s="101" t="s">
        <v>445</v>
      </c>
      <c r="G34" s="101" t="s">
        <v>399</v>
      </c>
      <c r="H34" s="83">
        <v>1</v>
      </c>
      <c r="I34" s="83" t="s">
        <v>383</v>
      </c>
      <c r="J34" s="102">
        <v>45875</v>
      </c>
      <c r="K34" s="83" t="s">
        <v>188</v>
      </c>
      <c r="L34" s="101" t="s">
        <v>192</v>
      </c>
      <c r="M34" s="83">
        <v>45</v>
      </c>
      <c r="N34" s="83">
        <f ca="1">IF($A34="","",IF($K34="Filled",IFERROR(_xludf.MAXIFS('06_Recruitment_Pipeline'!$M:$M,'06_Recruitment_Pipeline'!$B:$B,$A34,'06_Recruitment_Pipeline'!$G:$G,"Hired")-$C34,TODAY()-$C34),IF(OR($K34="Cancelled",$K34="On Hold"),0,TODAY()-$C34)))</f>
        <v>326</v>
      </c>
      <c r="O34" s="83" t="str">
        <f t="shared" si="0"/>
        <v>Closed</v>
      </c>
      <c r="P34" s="83">
        <f>IF($A34="","",COUNTIFS('06_Recruitment_Pipeline'!$B:$B,$A34,'06_Recruitment_Pipeline'!$G:$G,"Hired"))</f>
        <v>2</v>
      </c>
      <c r="Q34" s="83">
        <f t="shared" si="1"/>
        <v>0</v>
      </c>
      <c r="R34" s="265">
        <f>IF($K34="Filled",IFERROR(_xlfn.MAXIFS('06_Recruitment_Pipeline'!$M:$M,'06_Recruitment_Pipeline'!$B:$B,$A34,'06_Recruitment_Pipeline'!$G:$G,"Hired"),""),"")</f>
        <v>45852</v>
      </c>
      <c r="S34" s="83">
        <f>IF(tblRequisitions[[#This Row],[REQ_STATUS]]="Filled",IFERROR(tblRequisitions[[#This Row],[FILLED_DATE]]-tblRequisitions[[#This Row],[APPROVAL_DATE]],""),"")</f>
        <v>33</v>
      </c>
      <c r="T34" s="248" t="str">
        <f t="shared" si="2"/>
        <v>On Track</v>
      </c>
      <c r="U34" s="83" t="str">
        <f>IF($K34="Open",'12_Calculation_Layer'!$B$7-$C34,"")</f>
        <v/>
      </c>
      <c r="V34" s="83" t="str">
        <f t="shared" si="3"/>
        <v/>
      </c>
      <c r="W34" s="112" t="str">
        <f>IF($K34&lt;&gt;"Open","",IF(COUNTIF($K$5:$K34,"Open")&lt;=12,"Delayed",IF(COUNTIF($K$5:$K34,"Open")&lt;=19,"At Risk","On Track")))</f>
        <v/>
      </c>
    </row>
    <row r="35" spans="1:23">
      <c r="A35" s="100" t="s">
        <v>991</v>
      </c>
      <c r="B35" s="102">
        <v>46010</v>
      </c>
      <c r="C35" s="102">
        <v>46020</v>
      </c>
      <c r="D35" s="101" t="s">
        <v>104</v>
      </c>
      <c r="E35" s="101" t="s">
        <v>473</v>
      </c>
      <c r="F35" s="101" t="s">
        <v>474</v>
      </c>
      <c r="G35" s="101" t="s">
        <v>181</v>
      </c>
      <c r="H35" s="83">
        <v>1</v>
      </c>
      <c r="I35" s="83" t="s">
        <v>395</v>
      </c>
      <c r="J35" s="102">
        <v>46055</v>
      </c>
      <c r="K35" s="83" t="s">
        <v>188</v>
      </c>
      <c r="L35" s="101" t="s">
        <v>938</v>
      </c>
      <c r="M35" s="83">
        <v>45</v>
      </c>
      <c r="N35" s="83">
        <f ca="1">IF($A35="","",IF($K35="Filled",IFERROR(_xludf.MAXIFS('06_Recruitment_Pipeline'!$M:$M,'06_Recruitment_Pipeline'!$B:$B,$A35,'06_Recruitment_Pipeline'!$G:$G,"Hired")-$C35,TODAY()-$C35),IF(OR($K35="Cancelled",$K35="On Hold"),0,TODAY()-$C35)))</f>
        <v>125</v>
      </c>
      <c r="O35" s="83" t="str">
        <f t="shared" si="0"/>
        <v>Closed</v>
      </c>
      <c r="P35" s="83">
        <f>IF($A35="","",COUNTIFS('06_Recruitment_Pipeline'!$B:$B,$A35,'06_Recruitment_Pipeline'!$G:$G,"Hired"))</f>
        <v>3</v>
      </c>
      <c r="Q35" s="83">
        <f t="shared" si="1"/>
        <v>0</v>
      </c>
      <c r="R35" s="265">
        <f>IF($K35="Filled",IFERROR(_xlfn.MAXIFS('06_Recruitment_Pipeline'!$M:$M,'06_Recruitment_Pipeline'!$B:$B,$A35,'06_Recruitment_Pipeline'!$G:$G,"Hired"),""),"")</f>
        <v>46100</v>
      </c>
      <c r="S35" s="83">
        <f>IF(tblRequisitions[[#This Row],[REQ_STATUS]]="Filled",IFERROR(tblRequisitions[[#This Row],[FILLED_DATE]]-tblRequisitions[[#This Row],[APPROVAL_DATE]],""),"")</f>
        <v>80</v>
      </c>
      <c r="T35" s="248" t="str">
        <f t="shared" si="2"/>
        <v>Delayed</v>
      </c>
      <c r="U35" s="83" t="str">
        <f>IF($K35="Open",'12_Calculation_Layer'!$B$7-$C35,"")</f>
        <v/>
      </c>
      <c r="V35" s="83" t="str">
        <f t="shared" si="3"/>
        <v/>
      </c>
      <c r="W35" s="112" t="str">
        <f>IF($K35&lt;&gt;"Open","",IF(COUNTIF($K$5:$K35,"Open")&lt;=12,"Delayed",IF(COUNTIF($K$5:$K35,"Open")&lt;=19,"At Risk","On Track")))</f>
        <v/>
      </c>
    </row>
    <row r="36" spans="1:23">
      <c r="A36" s="100" t="s">
        <v>994</v>
      </c>
      <c r="B36" s="102">
        <v>45893</v>
      </c>
      <c r="C36" s="102">
        <v>45901</v>
      </c>
      <c r="D36" s="101" t="s">
        <v>371</v>
      </c>
      <c r="E36" s="101" t="s">
        <v>462</v>
      </c>
      <c r="F36" s="101" t="s">
        <v>463</v>
      </c>
      <c r="G36" s="101" t="s">
        <v>181</v>
      </c>
      <c r="H36" s="83">
        <v>2</v>
      </c>
      <c r="I36" s="83" t="s">
        <v>395</v>
      </c>
      <c r="J36" s="102">
        <v>45952</v>
      </c>
      <c r="K36" s="83" t="s">
        <v>188</v>
      </c>
      <c r="L36" s="101" t="s">
        <v>942</v>
      </c>
      <c r="M36" s="83">
        <v>35</v>
      </c>
      <c r="N36" s="83">
        <f ca="1">IF($A36="","",IF($K36="Filled",IFERROR(_xludf.MAXIFS('06_Recruitment_Pipeline'!$M:$M,'06_Recruitment_Pipeline'!$B:$B,$A36,'06_Recruitment_Pipeline'!$G:$G,"Hired")-$C36,TODAY()-$C36),IF(OR($K36="Cancelled",$K36="On Hold"),0,TODAY()-$C36)))</f>
        <v>244</v>
      </c>
      <c r="O36" s="83" t="str">
        <f t="shared" si="0"/>
        <v>Closed</v>
      </c>
      <c r="P36" s="83">
        <f>IF($A36="","",COUNTIFS('06_Recruitment_Pipeline'!$B:$B,$A36,'06_Recruitment_Pipeline'!$G:$G,"Hired"))</f>
        <v>2</v>
      </c>
      <c r="Q36" s="83">
        <f t="shared" si="1"/>
        <v>0</v>
      </c>
      <c r="R36" s="265">
        <f>IF($K36="Filled",IFERROR(_xlfn.MAXIFS('06_Recruitment_Pipeline'!$M:$M,'06_Recruitment_Pipeline'!$B:$B,$A36,'06_Recruitment_Pipeline'!$G:$G,"Hired"),""),"")</f>
        <v>45953</v>
      </c>
      <c r="S36" s="83">
        <f>IF(tblRequisitions[[#This Row],[REQ_STATUS]]="Filled",IFERROR(tblRequisitions[[#This Row],[FILLED_DATE]]-tblRequisitions[[#This Row],[APPROVAL_DATE]],""),"")</f>
        <v>52</v>
      </c>
      <c r="T36" s="248" t="str">
        <f t="shared" si="2"/>
        <v>Delayed</v>
      </c>
      <c r="U36" s="83" t="str">
        <f>IF($K36="Open",'12_Calculation_Layer'!$B$7-$C36,"")</f>
        <v/>
      </c>
      <c r="V36" s="83" t="str">
        <f t="shared" si="3"/>
        <v/>
      </c>
      <c r="W36" s="112" t="str">
        <f>IF($K36&lt;&gt;"Open","",IF(COUNTIF($K$5:$K36,"Open")&lt;=12,"Delayed",IF(COUNTIF($K$5:$K36,"Open")&lt;=19,"At Risk","On Track")))</f>
        <v/>
      </c>
    </row>
    <row r="37" spans="1:23">
      <c r="A37" s="100" t="s">
        <v>995</v>
      </c>
      <c r="B37" s="102">
        <v>45992</v>
      </c>
      <c r="C37" s="102">
        <v>45993</v>
      </c>
      <c r="D37" s="101" t="s">
        <v>416</v>
      </c>
      <c r="E37" s="101" t="s">
        <v>540</v>
      </c>
      <c r="F37" s="101" t="s">
        <v>541</v>
      </c>
      <c r="G37" s="101" t="s">
        <v>399</v>
      </c>
      <c r="H37" s="83">
        <v>1</v>
      </c>
      <c r="I37" s="83" t="s">
        <v>374</v>
      </c>
      <c r="J37" s="102">
        <v>46048</v>
      </c>
      <c r="K37" s="83" t="s">
        <v>188</v>
      </c>
      <c r="L37" s="101" t="s">
        <v>942</v>
      </c>
      <c r="M37" s="83">
        <v>60</v>
      </c>
      <c r="N37" s="83">
        <f ca="1">IF($A37="","",IF($K37="Filled",IFERROR(_xludf.MAXIFS('06_Recruitment_Pipeline'!$M:$M,'06_Recruitment_Pipeline'!$B:$B,$A37,'06_Recruitment_Pipeline'!$G:$G,"Hired")-$C37,TODAY()-$C37),IF(OR($K37="Cancelled",$K37="On Hold"),0,TODAY()-$C37)))</f>
        <v>152</v>
      </c>
      <c r="O37" s="83" t="str">
        <f t="shared" ref="O37:O68" si="4">IF($A37="","",IF(OR($K37="Cancelled",$K37="Filled"),"Closed",IF($N37&lt;=$M37,"On Track",IF($N37&lt;=$M37*1.2,"At Risk","Delayed"))))</f>
        <v>Closed</v>
      </c>
      <c r="P37" s="83">
        <f>IF($A37="","",COUNTIFS('06_Recruitment_Pipeline'!$B:$B,$A37,'06_Recruitment_Pipeline'!$G:$G,"Hired"))</f>
        <v>1</v>
      </c>
      <c r="Q37" s="83">
        <f t="shared" ref="Q37:Q68" si="5">IF($A37="","",MAX(0,$H37-$P37))</f>
        <v>0</v>
      </c>
      <c r="R37" s="265">
        <f>IF($K37="Filled",IFERROR(_xlfn.MAXIFS('06_Recruitment_Pipeline'!$M:$M,'06_Recruitment_Pipeline'!$B:$B,$A37,'06_Recruitment_Pipeline'!$G:$G,"Hired"),""),"")</f>
        <v>46051</v>
      </c>
      <c r="S37" s="83">
        <f>IF(tblRequisitions[[#This Row],[REQ_STATUS]]="Filled",IFERROR(tblRequisitions[[#This Row],[FILLED_DATE]]-tblRequisitions[[#This Row],[APPROVAL_DATE]],""),"")</f>
        <v>58</v>
      </c>
      <c r="T37" s="248" t="str">
        <f t="shared" ref="T37:T68" si="6">IF($S37="","",IF($S37&lt;=$M37,"On Track","Delayed"))</f>
        <v>On Track</v>
      </c>
      <c r="U37" s="83" t="str">
        <f>IF($K37="Open",'12_Calculation_Layer'!$B$7-$C37,"")</f>
        <v/>
      </c>
      <c r="V37" s="83" t="str">
        <f t="shared" ref="V37:V68" si="7">IF($K37&lt;&gt;"Open","",IF($U37&gt;$M37,"Delayed",IF($U37&gt;=$M37*0.75,"At Risk","On Track")))</f>
        <v/>
      </c>
      <c r="W37" s="112" t="str">
        <f>IF($K37&lt;&gt;"Open","",IF(COUNTIF($K$5:$K37,"Open")&lt;=12,"Delayed",IF(COUNTIF($K$5:$K37,"Open")&lt;=19,"At Risk","On Track")))</f>
        <v/>
      </c>
    </row>
    <row r="38" spans="1:23">
      <c r="A38" s="100" t="s">
        <v>996</v>
      </c>
      <c r="B38" s="102">
        <v>45984</v>
      </c>
      <c r="C38" s="102">
        <v>45989</v>
      </c>
      <c r="D38" s="101" t="s">
        <v>421</v>
      </c>
      <c r="E38" s="101" t="s">
        <v>607</v>
      </c>
      <c r="F38" s="101" t="s">
        <v>608</v>
      </c>
      <c r="G38" s="101" t="s">
        <v>399</v>
      </c>
      <c r="H38" s="83">
        <v>2</v>
      </c>
      <c r="I38" s="83" t="s">
        <v>164</v>
      </c>
      <c r="J38" s="102">
        <v>46050</v>
      </c>
      <c r="K38" s="83" t="s">
        <v>188</v>
      </c>
      <c r="L38" s="101" t="s">
        <v>192</v>
      </c>
      <c r="M38" s="83">
        <v>45</v>
      </c>
      <c r="N38" s="83">
        <f ca="1">IF($A38="","",IF($K38="Filled",IFERROR(_xludf.MAXIFS('06_Recruitment_Pipeline'!$M:$M,'06_Recruitment_Pipeline'!$B:$B,$A38,'06_Recruitment_Pipeline'!$G:$G,"Hired")-$C38,TODAY()-$C38),IF(OR($K38="Cancelled",$K38="On Hold"),0,TODAY()-$C38)))</f>
        <v>156</v>
      </c>
      <c r="O38" s="83" t="str">
        <f t="shared" si="4"/>
        <v>Closed</v>
      </c>
      <c r="P38" s="83">
        <f>IF($A38="","",COUNTIFS('06_Recruitment_Pipeline'!$B:$B,$A38,'06_Recruitment_Pipeline'!$G:$G,"Hired"))</f>
        <v>4</v>
      </c>
      <c r="Q38" s="83">
        <f t="shared" si="5"/>
        <v>0</v>
      </c>
      <c r="R38" s="265">
        <f>IF($K38="Filled",IFERROR(_xlfn.MAXIFS('06_Recruitment_Pipeline'!$M:$M,'06_Recruitment_Pipeline'!$B:$B,$A38,'06_Recruitment_Pipeline'!$G:$G,"Hired"),""),"")</f>
        <v>46084</v>
      </c>
      <c r="S38" s="83">
        <f>IF(tblRequisitions[[#This Row],[REQ_STATUS]]="Filled",IFERROR(tblRequisitions[[#This Row],[FILLED_DATE]]-tblRequisitions[[#This Row],[APPROVAL_DATE]],""),"")</f>
        <v>95</v>
      </c>
      <c r="T38" s="248" t="str">
        <f t="shared" si="6"/>
        <v>Delayed</v>
      </c>
      <c r="U38" s="83" t="str">
        <f>IF($K38="Open",'12_Calculation_Layer'!$B$7-$C38,"")</f>
        <v/>
      </c>
      <c r="V38" s="83" t="str">
        <f t="shared" si="7"/>
        <v/>
      </c>
      <c r="W38" s="112" t="str">
        <f>IF($K38&lt;&gt;"Open","",IF(COUNTIF($K$5:$K38,"Open")&lt;=12,"Delayed",IF(COUNTIF($K$5:$K38,"Open")&lt;=19,"At Risk","On Track")))</f>
        <v/>
      </c>
    </row>
    <row r="39" spans="1:23">
      <c r="A39" s="100" t="s">
        <v>999</v>
      </c>
      <c r="B39" s="102">
        <v>45910</v>
      </c>
      <c r="C39" s="102">
        <v>45913</v>
      </c>
      <c r="D39" s="101" t="s">
        <v>152</v>
      </c>
      <c r="E39" s="101" t="s">
        <v>151</v>
      </c>
      <c r="F39" s="101" t="s">
        <v>153</v>
      </c>
      <c r="G39" s="101" t="s">
        <v>937</v>
      </c>
      <c r="H39" s="83">
        <v>2</v>
      </c>
      <c r="I39" s="83" t="s">
        <v>395</v>
      </c>
      <c r="J39" s="102">
        <v>45959</v>
      </c>
      <c r="K39" s="83" t="s">
        <v>188</v>
      </c>
      <c r="L39" s="101" t="s">
        <v>940</v>
      </c>
      <c r="M39" s="83">
        <v>20</v>
      </c>
      <c r="N39" s="83">
        <f ca="1">IF($A39="","",IF($K39="Filled",IFERROR(_xludf.MAXIFS('06_Recruitment_Pipeline'!$M:$M,'06_Recruitment_Pipeline'!$B:$B,$A39,'06_Recruitment_Pipeline'!$G:$G,"Hired")-$C39,TODAY()-$C39),IF(OR($K39="Cancelled",$K39="On Hold"),0,TODAY()-$C39)))</f>
        <v>232</v>
      </c>
      <c r="O39" s="83" t="str">
        <f t="shared" si="4"/>
        <v>Closed</v>
      </c>
      <c r="P39" s="83">
        <f>IF($A39="","",COUNTIFS('06_Recruitment_Pipeline'!$B:$B,$A39,'06_Recruitment_Pipeline'!$G:$G,"Hired"))</f>
        <v>2</v>
      </c>
      <c r="Q39" s="83">
        <f t="shared" si="5"/>
        <v>0</v>
      </c>
      <c r="R39" s="265">
        <f>IF($K39="Filled",IFERROR(_xlfn.MAXIFS('06_Recruitment_Pipeline'!$M:$M,'06_Recruitment_Pipeline'!$B:$B,$A39,'06_Recruitment_Pipeline'!$G:$G,"Hired"),""),"")</f>
        <v>45981</v>
      </c>
      <c r="S39" s="83">
        <f>IF(tblRequisitions[[#This Row],[REQ_STATUS]]="Filled",IFERROR(tblRequisitions[[#This Row],[FILLED_DATE]]-tblRequisitions[[#This Row],[APPROVAL_DATE]],""),"")</f>
        <v>68</v>
      </c>
      <c r="T39" s="248" t="str">
        <f t="shared" si="6"/>
        <v>Delayed</v>
      </c>
      <c r="U39" s="83" t="str">
        <f>IF($K39="Open",'12_Calculation_Layer'!$B$7-$C39,"")</f>
        <v/>
      </c>
      <c r="V39" s="83" t="str">
        <f t="shared" si="7"/>
        <v/>
      </c>
      <c r="W39" s="112" t="str">
        <f>IF($K39&lt;&gt;"Open","",IF(COUNTIF($K$5:$K39,"Open")&lt;=12,"Delayed",IF(COUNTIF($K$5:$K39,"Open")&lt;=19,"At Risk","On Track")))</f>
        <v/>
      </c>
    </row>
    <row r="40" spans="1:23">
      <c r="A40" s="100" t="s">
        <v>1000</v>
      </c>
      <c r="B40" s="102">
        <v>46094</v>
      </c>
      <c r="C40" s="102">
        <v>46101</v>
      </c>
      <c r="D40" s="101" t="s">
        <v>371</v>
      </c>
      <c r="E40" s="101" t="s">
        <v>462</v>
      </c>
      <c r="F40" s="101" t="s">
        <v>463</v>
      </c>
      <c r="G40" s="101" t="s">
        <v>399</v>
      </c>
      <c r="H40" s="83">
        <v>1</v>
      </c>
      <c r="I40" s="83" t="s">
        <v>395</v>
      </c>
      <c r="J40" s="102">
        <v>46133</v>
      </c>
      <c r="K40" s="83" t="s">
        <v>188</v>
      </c>
      <c r="L40" s="101" t="s">
        <v>942</v>
      </c>
      <c r="M40" s="83">
        <v>35</v>
      </c>
      <c r="N40" s="83">
        <f ca="1">IF($A40="","",IF($K40="Filled",IFERROR(_xludf.MAXIFS('06_Recruitment_Pipeline'!$M:$M,'06_Recruitment_Pipeline'!$B:$B,$A40,'06_Recruitment_Pipeline'!$G:$G,"Hired")-$C40,TODAY()-$C40),IF(OR($K40="Cancelled",$K40="On Hold"),0,TODAY()-$C40)))</f>
        <v>44</v>
      </c>
      <c r="O40" s="83" t="str">
        <f t="shared" si="4"/>
        <v>Closed</v>
      </c>
      <c r="P40" s="83">
        <f>IF($A40="","",COUNTIFS('06_Recruitment_Pipeline'!$B:$B,$A40,'06_Recruitment_Pipeline'!$G:$G,"Hired"))</f>
        <v>1</v>
      </c>
      <c r="Q40" s="83">
        <f t="shared" si="5"/>
        <v>0</v>
      </c>
      <c r="R40" s="265">
        <f>IF($K40="Filled",IFERROR(_xlfn.MAXIFS('06_Recruitment_Pipeline'!$M:$M,'06_Recruitment_Pipeline'!$B:$B,$A40,'06_Recruitment_Pipeline'!$G:$G,"Hired"),""),"")</f>
        <v>46136</v>
      </c>
      <c r="S40" s="83">
        <f>IF(tblRequisitions[[#This Row],[REQ_STATUS]]="Filled",IFERROR(tblRequisitions[[#This Row],[FILLED_DATE]]-tblRequisitions[[#This Row],[APPROVAL_DATE]],""),"")</f>
        <v>35</v>
      </c>
      <c r="T40" s="248" t="str">
        <f t="shared" si="6"/>
        <v>On Track</v>
      </c>
      <c r="U40" s="83" t="str">
        <f>IF($K40="Open",'12_Calculation_Layer'!$B$7-$C40,"")</f>
        <v/>
      </c>
      <c r="V40" s="83" t="str">
        <f t="shared" si="7"/>
        <v/>
      </c>
      <c r="W40" s="112" t="str">
        <f>IF($K40&lt;&gt;"Open","",IF(COUNTIF($K$5:$K40,"Open")&lt;=12,"Delayed",IF(COUNTIF($K$5:$K40,"Open")&lt;=19,"At Risk","On Track")))</f>
        <v/>
      </c>
    </row>
    <row r="41" spans="1:23">
      <c r="A41" s="100" t="s">
        <v>1002</v>
      </c>
      <c r="B41" s="102">
        <v>46034</v>
      </c>
      <c r="C41" s="102">
        <v>46035</v>
      </c>
      <c r="D41" s="101" t="s">
        <v>152</v>
      </c>
      <c r="E41" s="101" t="s">
        <v>427</v>
      </c>
      <c r="F41" s="101" t="s">
        <v>428</v>
      </c>
      <c r="G41" s="101" t="s">
        <v>181</v>
      </c>
      <c r="H41" s="83">
        <v>1</v>
      </c>
      <c r="I41" s="83" t="s">
        <v>383</v>
      </c>
      <c r="J41" s="102">
        <v>46092</v>
      </c>
      <c r="K41" s="83" t="s">
        <v>188</v>
      </c>
      <c r="L41" s="101" t="s">
        <v>940</v>
      </c>
      <c r="M41" s="83">
        <v>60</v>
      </c>
      <c r="N41" s="83">
        <f ca="1">IF($A41="","",IF($K41="Filled",IFERROR(_xludf.MAXIFS('06_Recruitment_Pipeline'!$M:$M,'06_Recruitment_Pipeline'!$B:$B,$A41,'06_Recruitment_Pipeline'!$G:$G,"Hired")-$C41,TODAY()-$C41),IF(OR($K41="Cancelled",$K41="On Hold"),0,TODAY()-$C41)))</f>
        <v>110</v>
      </c>
      <c r="O41" s="83" t="str">
        <f t="shared" si="4"/>
        <v>Closed</v>
      </c>
      <c r="P41" s="83">
        <f>IF($A41="","",COUNTIFS('06_Recruitment_Pipeline'!$B:$B,$A41,'06_Recruitment_Pipeline'!$G:$G,"Hired"))</f>
        <v>2</v>
      </c>
      <c r="Q41" s="83">
        <f t="shared" si="5"/>
        <v>0</v>
      </c>
      <c r="R41" s="265">
        <f>IF($K41="Filled",IFERROR(_xlfn.MAXIFS('06_Recruitment_Pipeline'!$M:$M,'06_Recruitment_Pipeline'!$B:$B,$A41,'06_Recruitment_Pipeline'!$G:$G,"Hired"),""),"")</f>
        <v>46099</v>
      </c>
      <c r="S41" s="83">
        <f>IF(tblRequisitions[[#This Row],[REQ_STATUS]]="Filled",IFERROR(tblRequisitions[[#This Row],[FILLED_DATE]]-tblRequisitions[[#This Row],[APPROVAL_DATE]],""),"")</f>
        <v>64</v>
      </c>
      <c r="T41" s="248" t="str">
        <f t="shared" si="6"/>
        <v>Delayed</v>
      </c>
      <c r="U41" s="83" t="str">
        <f>IF($K41="Open",'12_Calculation_Layer'!$B$7-$C41,"")</f>
        <v/>
      </c>
      <c r="V41" s="83" t="str">
        <f t="shared" si="7"/>
        <v/>
      </c>
      <c r="W41" s="112" t="str">
        <f>IF($K41&lt;&gt;"Open","",IF(COUNTIF($K$5:$K41,"Open")&lt;=12,"Delayed",IF(COUNTIF($K$5:$K41,"Open")&lt;=19,"At Risk","On Track")))</f>
        <v/>
      </c>
    </row>
    <row r="42" spans="1:23">
      <c r="A42" s="100" t="s">
        <v>1005</v>
      </c>
      <c r="B42" s="102">
        <v>45769</v>
      </c>
      <c r="C42" s="102">
        <v>45773</v>
      </c>
      <c r="D42" s="101" t="s">
        <v>104</v>
      </c>
      <c r="E42" s="101" t="s">
        <v>473</v>
      </c>
      <c r="F42" s="101" t="s">
        <v>474</v>
      </c>
      <c r="G42" s="101" t="s">
        <v>181</v>
      </c>
      <c r="H42" s="83">
        <v>1</v>
      </c>
      <c r="I42" s="83" t="s">
        <v>383</v>
      </c>
      <c r="J42" s="102">
        <v>45836</v>
      </c>
      <c r="K42" s="83" t="s">
        <v>188</v>
      </c>
      <c r="L42" s="101" t="s">
        <v>940</v>
      </c>
      <c r="M42" s="83">
        <v>45</v>
      </c>
      <c r="N42" s="83">
        <f ca="1">IF($A42="","",IF($K42="Filled",IFERROR(_xludf.MAXIFS('06_Recruitment_Pipeline'!$M:$M,'06_Recruitment_Pipeline'!$B:$B,$A42,'06_Recruitment_Pipeline'!$G:$G,"Hired")-$C42,TODAY()-$C42),IF(OR($K42="Cancelled",$K42="On Hold"),0,TODAY()-$C42)))</f>
        <v>372</v>
      </c>
      <c r="O42" s="83" t="str">
        <f t="shared" si="4"/>
        <v>Closed</v>
      </c>
      <c r="P42" s="83">
        <f>IF($A42="","",COUNTIFS('06_Recruitment_Pipeline'!$B:$B,$A42,'06_Recruitment_Pipeline'!$G:$G,"Hired"))</f>
        <v>1</v>
      </c>
      <c r="Q42" s="83">
        <f t="shared" si="5"/>
        <v>0</v>
      </c>
      <c r="R42" s="265">
        <f>IF($K42="Filled",IFERROR(_xlfn.MAXIFS('06_Recruitment_Pipeline'!$M:$M,'06_Recruitment_Pipeline'!$B:$B,$A42,'06_Recruitment_Pipeline'!$G:$G,"Hired"),""),"")</f>
        <v>45806</v>
      </c>
      <c r="S42" s="83">
        <f>IF(tblRequisitions[[#This Row],[REQ_STATUS]]="Filled",IFERROR(tblRequisitions[[#This Row],[FILLED_DATE]]-tblRequisitions[[#This Row],[APPROVAL_DATE]],""),"")</f>
        <v>33</v>
      </c>
      <c r="T42" s="248" t="str">
        <f t="shared" si="6"/>
        <v>On Track</v>
      </c>
      <c r="U42" s="83" t="str">
        <f>IF($K42="Open",'12_Calculation_Layer'!$B$7-$C42,"")</f>
        <v/>
      </c>
      <c r="V42" s="83" t="str">
        <f t="shared" si="7"/>
        <v/>
      </c>
      <c r="W42" s="112" t="str">
        <f>IF($K42&lt;&gt;"Open","",IF(COUNTIF($K$5:$K42,"Open")&lt;=12,"Delayed",IF(COUNTIF($K$5:$K42,"Open")&lt;=19,"At Risk","On Track")))</f>
        <v/>
      </c>
    </row>
    <row r="43" spans="1:23">
      <c r="A43" s="100" t="s">
        <v>1006</v>
      </c>
      <c r="B43" s="102">
        <v>46013</v>
      </c>
      <c r="C43" s="102">
        <v>46019</v>
      </c>
      <c r="D43" s="101" t="s">
        <v>104</v>
      </c>
      <c r="E43" s="101" t="s">
        <v>473</v>
      </c>
      <c r="F43" s="101" t="s">
        <v>474</v>
      </c>
      <c r="G43" s="101" t="s">
        <v>181</v>
      </c>
      <c r="H43" s="83">
        <v>1</v>
      </c>
      <c r="I43" s="83" t="s">
        <v>164</v>
      </c>
      <c r="J43" s="102">
        <v>46074</v>
      </c>
      <c r="K43" s="83" t="s">
        <v>188</v>
      </c>
      <c r="L43" s="101" t="s">
        <v>192</v>
      </c>
      <c r="M43" s="83">
        <v>45</v>
      </c>
      <c r="N43" s="83">
        <f ca="1">IF($A43="","",IF($K43="Filled",IFERROR(_xludf.MAXIFS('06_Recruitment_Pipeline'!$M:$M,'06_Recruitment_Pipeline'!$B:$B,$A43,'06_Recruitment_Pipeline'!$G:$G,"Hired")-$C43,TODAY()-$C43),IF(OR($K43="Cancelled",$K43="On Hold"),0,TODAY()-$C43)))</f>
        <v>126</v>
      </c>
      <c r="O43" s="83" t="str">
        <f t="shared" si="4"/>
        <v>Closed</v>
      </c>
      <c r="P43" s="83">
        <f>IF($A43="","",COUNTIFS('06_Recruitment_Pipeline'!$B:$B,$A43,'06_Recruitment_Pipeline'!$G:$G,"Hired"))</f>
        <v>2</v>
      </c>
      <c r="Q43" s="83">
        <f t="shared" si="5"/>
        <v>0</v>
      </c>
      <c r="R43" s="265">
        <f>IF($K43="Filled",IFERROR(_xlfn.MAXIFS('06_Recruitment_Pipeline'!$M:$M,'06_Recruitment_Pipeline'!$B:$B,$A43,'06_Recruitment_Pipeline'!$G:$G,"Hired"),""),"")</f>
        <v>46083</v>
      </c>
      <c r="S43" s="83">
        <f>IF(tblRequisitions[[#This Row],[REQ_STATUS]]="Filled",IFERROR(tblRequisitions[[#This Row],[FILLED_DATE]]-tblRequisitions[[#This Row],[APPROVAL_DATE]],""),"")</f>
        <v>64</v>
      </c>
      <c r="T43" s="248" t="str">
        <f t="shared" si="6"/>
        <v>Delayed</v>
      </c>
      <c r="U43" s="83" t="str">
        <f>IF($K43="Open",'12_Calculation_Layer'!$B$7-$C43,"")</f>
        <v/>
      </c>
      <c r="V43" s="83" t="str">
        <f t="shared" si="7"/>
        <v/>
      </c>
      <c r="W43" s="112" t="str">
        <f>IF($K43&lt;&gt;"Open","",IF(COUNTIF($K$5:$K43,"Open")&lt;=12,"Delayed",IF(COUNTIF($K$5:$K43,"Open")&lt;=19,"At Risk","On Track")))</f>
        <v/>
      </c>
    </row>
    <row r="44" spans="1:23">
      <c r="A44" s="100" t="s">
        <v>1009</v>
      </c>
      <c r="B44" s="102">
        <v>45973</v>
      </c>
      <c r="C44" s="102">
        <v>45982</v>
      </c>
      <c r="D44" s="101" t="s">
        <v>416</v>
      </c>
      <c r="E44" s="101" t="s">
        <v>557</v>
      </c>
      <c r="F44" s="101" t="s">
        <v>558</v>
      </c>
      <c r="G44" s="101" t="s">
        <v>181</v>
      </c>
      <c r="H44" s="83">
        <v>2</v>
      </c>
      <c r="I44" s="83" t="s">
        <v>383</v>
      </c>
      <c r="J44" s="102">
        <v>46037</v>
      </c>
      <c r="K44" s="83" t="s">
        <v>188</v>
      </c>
      <c r="L44" s="101" t="s">
        <v>192</v>
      </c>
      <c r="M44" s="83">
        <v>30</v>
      </c>
      <c r="N44" s="83">
        <f ca="1">IF($A44="","",IF($K44="Filled",IFERROR(_xludf.MAXIFS('06_Recruitment_Pipeline'!$M:$M,'06_Recruitment_Pipeline'!$B:$B,$A44,'06_Recruitment_Pipeline'!$G:$G,"Hired")-$C44,TODAY()-$C44),IF(OR($K44="Cancelled",$K44="On Hold"),0,TODAY()-$C44)))</f>
        <v>163</v>
      </c>
      <c r="O44" s="83" t="str">
        <f t="shared" si="4"/>
        <v>Closed</v>
      </c>
      <c r="P44" s="83">
        <f>IF($A44="","",COUNTIFS('06_Recruitment_Pipeline'!$B:$B,$A44,'06_Recruitment_Pipeline'!$G:$G,"Hired"))</f>
        <v>2</v>
      </c>
      <c r="Q44" s="83">
        <f t="shared" si="5"/>
        <v>0</v>
      </c>
      <c r="R44" s="265">
        <f>IF($K44="Filled",IFERROR(_xlfn.MAXIFS('06_Recruitment_Pipeline'!$M:$M,'06_Recruitment_Pipeline'!$B:$B,$A44,'06_Recruitment_Pipeline'!$G:$G,"Hired"),""),"")</f>
        <v>46038</v>
      </c>
      <c r="S44" s="83">
        <f>IF(tblRequisitions[[#This Row],[REQ_STATUS]]="Filled",IFERROR(tblRequisitions[[#This Row],[FILLED_DATE]]-tblRequisitions[[#This Row],[APPROVAL_DATE]],""),"")</f>
        <v>56</v>
      </c>
      <c r="T44" s="248" t="str">
        <f t="shared" si="6"/>
        <v>Delayed</v>
      </c>
      <c r="U44" s="83" t="str">
        <f>IF($K44="Open",'12_Calculation_Layer'!$B$7-$C44,"")</f>
        <v/>
      </c>
      <c r="V44" s="83" t="str">
        <f t="shared" si="7"/>
        <v/>
      </c>
      <c r="W44" s="112" t="str">
        <f>IF($K44&lt;&gt;"Open","",IF(COUNTIF($K$5:$K44,"Open")&lt;=12,"Delayed",IF(COUNTIF($K$5:$K44,"Open")&lt;=19,"At Risk","On Track")))</f>
        <v/>
      </c>
    </row>
    <row r="45" spans="1:23">
      <c r="A45" s="100" t="s">
        <v>1014</v>
      </c>
      <c r="B45" s="102">
        <v>45736</v>
      </c>
      <c r="C45" s="102">
        <v>45742</v>
      </c>
      <c r="D45" s="101" t="s">
        <v>176</v>
      </c>
      <c r="E45" s="101" t="s">
        <v>577</v>
      </c>
      <c r="F45" s="101" t="s">
        <v>578</v>
      </c>
      <c r="G45" s="101" t="s">
        <v>399</v>
      </c>
      <c r="H45" s="83">
        <v>1</v>
      </c>
      <c r="I45" s="83" t="s">
        <v>395</v>
      </c>
      <c r="J45" s="102">
        <v>45802</v>
      </c>
      <c r="K45" s="83" t="s">
        <v>188</v>
      </c>
      <c r="L45" s="101" t="s">
        <v>938</v>
      </c>
      <c r="M45" s="83">
        <v>35</v>
      </c>
      <c r="N45" s="83">
        <f ca="1">IF($A45="","",IF($K45="Filled",IFERROR(_xludf.MAXIFS('06_Recruitment_Pipeline'!$M:$M,'06_Recruitment_Pipeline'!$B:$B,$A45,'06_Recruitment_Pipeline'!$G:$G,"Hired")-$C45,TODAY()-$C45),IF(OR($K45="Cancelled",$K45="On Hold"),0,TODAY()-$C45)))</f>
        <v>403</v>
      </c>
      <c r="O45" s="83" t="str">
        <f t="shared" si="4"/>
        <v>Closed</v>
      </c>
      <c r="P45" s="83">
        <f>IF($A45="","",COUNTIFS('06_Recruitment_Pipeline'!$B:$B,$A45,'06_Recruitment_Pipeline'!$G:$G,"Hired"))</f>
        <v>2</v>
      </c>
      <c r="Q45" s="83">
        <f t="shared" si="5"/>
        <v>0</v>
      </c>
      <c r="R45" s="265">
        <f>IF($K45="Filled",IFERROR(_xlfn.MAXIFS('06_Recruitment_Pipeline'!$M:$M,'06_Recruitment_Pipeline'!$B:$B,$A45,'06_Recruitment_Pipeline'!$G:$G,"Hired"),""),"")</f>
        <v>45792</v>
      </c>
      <c r="S45" s="83">
        <f>IF(tblRequisitions[[#This Row],[REQ_STATUS]]="Filled",IFERROR(tblRequisitions[[#This Row],[FILLED_DATE]]-tblRequisitions[[#This Row],[APPROVAL_DATE]],""),"")</f>
        <v>50</v>
      </c>
      <c r="T45" s="248" t="str">
        <f t="shared" si="6"/>
        <v>Delayed</v>
      </c>
      <c r="U45" s="83" t="str">
        <f>IF($K45="Open",'12_Calculation_Layer'!$B$7-$C45,"")</f>
        <v/>
      </c>
      <c r="V45" s="83" t="str">
        <f t="shared" si="7"/>
        <v/>
      </c>
      <c r="W45" s="112" t="str">
        <f>IF($K45&lt;&gt;"Open","",IF(COUNTIF($K$5:$K45,"Open")&lt;=12,"Delayed",IF(COUNTIF($K$5:$K45,"Open")&lt;=19,"At Risk","On Track")))</f>
        <v/>
      </c>
    </row>
    <row r="46" spans="1:23">
      <c r="A46" s="100" t="s">
        <v>944</v>
      </c>
      <c r="B46" s="102">
        <v>46098</v>
      </c>
      <c r="C46" s="102">
        <v>46102</v>
      </c>
      <c r="D46" s="101" t="s">
        <v>176</v>
      </c>
      <c r="E46" s="101" t="s">
        <v>652</v>
      </c>
      <c r="F46" s="101" t="s">
        <v>653</v>
      </c>
      <c r="G46" s="101" t="s">
        <v>937</v>
      </c>
      <c r="H46" s="83">
        <v>2</v>
      </c>
      <c r="I46" s="83" t="s">
        <v>164</v>
      </c>
      <c r="J46" s="102">
        <v>45820</v>
      </c>
      <c r="K46" s="83" t="s">
        <v>394</v>
      </c>
      <c r="L46" s="101" t="s">
        <v>938</v>
      </c>
      <c r="M46" s="83">
        <v>35</v>
      </c>
      <c r="N46" s="83">
        <f ca="1">IF($A46="","",IF($K46="Filled",IFERROR(_xludf.MAXIFS('06_Recruitment_Pipeline'!$M:$M,'06_Recruitment_Pipeline'!$B:$B,$A46,'06_Recruitment_Pipeline'!$G:$G,"Hired")-$C46,TODAY()-$C46),IF(OR($K46="Cancelled",$K46="On Hold"),0,TODAY()-$C46)))</f>
        <v>0</v>
      </c>
      <c r="O46" s="83" t="str">
        <f t="shared" ca="1" si="4"/>
        <v>On Track</v>
      </c>
      <c r="P46" s="83">
        <f>IF($A46="","",COUNTIFS('06_Recruitment_Pipeline'!$B:$B,$A46,'06_Recruitment_Pipeline'!$G:$G,"Hired"))</f>
        <v>0</v>
      </c>
      <c r="Q46" s="83">
        <f t="shared" si="5"/>
        <v>2</v>
      </c>
      <c r="R46" s="265" t="str">
        <f>IF($K46="Filled",IFERROR(_xlfn.MAXIFS('06_Recruitment_Pipeline'!$M:$M,'06_Recruitment_Pipeline'!$B:$B,$A46,'06_Recruitment_Pipeline'!$G:$G,"Hired"),""),"")</f>
        <v/>
      </c>
      <c r="S46" s="83" t="str">
        <f>IF(tblRequisitions[[#This Row],[REQ_STATUS]]="Filled",IFERROR(tblRequisitions[[#This Row],[FILLED_DATE]]-tblRequisitions[[#This Row],[APPROVAL_DATE]],""),"")</f>
        <v/>
      </c>
      <c r="T46" s="248" t="str">
        <f t="shared" si="6"/>
        <v/>
      </c>
      <c r="U46" s="83" t="str">
        <f>IF($K46="Open",'12_Calculation_Layer'!$B$7-$C46,"")</f>
        <v/>
      </c>
      <c r="V46" s="83" t="str">
        <f t="shared" si="7"/>
        <v/>
      </c>
      <c r="W46" s="112" t="str">
        <f>IF($K46&lt;&gt;"Open","",IF(COUNTIF($K$5:$K46,"Open")&lt;=12,"Delayed",IF(COUNTIF($K$5:$K46,"Open")&lt;=19,"At Risk","On Track")))</f>
        <v/>
      </c>
    </row>
    <row r="47" spans="1:23">
      <c r="A47" s="100" t="s">
        <v>945</v>
      </c>
      <c r="B47" s="102">
        <v>46082</v>
      </c>
      <c r="C47" s="102">
        <v>46087</v>
      </c>
      <c r="D47" s="101" t="s">
        <v>104</v>
      </c>
      <c r="E47" s="101" t="s">
        <v>111</v>
      </c>
      <c r="F47" s="101" t="s">
        <v>113</v>
      </c>
      <c r="G47" s="101" t="s">
        <v>399</v>
      </c>
      <c r="H47" s="83">
        <v>1</v>
      </c>
      <c r="I47" s="83" t="s">
        <v>164</v>
      </c>
      <c r="J47" s="102">
        <v>46121</v>
      </c>
      <c r="K47" s="83" t="s">
        <v>394</v>
      </c>
      <c r="L47" s="101" t="s">
        <v>942</v>
      </c>
      <c r="M47" s="83">
        <v>60</v>
      </c>
      <c r="N47" s="83">
        <f ca="1">IF($A47="","",IF($K47="Filled",IFERROR(_xludf.MAXIFS('06_Recruitment_Pipeline'!$M:$M,'06_Recruitment_Pipeline'!$B:$B,$A47,'06_Recruitment_Pipeline'!$G:$G,"Hired")-$C47,TODAY()-$C47),IF(OR($K47="Cancelled",$K47="On Hold"),0,TODAY()-$C47)))</f>
        <v>0</v>
      </c>
      <c r="O47" s="83" t="str">
        <f t="shared" ca="1" si="4"/>
        <v>On Track</v>
      </c>
      <c r="P47" s="83">
        <f>IF($A47="","",COUNTIFS('06_Recruitment_Pipeline'!$B:$B,$A47,'06_Recruitment_Pipeline'!$G:$G,"Hired"))</f>
        <v>1</v>
      </c>
      <c r="Q47" s="83">
        <f t="shared" si="5"/>
        <v>0</v>
      </c>
      <c r="R47" s="265" t="str">
        <f>IF($K47="Filled",IFERROR(_xlfn.MAXIFS('06_Recruitment_Pipeline'!$M:$M,'06_Recruitment_Pipeline'!$B:$B,$A47,'06_Recruitment_Pipeline'!$G:$G,"Hired"),""),"")</f>
        <v/>
      </c>
      <c r="S47" s="83" t="str">
        <f>IF(tblRequisitions[[#This Row],[REQ_STATUS]]="Filled",IFERROR(tblRequisitions[[#This Row],[FILLED_DATE]]-tblRequisitions[[#This Row],[APPROVAL_DATE]],""),"")</f>
        <v/>
      </c>
      <c r="T47" s="248" t="str">
        <f t="shared" si="6"/>
        <v/>
      </c>
      <c r="U47" s="83" t="str">
        <f>IF($K47="Open",'12_Calculation_Layer'!$B$7-$C47,"")</f>
        <v/>
      </c>
      <c r="V47" s="83" t="str">
        <f t="shared" si="7"/>
        <v/>
      </c>
      <c r="W47" s="112" t="str">
        <f>IF($K47&lt;&gt;"Open","",IF(COUNTIF($K$5:$K47,"Open")&lt;=12,"Delayed",IF(COUNTIF($K$5:$K47,"Open")&lt;=19,"At Risk","On Track")))</f>
        <v/>
      </c>
    </row>
    <row r="48" spans="1:23">
      <c r="A48" s="100" t="s">
        <v>949</v>
      </c>
      <c r="B48" s="102">
        <v>46094</v>
      </c>
      <c r="C48" s="102">
        <v>46102</v>
      </c>
      <c r="D48" s="101" t="s">
        <v>371</v>
      </c>
      <c r="E48" s="101" t="s">
        <v>462</v>
      </c>
      <c r="F48" s="101" t="s">
        <v>463</v>
      </c>
      <c r="G48" s="101" t="s">
        <v>181</v>
      </c>
      <c r="H48" s="83">
        <v>2</v>
      </c>
      <c r="I48" s="83" t="s">
        <v>395</v>
      </c>
      <c r="J48" s="102">
        <v>46068</v>
      </c>
      <c r="K48" s="83" t="s">
        <v>394</v>
      </c>
      <c r="L48" s="101" t="s">
        <v>192</v>
      </c>
      <c r="M48" s="83">
        <v>35</v>
      </c>
      <c r="N48" s="83">
        <f ca="1">IF($A48="","",IF($K48="Filled",IFERROR(_xludf.MAXIFS('06_Recruitment_Pipeline'!$M:$M,'06_Recruitment_Pipeline'!$B:$B,$A48,'06_Recruitment_Pipeline'!$G:$G,"Hired")-$C48,TODAY()-$C48),IF(OR($K48="Cancelled",$K48="On Hold"),0,TODAY()-$C48)))</f>
        <v>0</v>
      </c>
      <c r="O48" s="83" t="str">
        <f t="shared" ca="1" si="4"/>
        <v>On Track</v>
      </c>
      <c r="P48" s="83">
        <f>IF($A48="","",COUNTIFS('06_Recruitment_Pipeline'!$B:$B,$A48,'06_Recruitment_Pipeline'!$G:$G,"Hired"))</f>
        <v>1</v>
      </c>
      <c r="Q48" s="83">
        <f t="shared" si="5"/>
        <v>1</v>
      </c>
      <c r="R48" s="265" t="str">
        <f>IF($K48="Filled",IFERROR(_xlfn.MAXIFS('06_Recruitment_Pipeline'!$M:$M,'06_Recruitment_Pipeline'!$B:$B,$A48,'06_Recruitment_Pipeline'!$G:$G,"Hired"),""),"")</f>
        <v/>
      </c>
      <c r="S48" s="83" t="str">
        <f>IF(tblRequisitions[[#This Row],[REQ_STATUS]]="Filled",IFERROR(tblRequisitions[[#This Row],[FILLED_DATE]]-tblRequisitions[[#This Row],[APPROVAL_DATE]],""),"")</f>
        <v/>
      </c>
      <c r="T48" s="248" t="str">
        <f t="shared" si="6"/>
        <v/>
      </c>
      <c r="U48" s="83" t="str">
        <f>IF($K48="Open",'12_Calculation_Layer'!$B$7-$C48,"")</f>
        <v/>
      </c>
      <c r="V48" s="83" t="str">
        <f t="shared" si="7"/>
        <v/>
      </c>
      <c r="W48" s="112" t="str">
        <f>IF($K48&lt;&gt;"Open","",IF(COUNTIF($K$5:$K48,"Open")&lt;=12,"Delayed",IF(COUNTIF($K$5:$K48,"Open")&lt;=19,"At Risk","On Track")))</f>
        <v/>
      </c>
    </row>
    <row r="49" spans="1:23">
      <c r="A49" s="100" t="s">
        <v>972</v>
      </c>
      <c r="B49" s="102">
        <v>46120</v>
      </c>
      <c r="C49" s="102">
        <v>46127</v>
      </c>
      <c r="D49" s="101" t="s">
        <v>104</v>
      </c>
      <c r="E49" s="101" t="s">
        <v>495</v>
      </c>
      <c r="F49" s="101" t="s">
        <v>496</v>
      </c>
      <c r="G49" s="101" t="s">
        <v>937</v>
      </c>
      <c r="H49" s="83">
        <v>3</v>
      </c>
      <c r="I49" s="83" t="s">
        <v>374</v>
      </c>
      <c r="J49" s="102">
        <v>46091</v>
      </c>
      <c r="K49" s="83" t="s">
        <v>394</v>
      </c>
      <c r="L49" s="101" t="s">
        <v>942</v>
      </c>
      <c r="M49" s="83">
        <v>30</v>
      </c>
      <c r="N49" s="83">
        <f ca="1">IF($A49="","",IF($K49="Filled",IFERROR(_xludf.MAXIFS('06_Recruitment_Pipeline'!$M:$M,'06_Recruitment_Pipeline'!$B:$B,$A49,'06_Recruitment_Pipeline'!$G:$G,"Hired")-$C49,TODAY()-$C49),IF(OR($K49="Cancelled",$K49="On Hold"),0,TODAY()-$C49)))</f>
        <v>0</v>
      </c>
      <c r="O49" s="83" t="str">
        <f t="shared" ca="1" si="4"/>
        <v>On Track</v>
      </c>
      <c r="P49" s="83">
        <f>IF($A49="","",COUNTIFS('06_Recruitment_Pipeline'!$B:$B,$A49,'06_Recruitment_Pipeline'!$G:$G,"Hired"))</f>
        <v>1</v>
      </c>
      <c r="Q49" s="83">
        <f t="shared" si="5"/>
        <v>2</v>
      </c>
      <c r="R49" s="265" t="str">
        <f>IF($K49="Filled",IFERROR(_xlfn.MAXIFS('06_Recruitment_Pipeline'!$M:$M,'06_Recruitment_Pipeline'!$B:$B,$A49,'06_Recruitment_Pipeline'!$G:$G,"Hired"),""),"")</f>
        <v/>
      </c>
      <c r="S49" s="83" t="str">
        <f>IF(tblRequisitions[[#This Row],[REQ_STATUS]]="Filled",IFERROR(tblRequisitions[[#This Row],[FILLED_DATE]]-tblRequisitions[[#This Row],[APPROVAL_DATE]],""),"")</f>
        <v/>
      </c>
      <c r="T49" s="248" t="str">
        <f t="shared" si="6"/>
        <v/>
      </c>
      <c r="U49" s="83" t="str">
        <f>IF($K49="Open",'12_Calculation_Layer'!$B$7-$C49,"")</f>
        <v/>
      </c>
      <c r="V49" s="83" t="str">
        <f t="shared" si="7"/>
        <v/>
      </c>
      <c r="W49" s="112" t="str">
        <f>IF($K49&lt;&gt;"Open","",IF(COUNTIF($K$5:$K49,"Open")&lt;=12,"Delayed",IF(COUNTIF($K$5:$K49,"Open")&lt;=19,"At Risk","On Track")))</f>
        <v/>
      </c>
    </row>
    <row r="50" spans="1:23">
      <c r="A50" s="100" t="s">
        <v>975</v>
      </c>
      <c r="B50" s="102">
        <v>45841</v>
      </c>
      <c r="C50" s="102">
        <v>45845</v>
      </c>
      <c r="D50" s="101" t="s">
        <v>37</v>
      </c>
      <c r="E50" s="101" t="s">
        <v>486</v>
      </c>
      <c r="F50" s="101" t="s">
        <v>260</v>
      </c>
      <c r="G50" s="101" t="s">
        <v>937</v>
      </c>
      <c r="H50" s="83">
        <v>1</v>
      </c>
      <c r="I50" s="83" t="s">
        <v>383</v>
      </c>
      <c r="J50" s="102">
        <v>45890</v>
      </c>
      <c r="K50" s="83" t="s">
        <v>394</v>
      </c>
      <c r="L50" s="101" t="s">
        <v>940</v>
      </c>
      <c r="M50" s="83">
        <v>35</v>
      </c>
      <c r="N50" s="83">
        <f ca="1">IF($A50="","",IF($K50="Filled",IFERROR(_xludf.MAXIFS('06_Recruitment_Pipeline'!$M:$M,'06_Recruitment_Pipeline'!$B:$B,$A50,'06_Recruitment_Pipeline'!$G:$G,"Hired")-$C50,TODAY()-$C50),IF(OR($K50="Cancelled",$K50="On Hold"),0,TODAY()-$C50)))</f>
        <v>0</v>
      </c>
      <c r="O50" s="83" t="str">
        <f t="shared" ca="1" si="4"/>
        <v>On Track</v>
      </c>
      <c r="P50" s="83">
        <f>IF($A50="","",COUNTIFS('06_Recruitment_Pipeline'!$B:$B,$A50,'06_Recruitment_Pipeline'!$G:$G,"Hired"))</f>
        <v>0</v>
      </c>
      <c r="Q50" s="83">
        <f t="shared" si="5"/>
        <v>1</v>
      </c>
      <c r="R50" s="265" t="str">
        <f>IF($K50="Filled",IFERROR(_xlfn.MAXIFS('06_Recruitment_Pipeline'!$M:$M,'06_Recruitment_Pipeline'!$B:$B,$A50,'06_Recruitment_Pipeline'!$G:$G,"Hired"),""),"")</f>
        <v/>
      </c>
      <c r="S50" s="83" t="str">
        <f>IF(tblRequisitions[[#This Row],[REQ_STATUS]]="Filled",IFERROR(tblRequisitions[[#This Row],[FILLED_DATE]]-tblRequisitions[[#This Row],[APPROVAL_DATE]],""),"")</f>
        <v/>
      </c>
      <c r="T50" s="248" t="str">
        <f t="shared" si="6"/>
        <v/>
      </c>
      <c r="U50" s="83" t="str">
        <f>IF($K50="Open",'12_Calculation_Layer'!$B$7-$C50,"")</f>
        <v/>
      </c>
      <c r="V50" s="83" t="str">
        <f t="shared" si="7"/>
        <v/>
      </c>
      <c r="W50" s="112" t="str">
        <f>IF($K50&lt;&gt;"Open","",IF(COUNTIF($K$5:$K50,"Open")&lt;=12,"Delayed",IF(COUNTIF($K$5:$K50,"Open")&lt;=19,"At Risk","On Track")))</f>
        <v/>
      </c>
    </row>
    <row r="51" spans="1:23">
      <c r="A51" s="100" t="s">
        <v>984</v>
      </c>
      <c r="B51" s="102">
        <v>46074</v>
      </c>
      <c r="C51" s="102">
        <v>46077</v>
      </c>
      <c r="D51" s="101" t="s">
        <v>152</v>
      </c>
      <c r="E51" s="101" t="s">
        <v>151</v>
      </c>
      <c r="F51" s="101" t="s">
        <v>153</v>
      </c>
      <c r="G51" s="101" t="s">
        <v>399</v>
      </c>
      <c r="H51" s="83">
        <v>2</v>
      </c>
      <c r="I51" s="83" t="s">
        <v>395</v>
      </c>
      <c r="J51" s="102">
        <v>46120</v>
      </c>
      <c r="K51" s="83" t="s">
        <v>394</v>
      </c>
      <c r="L51" s="101" t="s">
        <v>938</v>
      </c>
      <c r="M51" s="83">
        <v>20</v>
      </c>
      <c r="N51" s="83">
        <f ca="1">IF($A51="","",IF($K51="Filled",IFERROR(_xludf.MAXIFS('06_Recruitment_Pipeline'!$M:$M,'06_Recruitment_Pipeline'!$B:$B,$A51,'06_Recruitment_Pipeline'!$G:$G,"Hired")-$C51,TODAY()-$C51),IF(OR($K51="Cancelled",$K51="On Hold"),0,TODAY()-$C51)))</f>
        <v>0</v>
      </c>
      <c r="O51" s="83" t="str">
        <f t="shared" ca="1" si="4"/>
        <v>On Track</v>
      </c>
      <c r="P51" s="83">
        <f>IF($A51="","",COUNTIFS('06_Recruitment_Pipeline'!$B:$B,$A51,'06_Recruitment_Pipeline'!$G:$G,"Hired"))</f>
        <v>3</v>
      </c>
      <c r="Q51" s="83">
        <f t="shared" si="5"/>
        <v>0</v>
      </c>
      <c r="R51" s="265" t="str">
        <f>IF($K51="Filled",IFERROR(_xlfn.MAXIFS('06_Recruitment_Pipeline'!$M:$M,'06_Recruitment_Pipeline'!$B:$B,$A51,'06_Recruitment_Pipeline'!$G:$G,"Hired"),""),"")</f>
        <v/>
      </c>
      <c r="S51" s="83" t="str">
        <f>IF(tblRequisitions[[#This Row],[REQ_STATUS]]="Filled",IFERROR(tblRequisitions[[#This Row],[FILLED_DATE]]-tblRequisitions[[#This Row],[APPROVAL_DATE]],""),"")</f>
        <v/>
      </c>
      <c r="T51" s="248" t="str">
        <f t="shared" si="6"/>
        <v/>
      </c>
      <c r="U51" s="83" t="str">
        <f>IF($K51="Open",'12_Calculation_Layer'!$B$7-$C51,"")</f>
        <v/>
      </c>
      <c r="V51" s="83" t="str">
        <f t="shared" si="7"/>
        <v/>
      </c>
      <c r="W51" s="112" t="str">
        <f>IF($K51&lt;&gt;"Open","",IF(COUNTIF($K$5:$K51,"Open")&lt;=12,"Delayed",IF(COUNTIF($K$5:$K51,"Open")&lt;=19,"At Risk","On Track")))</f>
        <v/>
      </c>
    </row>
    <row r="52" spans="1:23">
      <c r="A52" s="100" t="s">
        <v>1001</v>
      </c>
      <c r="B52" s="102">
        <v>45982</v>
      </c>
      <c r="C52" s="102">
        <v>45992</v>
      </c>
      <c r="D52" s="101" t="s">
        <v>271</v>
      </c>
      <c r="E52" s="101" t="s">
        <v>521</v>
      </c>
      <c r="F52" s="101" t="s">
        <v>522</v>
      </c>
      <c r="G52" s="101" t="s">
        <v>399</v>
      </c>
      <c r="H52" s="83">
        <v>1</v>
      </c>
      <c r="I52" s="83" t="s">
        <v>383</v>
      </c>
      <c r="J52" s="102">
        <v>46041</v>
      </c>
      <c r="K52" s="83" t="s">
        <v>394</v>
      </c>
      <c r="L52" s="101" t="s">
        <v>938</v>
      </c>
      <c r="M52" s="83">
        <v>45</v>
      </c>
      <c r="N52" s="83">
        <f ca="1">IF($A52="","",IF($K52="Filled",IFERROR(_xludf.MAXIFS('06_Recruitment_Pipeline'!$M:$M,'06_Recruitment_Pipeline'!$B:$B,$A52,'06_Recruitment_Pipeline'!$G:$G,"Hired")-$C52,TODAY()-$C52),IF(OR($K52="Cancelled",$K52="On Hold"),0,TODAY()-$C52)))</f>
        <v>0</v>
      </c>
      <c r="O52" s="83" t="str">
        <f t="shared" ca="1" si="4"/>
        <v>On Track</v>
      </c>
      <c r="P52" s="83">
        <f>IF($A52="","",COUNTIFS('06_Recruitment_Pipeline'!$B:$B,$A52,'06_Recruitment_Pipeline'!$G:$G,"Hired"))</f>
        <v>0</v>
      </c>
      <c r="Q52" s="83">
        <f t="shared" si="5"/>
        <v>1</v>
      </c>
      <c r="R52" s="265" t="str">
        <f>IF($K52="Filled",IFERROR(_xlfn.MAXIFS('06_Recruitment_Pipeline'!$M:$M,'06_Recruitment_Pipeline'!$B:$B,$A52,'06_Recruitment_Pipeline'!$G:$G,"Hired"),""),"")</f>
        <v/>
      </c>
      <c r="S52" s="83" t="str">
        <f>IF(tblRequisitions[[#This Row],[REQ_STATUS]]="Filled",IFERROR(tblRequisitions[[#This Row],[FILLED_DATE]]-tblRequisitions[[#This Row],[APPROVAL_DATE]],""),"")</f>
        <v/>
      </c>
      <c r="T52" s="248" t="str">
        <f t="shared" si="6"/>
        <v/>
      </c>
      <c r="U52" s="83" t="str">
        <f>IF($K52="Open",'12_Calculation_Layer'!$B$7-$C52,"")</f>
        <v/>
      </c>
      <c r="V52" s="83" t="str">
        <f t="shared" si="7"/>
        <v/>
      </c>
      <c r="W52" s="112" t="str">
        <f>IF($K52&lt;&gt;"Open","",IF(COUNTIF($K$5:$K52,"Open")&lt;=12,"Delayed",IF(COUNTIF($K$5:$K52,"Open")&lt;=19,"At Risk","On Track")))</f>
        <v/>
      </c>
    </row>
    <row r="53" spans="1:23">
      <c r="A53" s="100" t="s">
        <v>1011</v>
      </c>
      <c r="B53" s="102">
        <v>45975</v>
      </c>
      <c r="C53" s="102">
        <v>45983</v>
      </c>
      <c r="D53" s="101" t="s">
        <v>407</v>
      </c>
      <c r="E53" s="101" t="s">
        <v>501</v>
      </c>
      <c r="F53" s="101" t="s">
        <v>502</v>
      </c>
      <c r="G53" s="101" t="s">
        <v>399</v>
      </c>
      <c r="H53" s="83">
        <v>2</v>
      </c>
      <c r="I53" s="83" t="s">
        <v>395</v>
      </c>
      <c r="J53" s="102">
        <v>46048</v>
      </c>
      <c r="K53" s="83" t="s">
        <v>394</v>
      </c>
      <c r="L53" s="101" t="s">
        <v>940</v>
      </c>
      <c r="M53" s="83">
        <v>20</v>
      </c>
      <c r="N53" s="83">
        <f ca="1">IF($A53="","",IF($K53="Filled",IFERROR(_xludf.MAXIFS('06_Recruitment_Pipeline'!$M:$M,'06_Recruitment_Pipeline'!$B:$B,$A53,'06_Recruitment_Pipeline'!$G:$G,"Hired")-$C53,TODAY()-$C53),IF(OR($K53="Cancelled",$K53="On Hold"),0,TODAY()-$C53)))</f>
        <v>0</v>
      </c>
      <c r="O53" s="83" t="str">
        <f t="shared" ca="1" si="4"/>
        <v>On Track</v>
      </c>
      <c r="P53" s="83">
        <f>IF($A53="","",COUNTIFS('06_Recruitment_Pipeline'!$B:$B,$A53,'06_Recruitment_Pipeline'!$G:$G,"Hired"))</f>
        <v>0</v>
      </c>
      <c r="Q53" s="83">
        <f t="shared" si="5"/>
        <v>2</v>
      </c>
      <c r="R53" s="265" t="str">
        <f>IF($K53="Filled",IFERROR(_xlfn.MAXIFS('06_Recruitment_Pipeline'!$M:$M,'06_Recruitment_Pipeline'!$B:$B,$A53,'06_Recruitment_Pipeline'!$G:$G,"Hired"),""),"")</f>
        <v/>
      </c>
      <c r="S53" s="83" t="str">
        <f>IF(tblRequisitions[[#This Row],[REQ_STATUS]]="Filled",IFERROR(tblRequisitions[[#This Row],[FILLED_DATE]]-tblRequisitions[[#This Row],[APPROVAL_DATE]],""),"")</f>
        <v/>
      </c>
      <c r="T53" s="248" t="str">
        <f t="shared" si="6"/>
        <v/>
      </c>
      <c r="U53" s="83" t="str">
        <f>IF($K53="Open",'12_Calculation_Layer'!$B$7-$C53,"")</f>
        <v/>
      </c>
      <c r="V53" s="83" t="str">
        <f t="shared" si="7"/>
        <v/>
      </c>
      <c r="W53" s="112" t="str">
        <f>IF($K53&lt;&gt;"Open","",IF(COUNTIF($K$5:$K53,"Open")&lt;=12,"Delayed",IF(COUNTIF($K$5:$K53,"Open")&lt;=19,"At Risk","On Track")))</f>
        <v/>
      </c>
    </row>
    <row r="54" spans="1:23">
      <c r="A54" s="100" t="s">
        <v>943</v>
      </c>
      <c r="B54" s="102">
        <v>46095</v>
      </c>
      <c r="C54" s="102">
        <v>46102</v>
      </c>
      <c r="D54" s="101" t="s">
        <v>416</v>
      </c>
      <c r="E54" s="101" t="s">
        <v>557</v>
      </c>
      <c r="F54" s="101" t="s">
        <v>558</v>
      </c>
      <c r="G54" s="101" t="s">
        <v>937</v>
      </c>
      <c r="H54" s="83">
        <v>2</v>
      </c>
      <c r="I54" s="83" t="s">
        <v>164</v>
      </c>
      <c r="J54" s="102">
        <v>45794</v>
      </c>
      <c r="K54" s="83" t="s">
        <v>373</v>
      </c>
      <c r="L54" s="101" t="s">
        <v>940</v>
      </c>
      <c r="M54" s="83">
        <v>30</v>
      </c>
      <c r="N54" s="83">
        <f ca="1">IF($A54="","",IF($K54="Filled",IFERROR(_xludf.MAXIFS('06_Recruitment_Pipeline'!$M:$M,'06_Recruitment_Pipeline'!$B:$B,$A54,'06_Recruitment_Pipeline'!$G:$G,"Hired")-$C54,TODAY()-$C54),IF(OR($K54="Cancelled",$K54="On Hold"),0,TODAY()-$C54)))</f>
        <v>43</v>
      </c>
      <c r="O54" s="83" t="str">
        <f t="shared" ca="1" si="4"/>
        <v>Delayed</v>
      </c>
      <c r="P54" s="83">
        <f>IF($A54="","",COUNTIFS('06_Recruitment_Pipeline'!$B:$B,$A54,'06_Recruitment_Pipeline'!$G:$G,"Hired"))</f>
        <v>0</v>
      </c>
      <c r="Q54" s="83">
        <f t="shared" si="5"/>
        <v>2</v>
      </c>
      <c r="R54" s="265" t="str">
        <f>IF($K54="Filled",IFERROR(_xlfn.MAXIFS('06_Recruitment_Pipeline'!$M:$M,'06_Recruitment_Pipeline'!$B:$B,$A54,'06_Recruitment_Pipeline'!$G:$G,"Hired"),""),"")</f>
        <v/>
      </c>
      <c r="S54" s="83" t="str">
        <f>IF(tblRequisitions[[#This Row],[REQ_STATUS]]="Filled",IFERROR(tblRequisitions[[#This Row],[FILLED_DATE]]-tblRequisitions[[#This Row],[APPROVAL_DATE]],""),"")</f>
        <v/>
      </c>
      <c r="T54" s="248" t="str">
        <f t="shared" si="6"/>
        <v/>
      </c>
      <c r="U54" s="83">
        <f>IF($K54="Open",'12_Calculation_Layer'!$B$7-$C54,"")</f>
        <v>40</v>
      </c>
      <c r="V54" s="83" t="str">
        <f t="shared" si="7"/>
        <v>Delayed</v>
      </c>
      <c r="W54" s="112" t="str">
        <f>IF($K54&lt;&gt;"Open","",IF(COUNTIF($K$5:$K54,"Open")&lt;=12,"Delayed",IF(COUNTIF($K$5:$K54,"Open")&lt;=19,"At Risk","On Track")))</f>
        <v>Delayed</v>
      </c>
    </row>
    <row r="55" spans="1:23">
      <c r="A55" s="100" t="s">
        <v>950</v>
      </c>
      <c r="B55" s="102">
        <v>46094</v>
      </c>
      <c r="C55" s="102">
        <v>46102</v>
      </c>
      <c r="D55" s="101" t="s">
        <v>407</v>
      </c>
      <c r="E55" s="101" t="s">
        <v>469</v>
      </c>
      <c r="F55" s="101" t="s">
        <v>470</v>
      </c>
      <c r="G55" s="101" t="s">
        <v>399</v>
      </c>
      <c r="H55" s="83">
        <v>3</v>
      </c>
      <c r="I55" s="83" t="s">
        <v>164</v>
      </c>
      <c r="J55" s="102">
        <v>46138</v>
      </c>
      <c r="K55" s="83" t="s">
        <v>373</v>
      </c>
      <c r="L55" s="101" t="s">
        <v>192</v>
      </c>
      <c r="M55" s="83">
        <v>30</v>
      </c>
      <c r="N55" s="83">
        <f ca="1">IF($A55="","",IF($K55="Filled",IFERROR(_xludf.MAXIFS('06_Recruitment_Pipeline'!$M:$M,'06_Recruitment_Pipeline'!$B:$B,$A55,'06_Recruitment_Pipeline'!$G:$G,"Hired")-$C55,TODAY()-$C55),IF(OR($K55="Cancelled",$K55="On Hold"),0,TODAY()-$C55)))</f>
        <v>43</v>
      </c>
      <c r="O55" s="83" t="str">
        <f t="shared" ca="1" si="4"/>
        <v>Delayed</v>
      </c>
      <c r="P55" s="83">
        <f>IF($A55="","",COUNTIFS('06_Recruitment_Pipeline'!$B:$B,$A55,'06_Recruitment_Pipeline'!$G:$G,"Hired"))</f>
        <v>0</v>
      </c>
      <c r="Q55" s="83">
        <f t="shared" si="5"/>
        <v>3</v>
      </c>
      <c r="R55" s="265" t="str">
        <f>IF($K55="Filled",IFERROR(_xlfn.MAXIFS('06_Recruitment_Pipeline'!$M:$M,'06_Recruitment_Pipeline'!$B:$B,$A55,'06_Recruitment_Pipeline'!$G:$G,"Hired"),""),"")</f>
        <v/>
      </c>
      <c r="S55" s="83" t="str">
        <f>IF(tblRequisitions[[#This Row],[REQ_STATUS]]="Filled",IFERROR(tblRequisitions[[#This Row],[FILLED_DATE]]-tblRequisitions[[#This Row],[APPROVAL_DATE]],""),"")</f>
        <v/>
      </c>
      <c r="T55" s="248" t="str">
        <f t="shared" si="6"/>
        <v/>
      </c>
      <c r="U55" s="83">
        <f>IF($K55="Open",'12_Calculation_Layer'!$B$7-$C55,"")</f>
        <v>40</v>
      </c>
      <c r="V55" s="83" t="str">
        <f t="shared" si="7"/>
        <v>Delayed</v>
      </c>
      <c r="W55" s="112" t="str">
        <f>IF($K55&lt;&gt;"Open","",IF(COUNTIF($K$5:$K55,"Open")&lt;=12,"Delayed",IF(COUNTIF($K$5:$K55,"Open")&lt;=19,"At Risk","On Track")))</f>
        <v>Delayed</v>
      </c>
    </row>
    <row r="56" spans="1:23">
      <c r="A56" s="100" t="s">
        <v>951</v>
      </c>
      <c r="B56" s="102">
        <v>46085</v>
      </c>
      <c r="C56" s="102">
        <v>46087</v>
      </c>
      <c r="D56" s="101" t="s">
        <v>407</v>
      </c>
      <c r="E56" s="101" t="s">
        <v>444</v>
      </c>
      <c r="F56" s="101" t="s">
        <v>445</v>
      </c>
      <c r="G56" s="101" t="s">
        <v>181</v>
      </c>
      <c r="H56" s="83">
        <v>1</v>
      </c>
      <c r="I56" s="83" t="s">
        <v>164</v>
      </c>
      <c r="J56" s="102">
        <v>45914</v>
      </c>
      <c r="K56" s="83" t="s">
        <v>373</v>
      </c>
      <c r="L56" s="101" t="s">
        <v>192</v>
      </c>
      <c r="M56" s="83">
        <v>45</v>
      </c>
      <c r="N56" s="83">
        <f ca="1">IF($A56="","",IF($K56="Filled",IFERROR(_xludf.MAXIFS('06_Recruitment_Pipeline'!$M:$M,'06_Recruitment_Pipeline'!$B:$B,$A56,'06_Recruitment_Pipeline'!$G:$G,"Hired")-$C56,TODAY()-$C56),IF(OR($K56="Cancelled",$K56="On Hold"),0,TODAY()-$C56)))</f>
        <v>58</v>
      </c>
      <c r="O56" s="83" t="str">
        <f t="shared" ca="1" si="4"/>
        <v>Delayed</v>
      </c>
      <c r="P56" s="83">
        <f>IF($A56="","",COUNTIFS('06_Recruitment_Pipeline'!$B:$B,$A56,'06_Recruitment_Pipeline'!$G:$G,"Hired"))</f>
        <v>1</v>
      </c>
      <c r="Q56" s="83">
        <f t="shared" si="5"/>
        <v>0</v>
      </c>
      <c r="R56" s="265" t="str">
        <f>IF($K56="Filled",IFERROR(_xlfn.MAXIFS('06_Recruitment_Pipeline'!$M:$M,'06_Recruitment_Pipeline'!$B:$B,$A56,'06_Recruitment_Pipeline'!$G:$G,"Hired"),""),"")</f>
        <v/>
      </c>
      <c r="S56" s="83" t="str">
        <f>IF(tblRequisitions[[#This Row],[REQ_STATUS]]="Filled",IFERROR(tblRequisitions[[#This Row],[FILLED_DATE]]-tblRequisitions[[#This Row],[APPROVAL_DATE]],""),"")</f>
        <v/>
      </c>
      <c r="T56" s="248" t="str">
        <f t="shared" si="6"/>
        <v/>
      </c>
      <c r="U56" s="83">
        <f>IF($K56="Open",'12_Calculation_Layer'!$B$7-$C56,"")</f>
        <v>55</v>
      </c>
      <c r="V56" s="83" t="str">
        <f t="shared" si="7"/>
        <v>Delayed</v>
      </c>
      <c r="W56" s="112" t="str">
        <f>IF($K56&lt;&gt;"Open","",IF(COUNTIF($K$5:$K56,"Open")&lt;=12,"Delayed",IF(COUNTIF($K$5:$K56,"Open")&lt;=19,"At Risk","On Track")))</f>
        <v>Delayed</v>
      </c>
    </row>
    <row r="57" spans="1:23">
      <c r="A57" s="100" t="s">
        <v>954</v>
      </c>
      <c r="B57" s="102">
        <v>46094</v>
      </c>
      <c r="C57" s="102">
        <v>46097</v>
      </c>
      <c r="D57" s="101" t="s">
        <v>37</v>
      </c>
      <c r="E57" s="101" t="s">
        <v>486</v>
      </c>
      <c r="F57" s="101" t="s">
        <v>260</v>
      </c>
      <c r="G57" s="101" t="s">
        <v>937</v>
      </c>
      <c r="H57" s="83">
        <v>1</v>
      </c>
      <c r="I57" s="83" t="s">
        <v>395</v>
      </c>
      <c r="J57" s="102">
        <v>45944</v>
      </c>
      <c r="K57" s="83" t="s">
        <v>373</v>
      </c>
      <c r="L57" s="101" t="s">
        <v>938</v>
      </c>
      <c r="M57" s="83">
        <v>35</v>
      </c>
      <c r="N57" s="83">
        <f ca="1">IF($A57="","",IF($K57="Filled",IFERROR(_xludf.MAXIFS('06_Recruitment_Pipeline'!$M:$M,'06_Recruitment_Pipeline'!$B:$B,$A57,'06_Recruitment_Pipeline'!$G:$G,"Hired")-$C57,TODAY()-$C57),IF(OR($K57="Cancelled",$K57="On Hold"),0,TODAY()-$C57)))</f>
        <v>48</v>
      </c>
      <c r="O57" s="83" t="str">
        <f t="shared" ca="1" si="4"/>
        <v>Delayed</v>
      </c>
      <c r="P57" s="83">
        <f>IF($A57="","",COUNTIFS('06_Recruitment_Pipeline'!$B:$B,$A57,'06_Recruitment_Pipeline'!$G:$G,"Hired"))</f>
        <v>0</v>
      </c>
      <c r="Q57" s="83">
        <f t="shared" si="5"/>
        <v>1</v>
      </c>
      <c r="R57" s="265" t="str">
        <f>IF($K57="Filled",IFERROR(_xlfn.MAXIFS('06_Recruitment_Pipeline'!$M:$M,'06_Recruitment_Pipeline'!$B:$B,$A57,'06_Recruitment_Pipeline'!$G:$G,"Hired"),""),"")</f>
        <v/>
      </c>
      <c r="S57" s="83" t="str">
        <f>IF(tblRequisitions[[#This Row],[REQ_STATUS]]="Filled",IFERROR(tblRequisitions[[#This Row],[FILLED_DATE]]-tblRequisitions[[#This Row],[APPROVAL_DATE]],""),"")</f>
        <v/>
      </c>
      <c r="T57" s="248" t="str">
        <f t="shared" si="6"/>
        <v/>
      </c>
      <c r="U57" s="83">
        <f>IF($K57="Open",'12_Calculation_Layer'!$B$7-$C57,"")</f>
        <v>45</v>
      </c>
      <c r="V57" s="83" t="str">
        <f t="shared" si="7"/>
        <v>Delayed</v>
      </c>
      <c r="W57" s="112" t="str">
        <f>IF($K57&lt;&gt;"Open","",IF(COUNTIF($K$5:$K57,"Open")&lt;=12,"Delayed",IF(COUNTIF($K$5:$K57,"Open")&lt;=19,"At Risk","On Track")))</f>
        <v>Delayed</v>
      </c>
    </row>
    <row r="58" spans="1:23">
      <c r="A58" s="100" t="s">
        <v>955</v>
      </c>
      <c r="B58" s="102">
        <v>46098</v>
      </c>
      <c r="C58" s="102">
        <v>46102</v>
      </c>
      <c r="D58" s="101" t="s">
        <v>421</v>
      </c>
      <c r="E58" s="101" t="s">
        <v>553</v>
      </c>
      <c r="F58" s="101" t="s">
        <v>554</v>
      </c>
      <c r="G58" s="101" t="s">
        <v>181</v>
      </c>
      <c r="H58" s="83">
        <v>1</v>
      </c>
      <c r="I58" s="83" t="s">
        <v>374</v>
      </c>
      <c r="J58" s="102">
        <v>45786</v>
      </c>
      <c r="K58" s="83" t="s">
        <v>373</v>
      </c>
      <c r="L58" s="101" t="s">
        <v>192</v>
      </c>
      <c r="M58" s="83">
        <v>30</v>
      </c>
      <c r="N58" s="83">
        <f ca="1">IF($A58="","",IF($K58="Filled",IFERROR(_xludf.MAXIFS('06_Recruitment_Pipeline'!$M:$M,'06_Recruitment_Pipeline'!$B:$B,$A58,'06_Recruitment_Pipeline'!$G:$G,"Hired")-$C58,TODAY()-$C58),IF(OR($K58="Cancelled",$K58="On Hold"),0,TODAY()-$C58)))</f>
        <v>43</v>
      </c>
      <c r="O58" s="83" t="str">
        <f t="shared" ca="1" si="4"/>
        <v>Delayed</v>
      </c>
      <c r="P58" s="83">
        <f>IF($A58="","",COUNTIFS('06_Recruitment_Pipeline'!$B:$B,$A58,'06_Recruitment_Pipeline'!$G:$G,"Hired"))</f>
        <v>0</v>
      </c>
      <c r="Q58" s="83">
        <f t="shared" si="5"/>
        <v>1</v>
      </c>
      <c r="R58" s="265" t="str">
        <f>IF($K58="Filled",IFERROR(_xlfn.MAXIFS('06_Recruitment_Pipeline'!$M:$M,'06_Recruitment_Pipeline'!$B:$B,$A58,'06_Recruitment_Pipeline'!$G:$G,"Hired"),""),"")</f>
        <v/>
      </c>
      <c r="S58" s="83" t="str">
        <f>IF(tblRequisitions[[#This Row],[REQ_STATUS]]="Filled",IFERROR(tblRequisitions[[#This Row],[FILLED_DATE]]-tblRequisitions[[#This Row],[APPROVAL_DATE]],""),"")</f>
        <v/>
      </c>
      <c r="T58" s="248" t="str">
        <f t="shared" si="6"/>
        <v/>
      </c>
      <c r="U58" s="83">
        <f>IF($K58="Open",'12_Calculation_Layer'!$B$7-$C58,"")</f>
        <v>40</v>
      </c>
      <c r="V58" s="83" t="str">
        <f t="shared" si="7"/>
        <v>Delayed</v>
      </c>
      <c r="W58" s="112" t="str">
        <f>IF($K58&lt;&gt;"Open","",IF(COUNTIF($K$5:$K58,"Open")&lt;=12,"Delayed",IF(COUNTIF($K$5:$K58,"Open")&lt;=19,"At Risk","On Track")))</f>
        <v>Delayed</v>
      </c>
    </row>
    <row r="59" spans="1:23">
      <c r="A59" s="100" t="s">
        <v>959</v>
      </c>
      <c r="B59" s="102">
        <v>46067</v>
      </c>
      <c r="C59" s="102">
        <v>46072</v>
      </c>
      <c r="D59" s="101" t="s">
        <v>271</v>
      </c>
      <c r="E59" s="101" t="s">
        <v>491</v>
      </c>
      <c r="F59" s="101" t="s">
        <v>492</v>
      </c>
      <c r="G59" s="101" t="s">
        <v>399</v>
      </c>
      <c r="H59" s="83">
        <v>1</v>
      </c>
      <c r="I59" s="83" t="s">
        <v>164</v>
      </c>
      <c r="J59" s="102">
        <v>45951</v>
      </c>
      <c r="K59" s="83" t="s">
        <v>373</v>
      </c>
      <c r="L59" s="101" t="s">
        <v>942</v>
      </c>
      <c r="M59" s="83">
        <v>60</v>
      </c>
      <c r="N59" s="83">
        <f ca="1">IF($A59="","",IF($K59="Filled",IFERROR(_xludf.MAXIFS('06_Recruitment_Pipeline'!$M:$M,'06_Recruitment_Pipeline'!$B:$B,$A59,'06_Recruitment_Pipeline'!$G:$G,"Hired")-$C59,TODAY()-$C59),IF(OR($K59="Cancelled",$K59="On Hold"),0,TODAY()-$C59)))</f>
        <v>73</v>
      </c>
      <c r="O59" s="83" t="str">
        <f t="shared" ca="1" si="4"/>
        <v>Delayed</v>
      </c>
      <c r="P59" s="83">
        <f>IF($A59="","",COUNTIFS('06_Recruitment_Pipeline'!$B:$B,$A59,'06_Recruitment_Pipeline'!$G:$G,"Hired"))</f>
        <v>0</v>
      </c>
      <c r="Q59" s="83">
        <f t="shared" si="5"/>
        <v>1</v>
      </c>
      <c r="R59" s="265" t="str">
        <f>IF($K59="Filled",IFERROR(_xlfn.MAXIFS('06_Recruitment_Pipeline'!$M:$M,'06_Recruitment_Pipeline'!$B:$B,$A59,'06_Recruitment_Pipeline'!$G:$G,"Hired"),""),"")</f>
        <v/>
      </c>
      <c r="S59" s="83" t="str">
        <f>IF(tblRequisitions[[#This Row],[REQ_STATUS]]="Filled",IFERROR(tblRequisitions[[#This Row],[FILLED_DATE]]-tblRequisitions[[#This Row],[APPROVAL_DATE]],""),"")</f>
        <v/>
      </c>
      <c r="T59" s="248" t="str">
        <f t="shared" si="6"/>
        <v/>
      </c>
      <c r="U59" s="83">
        <f>IF($K59="Open",'12_Calculation_Layer'!$B$7-$C59,"")</f>
        <v>70</v>
      </c>
      <c r="V59" s="83" t="str">
        <f t="shared" si="7"/>
        <v>Delayed</v>
      </c>
      <c r="W59" s="112" t="str">
        <f>IF($K59&lt;&gt;"Open","",IF(COUNTIF($K$5:$K59,"Open")&lt;=12,"Delayed",IF(COUNTIF($K$5:$K59,"Open")&lt;=19,"At Risk","On Track")))</f>
        <v>Delayed</v>
      </c>
    </row>
    <row r="60" spans="1:23">
      <c r="A60" s="100" t="s">
        <v>961</v>
      </c>
      <c r="B60" s="102">
        <v>46096</v>
      </c>
      <c r="C60" s="102">
        <v>46102</v>
      </c>
      <c r="D60" s="101" t="s">
        <v>379</v>
      </c>
      <c r="E60" s="101" t="s">
        <v>587</v>
      </c>
      <c r="F60" s="101" t="s">
        <v>588</v>
      </c>
      <c r="G60" s="101" t="s">
        <v>399</v>
      </c>
      <c r="H60" s="83">
        <v>2</v>
      </c>
      <c r="I60" s="83" t="s">
        <v>395</v>
      </c>
      <c r="J60" s="102">
        <v>45870</v>
      </c>
      <c r="K60" s="83" t="s">
        <v>373</v>
      </c>
      <c r="L60" s="101" t="s">
        <v>940</v>
      </c>
      <c r="M60" s="83">
        <v>30</v>
      </c>
      <c r="N60" s="83">
        <f ca="1">IF($A60="","",IF($K60="Filled",IFERROR(_xludf.MAXIFS('06_Recruitment_Pipeline'!$M:$M,'06_Recruitment_Pipeline'!$B:$B,$A60,'06_Recruitment_Pipeline'!$G:$G,"Hired")-$C60,TODAY()-$C60),IF(OR($K60="Cancelled",$K60="On Hold"),0,TODAY()-$C60)))</f>
        <v>43</v>
      </c>
      <c r="O60" s="83" t="str">
        <f t="shared" ca="1" si="4"/>
        <v>Delayed</v>
      </c>
      <c r="P60" s="83">
        <f>IF($A60="","",COUNTIFS('06_Recruitment_Pipeline'!$B:$B,$A60,'06_Recruitment_Pipeline'!$G:$G,"Hired"))</f>
        <v>0</v>
      </c>
      <c r="Q60" s="83">
        <f t="shared" si="5"/>
        <v>2</v>
      </c>
      <c r="R60" s="265" t="str">
        <f>IF($K60="Filled",IFERROR(_xlfn.MAXIFS('06_Recruitment_Pipeline'!$M:$M,'06_Recruitment_Pipeline'!$B:$B,$A60,'06_Recruitment_Pipeline'!$G:$G,"Hired"),""),"")</f>
        <v/>
      </c>
      <c r="S60" s="83" t="str">
        <f>IF(tblRequisitions[[#This Row],[REQ_STATUS]]="Filled",IFERROR(tblRequisitions[[#This Row],[FILLED_DATE]]-tblRequisitions[[#This Row],[APPROVAL_DATE]],""),"")</f>
        <v/>
      </c>
      <c r="T60" s="248" t="str">
        <f t="shared" si="6"/>
        <v/>
      </c>
      <c r="U60" s="83">
        <f>IF($K60="Open",'12_Calculation_Layer'!$B$7-$C60,"")</f>
        <v>40</v>
      </c>
      <c r="V60" s="83" t="str">
        <f t="shared" si="7"/>
        <v>Delayed</v>
      </c>
      <c r="W60" s="112" t="str">
        <f>IF($K60&lt;&gt;"Open","",IF(COUNTIF($K$5:$K60,"Open")&lt;=12,"Delayed",IF(COUNTIF($K$5:$K60,"Open")&lt;=19,"At Risk","On Track")))</f>
        <v>Delayed</v>
      </c>
    </row>
    <row r="61" spans="1:23">
      <c r="A61" s="100" t="s">
        <v>965</v>
      </c>
      <c r="B61" s="102">
        <v>46090</v>
      </c>
      <c r="C61" s="102">
        <v>46097</v>
      </c>
      <c r="D61" s="101" t="s">
        <v>176</v>
      </c>
      <c r="E61" s="101" t="s">
        <v>652</v>
      </c>
      <c r="F61" s="101" t="s">
        <v>653</v>
      </c>
      <c r="G61" s="101" t="s">
        <v>399</v>
      </c>
      <c r="H61" s="83">
        <v>1</v>
      </c>
      <c r="I61" s="83" t="s">
        <v>395</v>
      </c>
      <c r="J61" s="102">
        <v>46143</v>
      </c>
      <c r="K61" s="83" t="s">
        <v>373</v>
      </c>
      <c r="L61" s="101" t="s">
        <v>940</v>
      </c>
      <c r="M61" s="83">
        <v>35</v>
      </c>
      <c r="N61" s="83">
        <f ca="1">IF($A61="","",IF($K61="Filled",IFERROR(_xludf.MAXIFS('06_Recruitment_Pipeline'!$M:$M,'06_Recruitment_Pipeline'!$B:$B,$A61,'06_Recruitment_Pipeline'!$G:$G,"Hired")-$C61,TODAY()-$C61),IF(OR($K61="Cancelled",$K61="On Hold"),0,TODAY()-$C61)))</f>
        <v>48</v>
      </c>
      <c r="O61" s="83" t="str">
        <f t="shared" ca="1" si="4"/>
        <v>Delayed</v>
      </c>
      <c r="P61" s="83">
        <f>IF($A61="","",COUNTIFS('06_Recruitment_Pipeline'!$B:$B,$A61,'06_Recruitment_Pipeline'!$G:$G,"Hired"))</f>
        <v>0</v>
      </c>
      <c r="Q61" s="83">
        <f t="shared" si="5"/>
        <v>1</v>
      </c>
      <c r="R61" s="265" t="str">
        <f>IF($K61="Filled",IFERROR(_xlfn.MAXIFS('06_Recruitment_Pipeline'!$M:$M,'06_Recruitment_Pipeline'!$B:$B,$A61,'06_Recruitment_Pipeline'!$G:$G,"Hired"),""),"")</f>
        <v/>
      </c>
      <c r="S61" s="83" t="str">
        <f>IF(tblRequisitions[[#This Row],[REQ_STATUS]]="Filled",IFERROR(tblRequisitions[[#This Row],[FILLED_DATE]]-tblRequisitions[[#This Row],[APPROVAL_DATE]],""),"")</f>
        <v/>
      </c>
      <c r="T61" s="248" t="str">
        <f t="shared" si="6"/>
        <v/>
      </c>
      <c r="U61" s="83">
        <f>IF($K61="Open",'12_Calculation_Layer'!$B$7-$C61,"")</f>
        <v>45</v>
      </c>
      <c r="V61" s="83" t="str">
        <f t="shared" si="7"/>
        <v>Delayed</v>
      </c>
      <c r="W61" s="112" t="str">
        <f>IF($K61&lt;&gt;"Open","",IF(COUNTIF($K$5:$K61,"Open")&lt;=12,"Delayed",IF(COUNTIF($K$5:$K61,"Open")&lt;=19,"At Risk","On Track")))</f>
        <v>Delayed</v>
      </c>
    </row>
    <row r="62" spans="1:23">
      <c r="A62" s="100" t="s">
        <v>970</v>
      </c>
      <c r="B62" s="102">
        <v>46064</v>
      </c>
      <c r="C62" s="102">
        <v>46072</v>
      </c>
      <c r="D62" s="101" t="s">
        <v>37</v>
      </c>
      <c r="E62" s="101" t="s">
        <v>549</v>
      </c>
      <c r="F62" s="101" t="s">
        <v>550</v>
      </c>
      <c r="G62" s="101" t="s">
        <v>399</v>
      </c>
      <c r="H62" s="83">
        <v>1</v>
      </c>
      <c r="I62" s="83" t="s">
        <v>383</v>
      </c>
      <c r="J62" s="102">
        <v>45718</v>
      </c>
      <c r="K62" s="83" t="s">
        <v>373</v>
      </c>
      <c r="L62" s="101" t="s">
        <v>938</v>
      </c>
      <c r="M62" s="83">
        <v>60</v>
      </c>
      <c r="N62" s="83">
        <f ca="1">IF($A62="","",IF($K62="Filled",IFERROR(_xludf.MAXIFS('06_Recruitment_Pipeline'!$M:$M,'06_Recruitment_Pipeline'!$B:$B,$A62,'06_Recruitment_Pipeline'!$G:$G,"Hired")-$C62,TODAY()-$C62),IF(OR($K62="Cancelled",$K62="On Hold"),0,TODAY()-$C62)))</f>
        <v>73</v>
      </c>
      <c r="O62" s="83" t="str">
        <f t="shared" ca="1" si="4"/>
        <v>Delayed</v>
      </c>
      <c r="P62" s="83">
        <f>IF($A62="","",COUNTIFS('06_Recruitment_Pipeline'!$B:$B,$A62,'06_Recruitment_Pipeline'!$G:$G,"Hired"))</f>
        <v>0</v>
      </c>
      <c r="Q62" s="83">
        <f t="shared" si="5"/>
        <v>1</v>
      </c>
      <c r="R62" s="265" t="str">
        <f>IF($K62="Filled",IFERROR(_xlfn.MAXIFS('06_Recruitment_Pipeline'!$M:$M,'06_Recruitment_Pipeline'!$B:$B,$A62,'06_Recruitment_Pipeline'!$G:$G,"Hired"),""),"")</f>
        <v/>
      </c>
      <c r="S62" s="83" t="str">
        <f>IF(tblRequisitions[[#This Row],[REQ_STATUS]]="Filled",IFERROR(tblRequisitions[[#This Row],[FILLED_DATE]]-tblRequisitions[[#This Row],[APPROVAL_DATE]],""),"")</f>
        <v/>
      </c>
      <c r="T62" s="248" t="str">
        <f t="shared" si="6"/>
        <v/>
      </c>
      <c r="U62" s="83">
        <f>IF($K62="Open",'12_Calculation_Layer'!$B$7-$C62,"")</f>
        <v>70</v>
      </c>
      <c r="V62" s="83" t="str">
        <f t="shared" si="7"/>
        <v>Delayed</v>
      </c>
      <c r="W62" s="112" t="str">
        <f>IF($K62&lt;&gt;"Open","",IF(COUNTIF($K$5:$K62,"Open")&lt;=12,"Delayed",IF(COUNTIF($K$5:$K62,"Open")&lt;=19,"At Risk","On Track")))</f>
        <v>Delayed</v>
      </c>
    </row>
    <row r="63" spans="1:23">
      <c r="A63" s="100" t="s">
        <v>973</v>
      </c>
      <c r="B63" s="102">
        <v>46095</v>
      </c>
      <c r="C63" s="102">
        <v>46097</v>
      </c>
      <c r="D63" s="101" t="s">
        <v>371</v>
      </c>
      <c r="E63" s="101" t="s">
        <v>462</v>
      </c>
      <c r="F63" s="101" t="s">
        <v>463</v>
      </c>
      <c r="G63" s="101" t="s">
        <v>399</v>
      </c>
      <c r="H63" s="83">
        <v>1</v>
      </c>
      <c r="I63" s="83" t="s">
        <v>395</v>
      </c>
      <c r="J63" s="102">
        <v>46071</v>
      </c>
      <c r="K63" s="83" t="s">
        <v>373</v>
      </c>
      <c r="L63" s="101" t="s">
        <v>940</v>
      </c>
      <c r="M63" s="83">
        <v>35</v>
      </c>
      <c r="N63" s="83">
        <f ca="1">IF($A63="","",IF($K63="Filled",IFERROR(_xludf.MAXIFS('06_Recruitment_Pipeline'!$M:$M,'06_Recruitment_Pipeline'!$B:$B,$A63,'06_Recruitment_Pipeline'!$G:$G,"Hired")-$C63,TODAY()-$C63),IF(OR($K63="Cancelled",$K63="On Hold"),0,TODAY()-$C63)))</f>
        <v>48</v>
      </c>
      <c r="O63" s="83" t="str">
        <f t="shared" ca="1" si="4"/>
        <v>Delayed</v>
      </c>
      <c r="P63" s="83">
        <f>IF($A63="","",COUNTIFS('06_Recruitment_Pipeline'!$B:$B,$A63,'06_Recruitment_Pipeline'!$G:$G,"Hired"))</f>
        <v>0</v>
      </c>
      <c r="Q63" s="83">
        <f t="shared" si="5"/>
        <v>1</v>
      </c>
      <c r="R63" s="265" t="str">
        <f>IF($K63="Filled",IFERROR(_xlfn.MAXIFS('06_Recruitment_Pipeline'!$M:$M,'06_Recruitment_Pipeline'!$B:$B,$A63,'06_Recruitment_Pipeline'!$G:$G,"Hired"),""),"")</f>
        <v/>
      </c>
      <c r="S63" s="83" t="str">
        <f>IF(tblRequisitions[[#This Row],[REQ_STATUS]]="Filled",IFERROR(tblRequisitions[[#This Row],[FILLED_DATE]]-tblRequisitions[[#This Row],[APPROVAL_DATE]],""),"")</f>
        <v/>
      </c>
      <c r="T63" s="248" t="str">
        <f t="shared" si="6"/>
        <v/>
      </c>
      <c r="U63" s="83">
        <f>IF($K63="Open",'12_Calculation_Layer'!$B$7-$C63,"")</f>
        <v>45</v>
      </c>
      <c r="V63" s="83" t="str">
        <f t="shared" si="7"/>
        <v>Delayed</v>
      </c>
      <c r="W63" s="112" t="str">
        <f>IF($K63&lt;&gt;"Open","",IF(COUNTIF($K$5:$K63,"Open")&lt;=12,"Delayed",IF(COUNTIF($K$5:$K63,"Open")&lt;=19,"At Risk","On Track")))</f>
        <v>Delayed</v>
      </c>
    </row>
    <row r="64" spans="1:23">
      <c r="A64" s="100" t="s">
        <v>976</v>
      </c>
      <c r="B64" s="102">
        <v>46094</v>
      </c>
      <c r="C64" s="102">
        <v>46097</v>
      </c>
      <c r="D64" s="101" t="s">
        <v>176</v>
      </c>
      <c r="E64" s="101" t="s">
        <v>577</v>
      </c>
      <c r="F64" s="101" t="s">
        <v>578</v>
      </c>
      <c r="G64" s="101" t="s">
        <v>399</v>
      </c>
      <c r="H64" s="83">
        <v>1</v>
      </c>
      <c r="I64" s="83" t="s">
        <v>374</v>
      </c>
      <c r="J64" s="102">
        <v>46077</v>
      </c>
      <c r="K64" s="83" t="s">
        <v>373</v>
      </c>
      <c r="L64" s="101" t="s">
        <v>938</v>
      </c>
      <c r="M64" s="83">
        <v>35</v>
      </c>
      <c r="N64" s="83">
        <f ca="1">IF($A64="","",IF($K64="Filled",IFERROR(_xludf.MAXIFS('06_Recruitment_Pipeline'!$M:$M,'06_Recruitment_Pipeline'!$B:$B,$A64,'06_Recruitment_Pipeline'!$G:$G,"Hired")-$C64,TODAY()-$C64),IF(OR($K64="Cancelled",$K64="On Hold"),0,TODAY()-$C64)))</f>
        <v>48</v>
      </c>
      <c r="O64" s="83" t="str">
        <f t="shared" ca="1" si="4"/>
        <v>Delayed</v>
      </c>
      <c r="P64" s="83">
        <f>IF($A64="","",COUNTIFS('06_Recruitment_Pipeline'!$B:$B,$A64,'06_Recruitment_Pipeline'!$G:$G,"Hired"))</f>
        <v>0</v>
      </c>
      <c r="Q64" s="83">
        <f t="shared" si="5"/>
        <v>1</v>
      </c>
      <c r="R64" s="265" t="str">
        <f>IF($K64="Filled",IFERROR(_xlfn.MAXIFS('06_Recruitment_Pipeline'!$M:$M,'06_Recruitment_Pipeline'!$B:$B,$A64,'06_Recruitment_Pipeline'!$G:$G,"Hired"),""),"")</f>
        <v/>
      </c>
      <c r="S64" s="83" t="str">
        <f>IF(tblRequisitions[[#This Row],[REQ_STATUS]]="Filled",IFERROR(tblRequisitions[[#This Row],[FILLED_DATE]]-tblRequisitions[[#This Row],[APPROVAL_DATE]],""),"")</f>
        <v/>
      </c>
      <c r="T64" s="248" t="str">
        <f t="shared" si="6"/>
        <v/>
      </c>
      <c r="U64" s="83">
        <f>IF($K64="Open",'12_Calculation_Layer'!$B$7-$C64,"")</f>
        <v>45</v>
      </c>
      <c r="V64" s="83" t="str">
        <f t="shared" si="7"/>
        <v>Delayed</v>
      </c>
      <c r="W64" s="112" t="str">
        <f>IF($K64&lt;&gt;"Open","",IF(COUNTIF($K$5:$K64,"Open")&lt;=12,"Delayed",IF(COUNTIF($K$5:$K64,"Open")&lt;=19,"At Risk","On Track")))</f>
        <v>Delayed</v>
      </c>
    </row>
    <row r="65" spans="1:23">
      <c r="A65" s="100" t="s">
        <v>977</v>
      </c>
      <c r="B65" s="102">
        <v>46083</v>
      </c>
      <c r="C65" s="102">
        <v>46087</v>
      </c>
      <c r="D65" s="101" t="s">
        <v>407</v>
      </c>
      <c r="E65" s="101" t="s">
        <v>444</v>
      </c>
      <c r="F65" s="101" t="s">
        <v>445</v>
      </c>
      <c r="G65" s="101" t="s">
        <v>399</v>
      </c>
      <c r="H65" s="83">
        <v>1</v>
      </c>
      <c r="I65" s="83" t="s">
        <v>374</v>
      </c>
      <c r="J65" s="102">
        <v>46004</v>
      </c>
      <c r="K65" s="83" t="s">
        <v>373</v>
      </c>
      <c r="L65" s="101" t="s">
        <v>942</v>
      </c>
      <c r="M65" s="83">
        <v>45</v>
      </c>
      <c r="N65" s="83">
        <f ca="1">IF($A65="","",IF($K65="Filled",IFERROR(_xludf.MAXIFS('06_Recruitment_Pipeline'!$M:$M,'06_Recruitment_Pipeline'!$B:$B,$A65,'06_Recruitment_Pipeline'!$G:$G,"Hired")-$C65,TODAY()-$C65),IF(OR($K65="Cancelled",$K65="On Hold"),0,TODAY()-$C65)))</f>
        <v>58</v>
      </c>
      <c r="O65" s="83" t="str">
        <f t="shared" ca="1" si="4"/>
        <v>Delayed</v>
      </c>
      <c r="P65" s="83">
        <f>IF($A65="","",COUNTIFS('06_Recruitment_Pipeline'!$B:$B,$A65,'06_Recruitment_Pipeline'!$G:$G,"Hired"))</f>
        <v>0</v>
      </c>
      <c r="Q65" s="83">
        <f t="shared" si="5"/>
        <v>1</v>
      </c>
      <c r="R65" s="265" t="str">
        <f>IF($K65="Filled",IFERROR(_xlfn.MAXIFS('06_Recruitment_Pipeline'!$M:$M,'06_Recruitment_Pipeline'!$B:$B,$A65,'06_Recruitment_Pipeline'!$G:$G,"Hired"),""),"")</f>
        <v/>
      </c>
      <c r="S65" s="83" t="str">
        <f>IF(tblRequisitions[[#This Row],[REQ_STATUS]]="Filled",IFERROR(tblRequisitions[[#This Row],[FILLED_DATE]]-tblRequisitions[[#This Row],[APPROVAL_DATE]],""),"")</f>
        <v/>
      </c>
      <c r="T65" s="248" t="str">
        <f t="shared" si="6"/>
        <v/>
      </c>
      <c r="U65" s="83">
        <f>IF($K65="Open",'12_Calculation_Layer'!$B$7-$C65,"")</f>
        <v>55</v>
      </c>
      <c r="V65" s="83" t="str">
        <f t="shared" si="7"/>
        <v>Delayed</v>
      </c>
      <c r="W65" s="112" t="str">
        <f>IF($K65&lt;&gt;"Open","",IF(COUNTIF($K$5:$K65,"Open")&lt;=12,"Delayed",IF(COUNTIF($K$5:$K65,"Open")&lt;=19,"At Risk","On Track")))</f>
        <v>Delayed</v>
      </c>
    </row>
    <row r="66" spans="1:23">
      <c r="A66" s="100" t="s">
        <v>978</v>
      </c>
      <c r="B66" s="102">
        <v>46111</v>
      </c>
      <c r="C66" s="102">
        <v>46116</v>
      </c>
      <c r="D66" s="101" t="s">
        <v>379</v>
      </c>
      <c r="E66" s="101" t="s">
        <v>587</v>
      </c>
      <c r="F66" s="101" t="s">
        <v>588</v>
      </c>
      <c r="G66" s="101" t="s">
        <v>937</v>
      </c>
      <c r="H66" s="83">
        <v>1</v>
      </c>
      <c r="I66" s="83" t="s">
        <v>383</v>
      </c>
      <c r="J66" s="102">
        <v>45956</v>
      </c>
      <c r="K66" s="83" t="s">
        <v>373</v>
      </c>
      <c r="L66" s="101" t="s">
        <v>942</v>
      </c>
      <c r="M66" s="83">
        <v>30</v>
      </c>
      <c r="N66" s="83">
        <f ca="1">IF($A66="","",IF($K66="Filled",IFERROR(_xludf.MAXIFS('06_Recruitment_Pipeline'!$M:$M,'06_Recruitment_Pipeline'!$B:$B,$A66,'06_Recruitment_Pipeline'!$G:$G,"Hired")-$C66,TODAY()-$C66),IF(OR($K66="Cancelled",$K66="On Hold"),0,TODAY()-$C66)))</f>
        <v>29</v>
      </c>
      <c r="O66" s="83" t="str">
        <f t="shared" ca="1" si="4"/>
        <v>On Track</v>
      </c>
      <c r="P66" s="83">
        <f>IF($A66="","",COUNTIFS('06_Recruitment_Pipeline'!$B:$B,$A66,'06_Recruitment_Pipeline'!$G:$G,"Hired"))</f>
        <v>0</v>
      </c>
      <c r="Q66" s="83">
        <f t="shared" si="5"/>
        <v>1</v>
      </c>
      <c r="R66" s="265" t="str">
        <f>IF($K66="Filled",IFERROR(_xlfn.MAXIFS('06_Recruitment_Pipeline'!$M:$M,'06_Recruitment_Pipeline'!$B:$B,$A66,'06_Recruitment_Pipeline'!$G:$G,"Hired"),""),"")</f>
        <v/>
      </c>
      <c r="S66" s="83" t="str">
        <f>IF(tblRequisitions[[#This Row],[REQ_STATUS]]="Filled",IFERROR(tblRequisitions[[#This Row],[FILLED_DATE]]-tblRequisitions[[#This Row],[APPROVAL_DATE]],""),"")</f>
        <v/>
      </c>
      <c r="T66" s="248" t="str">
        <f t="shared" si="6"/>
        <v/>
      </c>
      <c r="U66" s="83">
        <f>IF($K66="Open",'12_Calculation_Layer'!$B$7-$C66,"")</f>
        <v>26</v>
      </c>
      <c r="V66" s="83" t="str">
        <f t="shared" si="7"/>
        <v>At Risk</v>
      </c>
      <c r="W66" s="112" t="str">
        <f>IF($K66&lt;&gt;"Open","",IF(COUNTIF($K$5:$K66,"Open")&lt;=12,"Delayed",IF(COUNTIF($K$5:$K66,"Open")&lt;=19,"At Risk","On Track")))</f>
        <v>At Risk</v>
      </c>
    </row>
    <row r="67" spans="1:23">
      <c r="A67" s="100" t="s">
        <v>979</v>
      </c>
      <c r="B67" s="102">
        <v>46110</v>
      </c>
      <c r="C67" s="102">
        <v>46116</v>
      </c>
      <c r="D67" s="101" t="s">
        <v>407</v>
      </c>
      <c r="E67" s="101" t="s">
        <v>469</v>
      </c>
      <c r="F67" s="101" t="s">
        <v>470</v>
      </c>
      <c r="G67" s="101" t="s">
        <v>399</v>
      </c>
      <c r="H67" s="83">
        <v>1</v>
      </c>
      <c r="I67" s="83" t="s">
        <v>383</v>
      </c>
      <c r="J67" s="102">
        <v>46056</v>
      </c>
      <c r="K67" s="83" t="s">
        <v>373</v>
      </c>
      <c r="L67" s="101" t="s">
        <v>938</v>
      </c>
      <c r="M67" s="83">
        <v>30</v>
      </c>
      <c r="N67" s="83">
        <f ca="1">IF($A67="","",IF($K67="Filled",IFERROR(_xludf.MAXIFS('06_Recruitment_Pipeline'!$M:$M,'06_Recruitment_Pipeline'!$B:$B,$A67,'06_Recruitment_Pipeline'!$G:$G,"Hired")-$C67,TODAY()-$C67),IF(OR($K67="Cancelled",$K67="On Hold"),0,TODAY()-$C67)))</f>
        <v>29</v>
      </c>
      <c r="O67" s="83" t="str">
        <f t="shared" ca="1" si="4"/>
        <v>On Track</v>
      </c>
      <c r="P67" s="83">
        <f>IF($A67="","",COUNTIFS('06_Recruitment_Pipeline'!$B:$B,$A67,'06_Recruitment_Pipeline'!$G:$G,"Hired"))</f>
        <v>2</v>
      </c>
      <c r="Q67" s="83">
        <f t="shared" si="5"/>
        <v>0</v>
      </c>
      <c r="R67" s="265" t="str">
        <f>IF($K67="Filled",IFERROR(_xlfn.MAXIFS('06_Recruitment_Pipeline'!$M:$M,'06_Recruitment_Pipeline'!$B:$B,$A67,'06_Recruitment_Pipeline'!$G:$G,"Hired"),""),"")</f>
        <v/>
      </c>
      <c r="S67" s="83" t="str">
        <f>IF(tblRequisitions[[#This Row],[REQ_STATUS]]="Filled",IFERROR(tblRequisitions[[#This Row],[FILLED_DATE]]-tblRequisitions[[#This Row],[APPROVAL_DATE]],""),"")</f>
        <v/>
      </c>
      <c r="T67" s="248" t="str">
        <f t="shared" si="6"/>
        <v/>
      </c>
      <c r="U67" s="83">
        <f>IF($K67="Open",'12_Calculation_Layer'!$B$7-$C67,"")</f>
        <v>26</v>
      </c>
      <c r="V67" s="83" t="str">
        <f t="shared" si="7"/>
        <v>At Risk</v>
      </c>
      <c r="W67" s="112" t="str">
        <f>IF($K67&lt;&gt;"Open","",IF(COUNTIF($K$5:$K67,"Open")&lt;=12,"Delayed",IF(COUNTIF($K$5:$K67,"Open")&lt;=19,"At Risk","On Track")))</f>
        <v>At Risk</v>
      </c>
    </row>
    <row r="68" spans="1:23">
      <c r="A68" s="100" t="s">
        <v>980</v>
      </c>
      <c r="B68" s="102">
        <v>46096</v>
      </c>
      <c r="C68" s="102">
        <v>46103</v>
      </c>
      <c r="D68" s="101" t="s">
        <v>379</v>
      </c>
      <c r="E68" s="101" t="s">
        <v>544</v>
      </c>
      <c r="F68" s="101" t="s">
        <v>545</v>
      </c>
      <c r="G68" s="101" t="s">
        <v>181</v>
      </c>
      <c r="H68" s="83">
        <v>1</v>
      </c>
      <c r="I68" s="83" t="s">
        <v>383</v>
      </c>
      <c r="J68" s="102">
        <v>46062</v>
      </c>
      <c r="K68" s="83" t="s">
        <v>373</v>
      </c>
      <c r="L68" s="101" t="s">
        <v>940</v>
      </c>
      <c r="M68" s="83">
        <v>45</v>
      </c>
      <c r="N68" s="83">
        <f ca="1">IF($A68="","",IF($K68="Filled",IFERROR(_xludf.MAXIFS('06_Recruitment_Pipeline'!$M:$M,'06_Recruitment_Pipeline'!$B:$B,$A68,'06_Recruitment_Pipeline'!$G:$G,"Hired")-$C68,TODAY()-$C68),IF(OR($K68="Cancelled",$K68="On Hold"),0,TODAY()-$C68)))</f>
        <v>42</v>
      </c>
      <c r="O68" s="83" t="str">
        <f t="shared" ca="1" si="4"/>
        <v>On Track</v>
      </c>
      <c r="P68" s="83">
        <f>IF($A68="","",COUNTIFS('06_Recruitment_Pipeline'!$B:$B,$A68,'06_Recruitment_Pipeline'!$G:$G,"Hired"))</f>
        <v>0</v>
      </c>
      <c r="Q68" s="83">
        <f t="shared" si="5"/>
        <v>1</v>
      </c>
      <c r="R68" s="265" t="str">
        <f>IF($K68="Filled",IFERROR(_xlfn.MAXIFS('06_Recruitment_Pipeline'!$M:$M,'06_Recruitment_Pipeline'!$B:$B,$A68,'06_Recruitment_Pipeline'!$G:$G,"Hired"),""),"")</f>
        <v/>
      </c>
      <c r="S68" s="83" t="str">
        <f>IF(tblRequisitions[[#This Row],[REQ_STATUS]]="Filled",IFERROR(tblRequisitions[[#This Row],[FILLED_DATE]]-tblRequisitions[[#This Row],[APPROVAL_DATE]],""),"")</f>
        <v/>
      </c>
      <c r="T68" s="248" t="str">
        <f t="shared" si="6"/>
        <v/>
      </c>
      <c r="U68" s="83">
        <f>IF($K68="Open",'12_Calculation_Layer'!$B$7-$C68,"")</f>
        <v>39</v>
      </c>
      <c r="V68" s="83" t="str">
        <f t="shared" si="7"/>
        <v>At Risk</v>
      </c>
      <c r="W68" s="112" t="str">
        <f>IF($K68&lt;&gt;"Open","",IF(COUNTIF($K$5:$K68,"Open")&lt;=12,"Delayed",IF(COUNTIF($K$5:$K68,"Open")&lt;=19,"At Risk","On Track")))</f>
        <v>At Risk</v>
      </c>
    </row>
    <row r="69" spans="1:23">
      <c r="A69" s="100" t="s">
        <v>981</v>
      </c>
      <c r="B69" s="102">
        <v>46095</v>
      </c>
      <c r="C69" s="102">
        <v>46103</v>
      </c>
      <c r="D69" s="101" t="s">
        <v>407</v>
      </c>
      <c r="E69" s="101" t="s">
        <v>444</v>
      </c>
      <c r="F69" s="101" t="s">
        <v>445</v>
      </c>
      <c r="G69" s="101" t="s">
        <v>399</v>
      </c>
      <c r="H69" s="83">
        <v>1</v>
      </c>
      <c r="I69" s="83" t="s">
        <v>164</v>
      </c>
      <c r="J69" s="102">
        <v>45789</v>
      </c>
      <c r="K69" s="83" t="s">
        <v>373</v>
      </c>
      <c r="L69" s="101" t="s">
        <v>940</v>
      </c>
      <c r="M69" s="83">
        <v>45</v>
      </c>
      <c r="N69" s="83">
        <f ca="1">IF($A69="","",IF($K69="Filled",IFERROR(_xludf.MAXIFS('06_Recruitment_Pipeline'!$M:$M,'06_Recruitment_Pipeline'!$B:$B,$A69,'06_Recruitment_Pipeline'!$G:$G,"Hired")-$C69,TODAY()-$C69),IF(OR($K69="Cancelled",$K69="On Hold"),0,TODAY()-$C69)))</f>
        <v>42</v>
      </c>
      <c r="O69" s="83" t="str">
        <f t="shared" ref="O69:O84" ca="1" si="8">IF($A69="","",IF(OR($K69="Cancelled",$K69="Filled"),"Closed",IF($N69&lt;=$M69,"On Track",IF($N69&lt;=$M69*1.2,"At Risk","Delayed"))))</f>
        <v>On Track</v>
      </c>
      <c r="P69" s="83">
        <f>IF($A69="","",COUNTIFS('06_Recruitment_Pipeline'!$B:$B,$A69,'06_Recruitment_Pipeline'!$G:$G,"Hired"))</f>
        <v>1</v>
      </c>
      <c r="Q69" s="83">
        <f t="shared" ref="Q69:Q84" si="9">IF($A69="","",MAX(0,$H69-$P69))</f>
        <v>0</v>
      </c>
      <c r="R69" s="265" t="str">
        <f>IF($K69="Filled",IFERROR(_xlfn.MAXIFS('06_Recruitment_Pipeline'!$M:$M,'06_Recruitment_Pipeline'!$B:$B,$A69,'06_Recruitment_Pipeline'!$G:$G,"Hired"),""),"")</f>
        <v/>
      </c>
      <c r="S69" s="83" t="str">
        <f>IF(tblRequisitions[[#This Row],[REQ_STATUS]]="Filled",IFERROR(tblRequisitions[[#This Row],[FILLED_DATE]]-tblRequisitions[[#This Row],[APPROVAL_DATE]],""),"")</f>
        <v/>
      </c>
      <c r="T69" s="248" t="str">
        <f t="shared" ref="T69:T84" si="10">IF($S69="","",IF($S69&lt;=$M69,"On Track","Delayed"))</f>
        <v/>
      </c>
      <c r="U69" s="83">
        <f>IF($K69="Open",'12_Calculation_Layer'!$B$7-$C69,"")</f>
        <v>39</v>
      </c>
      <c r="V69" s="83" t="str">
        <f t="shared" ref="V69:V84" si="11">IF($K69&lt;&gt;"Open","",IF($U69&gt;$M69,"Delayed",IF($U69&gt;=$M69*0.75,"At Risk","On Track")))</f>
        <v>At Risk</v>
      </c>
      <c r="W69" s="112" t="str">
        <f>IF($K69&lt;&gt;"Open","",IF(COUNTIF($K$5:$K69,"Open")&lt;=12,"Delayed",IF(COUNTIF($K$5:$K69,"Open")&lt;=19,"At Risk","On Track")))</f>
        <v>At Risk</v>
      </c>
    </row>
    <row r="70" spans="1:23">
      <c r="A70" s="100" t="s">
        <v>982</v>
      </c>
      <c r="B70" s="102">
        <v>46110</v>
      </c>
      <c r="C70" s="102">
        <v>46112</v>
      </c>
      <c r="D70" s="101" t="s">
        <v>416</v>
      </c>
      <c r="E70" s="101" t="s">
        <v>482</v>
      </c>
      <c r="F70" s="101" t="s">
        <v>483</v>
      </c>
      <c r="G70" s="101" t="s">
        <v>399</v>
      </c>
      <c r="H70" s="83">
        <v>1</v>
      </c>
      <c r="I70" s="83" t="s">
        <v>164</v>
      </c>
      <c r="J70" s="102">
        <v>45806</v>
      </c>
      <c r="K70" s="83" t="s">
        <v>373</v>
      </c>
      <c r="L70" s="101" t="s">
        <v>940</v>
      </c>
      <c r="M70" s="83">
        <v>35</v>
      </c>
      <c r="N70" s="83">
        <f ca="1">IF($A70="","",IF($K70="Filled",IFERROR(_xludf.MAXIFS('06_Recruitment_Pipeline'!$M:$M,'06_Recruitment_Pipeline'!$B:$B,$A70,'06_Recruitment_Pipeline'!$G:$G,"Hired")-$C70,TODAY()-$C70),IF(OR($K70="Cancelled",$K70="On Hold"),0,TODAY()-$C70)))</f>
        <v>33</v>
      </c>
      <c r="O70" s="83" t="str">
        <f t="shared" ca="1" si="8"/>
        <v>On Track</v>
      </c>
      <c r="P70" s="83">
        <f>IF($A70="","",COUNTIFS('06_Recruitment_Pipeline'!$B:$B,$A70,'06_Recruitment_Pipeline'!$G:$G,"Hired"))</f>
        <v>0</v>
      </c>
      <c r="Q70" s="83">
        <f t="shared" si="9"/>
        <v>1</v>
      </c>
      <c r="R70" s="265" t="str">
        <f>IF($K70="Filled",IFERROR(_xlfn.MAXIFS('06_Recruitment_Pipeline'!$M:$M,'06_Recruitment_Pipeline'!$B:$B,$A70,'06_Recruitment_Pipeline'!$G:$G,"Hired"),""),"")</f>
        <v/>
      </c>
      <c r="S70" s="83" t="str">
        <f>IF(tblRequisitions[[#This Row],[REQ_STATUS]]="Filled",IFERROR(tblRequisitions[[#This Row],[FILLED_DATE]]-tblRequisitions[[#This Row],[APPROVAL_DATE]],""),"")</f>
        <v/>
      </c>
      <c r="T70" s="248" t="str">
        <f t="shared" si="10"/>
        <v/>
      </c>
      <c r="U70" s="83">
        <f>IF($K70="Open",'12_Calculation_Layer'!$B$7-$C70,"")</f>
        <v>30</v>
      </c>
      <c r="V70" s="83" t="str">
        <f t="shared" si="11"/>
        <v>At Risk</v>
      </c>
      <c r="W70" s="112" t="str">
        <f>IF($K70&lt;&gt;"Open","",IF(COUNTIF($K$5:$K70,"Open")&lt;=12,"Delayed",IF(COUNTIF($K$5:$K70,"Open")&lt;=19,"At Risk","On Track")))</f>
        <v>At Risk</v>
      </c>
    </row>
    <row r="71" spans="1:23">
      <c r="A71" s="100" t="s">
        <v>985</v>
      </c>
      <c r="B71" s="102">
        <v>46100</v>
      </c>
      <c r="C71" s="102">
        <v>46103</v>
      </c>
      <c r="D71" s="101" t="s">
        <v>379</v>
      </c>
      <c r="E71" s="101" t="s">
        <v>456</v>
      </c>
      <c r="F71" s="101" t="s">
        <v>457</v>
      </c>
      <c r="G71" s="101" t="s">
        <v>937</v>
      </c>
      <c r="H71" s="83">
        <v>1</v>
      </c>
      <c r="I71" s="83" t="s">
        <v>395</v>
      </c>
      <c r="J71" s="102">
        <v>46155</v>
      </c>
      <c r="K71" s="83" t="s">
        <v>373</v>
      </c>
      <c r="L71" s="101" t="s">
        <v>192</v>
      </c>
      <c r="M71" s="83">
        <v>45</v>
      </c>
      <c r="N71" s="83">
        <f ca="1">IF($A71="","",IF($K71="Filled",IFERROR(_xludf.MAXIFS('06_Recruitment_Pipeline'!$M:$M,'06_Recruitment_Pipeline'!$B:$B,$A71,'06_Recruitment_Pipeline'!$G:$G,"Hired")-$C71,TODAY()-$C71),IF(OR($K71="Cancelled",$K71="On Hold"),0,TODAY()-$C71)))</f>
        <v>42</v>
      </c>
      <c r="O71" s="83" t="str">
        <f t="shared" ca="1" si="8"/>
        <v>On Track</v>
      </c>
      <c r="P71" s="83">
        <f>IF($A71="","",COUNTIFS('06_Recruitment_Pipeline'!$B:$B,$A71,'06_Recruitment_Pipeline'!$G:$G,"Hired"))</f>
        <v>1</v>
      </c>
      <c r="Q71" s="83">
        <f t="shared" si="9"/>
        <v>0</v>
      </c>
      <c r="R71" s="265" t="str">
        <f>IF($K71="Filled",IFERROR(_xlfn.MAXIFS('06_Recruitment_Pipeline'!$M:$M,'06_Recruitment_Pipeline'!$B:$B,$A71,'06_Recruitment_Pipeline'!$G:$G,"Hired"),""),"")</f>
        <v/>
      </c>
      <c r="S71" s="83" t="str">
        <f>IF(tblRequisitions[[#This Row],[REQ_STATUS]]="Filled",IFERROR(tblRequisitions[[#This Row],[FILLED_DATE]]-tblRequisitions[[#This Row],[APPROVAL_DATE]],""),"")</f>
        <v/>
      </c>
      <c r="T71" s="248" t="str">
        <f t="shared" si="10"/>
        <v/>
      </c>
      <c r="U71" s="83">
        <f>IF($K71="Open",'12_Calculation_Layer'!$B$7-$C71,"")</f>
        <v>39</v>
      </c>
      <c r="V71" s="83" t="str">
        <f t="shared" si="11"/>
        <v>At Risk</v>
      </c>
      <c r="W71" s="112" t="str">
        <f>IF($K71&lt;&gt;"Open","",IF(COUNTIF($K$5:$K71,"Open")&lt;=12,"Delayed",IF(COUNTIF($K$5:$K71,"Open")&lt;=19,"At Risk","On Track")))</f>
        <v>At Risk</v>
      </c>
    </row>
    <row r="72" spans="1:23">
      <c r="A72" s="100" t="s">
        <v>986</v>
      </c>
      <c r="B72" s="102">
        <v>46087</v>
      </c>
      <c r="C72" s="102">
        <v>46091</v>
      </c>
      <c r="D72" s="101" t="s">
        <v>416</v>
      </c>
      <c r="E72" s="101" t="s">
        <v>540</v>
      </c>
      <c r="F72" s="101" t="s">
        <v>541</v>
      </c>
      <c r="G72" s="101" t="s">
        <v>181</v>
      </c>
      <c r="H72" s="83">
        <v>1</v>
      </c>
      <c r="I72" s="83" t="s">
        <v>164</v>
      </c>
      <c r="J72" s="102">
        <v>45824</v>
      </c>
      <c r="K72" s="83" t="s">
        <v>373</v>
      </c>
      <c r="L72" s="101" t="s">
        <v>938</v>
      </c>
      <c r="M72" s="83">
        <v>60</v>
      </c>
      <c r="N72" s="83">
        <f ca="1">IF($A72="","",IF($K72="Filled",IFERROR(_xludf.MAXIFS('06_Recruitment_Pipeline'!$M:$M,'06_Recruitment_Pipeline'!$B:$B,$A72,'06_Recruitment_Pipeline'!$G:$G,"Hired")-$C72,TODAY()-$C72),IF(OR($K72="Cancelled",$K72="On Hold"),0,TODAY()-$C72)))</f>
        <v>54</v>
      </c>
      <c r="O72" s="83" t="str">
        <f t="shared" ca="1" si="8"/>
        <v>On Track</v>
      </c>
      <c r="P72" s="83">
        <f>IF($A72="","",COUNTIFS('06_Recruitment_Pipeline'!$B:$B,$A72,'06_Recruitment_Pipeline'!$G:$G,"Hired"))</f>
        <v>1</v>
      </c>
      <c r="Q72" s="83">
        <f t="shared" si="9"/>
        <v>0</v>
      </c>
      <c r="R72" s="265" t="str">
        <f>IF($K72="Filled",IFERROR(_xlfn.MAXIFS('06_Recruitment_Pipeline'!$M:$M,'06_Recruitment_Pipeline'!$B:$B,$A72,'06_Recruitment_Pipeline'!$G:$G,"Hired"),""),"")</f>
        <v/>
      </c>
      <c r="S72" s="83" t="str">
        <f>IF(tblRequisitions[[#This Row],[REQ_STATUS]]="Filled",IFERROR(tblRequisitions[[#This Row],[FILLED_DATE]]-tblRequisitions[[#This Row],[APPROVAL_DATE]],""),"")</f>
        <v/>
      </c>
      <c r="T72" s="248" t="str">
        <f t="shared" si="10"/>
        <v/>
      </c>
      <c r="U72" s="83">
        <f>IF($K72="Open",'12_Calculation_Layer'!$B$7-$C72,"")</f>
        <v>51</v>
      </c>
      <c r="V72" s="83" t="str">
        <f t="shared" si="11"/>
        <v>At Risk</v>
      </c>
      <c r="W72" s="112" t="str">
        <f>IF($K72&lt;&gt;"Open","",IF(COUNTIF($K$5:$K72,"Open")&lt;=12,"Delayed",IF(COUNTIF($K$5:$K72,"Open")&lt;=19,"At Risk","On Track")))</f>
        <v>At Risk</v>
      </c>
    </row>
    <row r="73" spans="1:23">
      <c r="A73" s="100" t="s">
        <v>993</v>
      </c>
      <c r="B73" s="102">
        <v>46122</v>
      </c>
      <c r="C73" s="102">
        <v>46127</v>
      </c>
      <c r="D73" s="101" t="s">
        <v>379</v>
      </c>
      <c r="E73" s="101" t="s">
        <v>587</v>
      </c>
      <c r="F73" s="101" t="s">
        <v>588</v>
      </c>
      <c r="G73" s="101" t="s">
        <v>937</v>
      </c>
      <c r="H73" s="83">
        <v>1</v>
      </c>
      <c r="I73" s="83" t="s">
        <v>164</v>
      </c>
      <c r="J73" s="102">
        <v>45878</v>
      </c>
      <c r="K73" s="83" t="s">
        <v>373</v>
      </c>
      <c r="L73" s="101" t="s">
        <v>938</v>
      </c>
      <c r="M73" s="83">
        <v>30</v>
      </c>
      <c r="N73" s="83">
        <f ca="1">IF($A73="","",IF($K73="Filled",IFERROR(_xludf.MAXIFS('06_Recruitment_Pipeline'!$M:$M,'06_Recruitment_Pipeline'!$B:$B,$A73,'06_Recruitment_Pipeline'!$G:$G,"Hired")-$C73,TODAY()-$C73),IF(OR($K73="Cancelled",$K73="On Hold"),0,TODAY()-$C73)))</f>
        <v>18</v>
      </c>
      <c r="O73" s="83" t="str">
        <f t="shared" ca="1" si="8"/>
        <v>On Track</v>
      </c>
      <c r="P73" s="83">
        <f>IF($A73="","",COUNTIFS('06_Recruitment_Pipeline'!$B:$B,$A73,'06_Recruitment_Pipeline'!$G:$G,"Hired"))</f>
        <v>1</v>
      </c>
      <c r="Q73" s="83">
        <f t="shared" si="9"/>
        <v>0</v>
      </c>
      <c r="R73" s="265" t="str">
        <f>IF($K73="Filled",IFERROR(_xlfn.MAXIFS('06_Recruitment_Pipeline'!$M:$M,'06_Recruitment_Pipeline'!$B:$B,$A73,'06_Recruitment_Pipeline'!$G:$G,"Hired"),""),"")</f>
        <v/>
      </c>
      <c r="S73" s="83" t="str">
        <f>IF(tblRequisitions[[#This Row],[REQ_STATUS]]="Filled",IFERROR(tblRequisitions[[#This Row],[FILLED_DATE]]-tblRequisitions[[#This Row],[APPROVAL_DATE]],""),"")</f>
        <v/>
      </c>
      <c r="T73" s="248" t="str">
        <f t="shared" si="10"/>
        <v/>
      </c>
      <c r="U73" s="83">
        <f>IF($K73="Open",'12_Calculation_Layer'!$B$7-$C73,"")</f>
        <v>15</v>
      </c>
      <c r="V73" s="83" t="str">
        <f t="shared" si="11"/>
        <v>On Track</v>
      </c>
      <c r="W73" s="112" t="str">
        <f>IF($K73&lt;&gt;"Open","",IF(COUNTIF($K$5:$K73,"Open")&lt;=12,"Delayed",IF(COUNTIF($K$5:$K73,"Open")&lt;=19,"At Risk","On Track")))</f>
        <v>On Track</v>
      </c>
    </row>
    <row r="74" spans="1:23">
      <c r="A74" s="100" t="s">
        <v>997</v>
      </c>
      <c r="B74" s="102">
        <v>46121</v>
      </c>
      <c r="C74" s="102">
        <v>46127</v>
      </c>
      <c r="D74" s="101" t="s">
        <v>37</v>
      </c>
      <c r="E74" s="101" t="s">
        <v>536</v>
      </c>
      <c r="F74" s="101" t="s">
        <v>537</v>
      </c>
      <c r="G74" s="101" t="s">
        <v>399</v>
      </c>
      <c r="H74" s="83">
        <v>2</v>
      </c>
      <c r="I74" s="83" t="s">
        <v>164</v>
      </c>
      <c r="J74" s="102">
        <v>46139</v>
      </c>
      <c r="K74" s="83" t="s">
        <v>373</v>
      </c>
      <c r="L74" s="101" t="s">
        <v>192</v>
      </c>
      <c r="M74" s="83">
        <v>30</v>
      </c>
      <c r="N74" s="83">
        <f ca="1">IF($A74="","",IF($K74="Filled",IFERROR(_xludf.MAXIFS('06_Recruitment_Pipeline'!$M:$M,'06_Recruitment_Pipeline'!$B:$B,$A74,'06_Recruitment_Pipeline'!$G:$G,"Hired")-$C74,TODAY()-$C74),IF(OR($K74="Cancelled",$K74="On Hold"),0,TODAY()-$C74)))</f>
        <v>18</v>
      </c>
      <c r="O74" s="83" t="str">
        <f t="shared" ca="1" si="8"/>
        <v>On Track</v>
      </c>
      <c r="P74" s="83">
        <f>IF($A74="","",COUNTIFS('06_Recruitment_Pipeline'!$B:$B,$A74,'06_Recruitment_Pipeline'!$G:$G,"Hired"))</f>
        <v>1</v>
      </c>
      <c r="Q74" s="83">
        <f t="shared" si="9"/>
        <v>1</v>
      </c>
      <c r="R74" s="265" t="str">
        <f>IF($K74="Filled",IFERROR(_xlfn.MAXIFS('06_Recruitment_Pipeline'!$M:$M,'06_Recruitment_Pipeline'!$B:$B,$A74,'06_Recruitment_Pipeline'!$G:$G,"Hired"),""),"")</f>
        <v/>
      </c>
      <c r="S74" s="83" t="str">
        <f>IF(tblRequisitions[[#This Row],[REQ_STATUS]]="Filled",IFERROR(tblRequisitions[[#This Row],[FILLED_DATE]]-tblRequisitions[[#This Row],[APPROVAL_DATE]],""),"")</f>
        <v/>
      </c>
      <c r="T74" s="248" t="str">
        <f t="shared" si="10"/>
        <v/>
      </c>
      <c r="U74" s="83">
        <f>IF($K74="Open",'12_Calculation_Layer'!$B$7-$C74,"")</f>
        <v>15</v>
      </c>
      <c r="V74" s="83" t="str">
        <f t="shared" si="11"/>
        <v>On Track</v>
      </c>
      <c r="W74" s="112" t="str">
        <f>IF($K74&lt;&gt;"Open","",IF(COUNTIF($K$5:$K74,"Open")&lt;=12,"Delayed",IF(COUNTIF($K$5:$K74,"Open")&lt;=19,"At Risk","On Track")))</f>
        <v>On Track</v>
      </c>
    </row>
    <row r="75" spans="1:23">
      <c r="A75" s="100" t="s">
        <v>998</v>
      </c>
      <c r="B75" s="102">
        <v>46120</v>
      </c>
      <c r="C75" s="102">
        <v>46127</v>
      </c>
      <c r="D75" s="101" t="s">
        <v>416</v>
      </c>
      <c r="E75" s="101" t="s">
        <v>557</v>
      </c>
      <c r="F75" s="101" t="s">
        <v>558</v>
      </c>
      <c r="G75" s="101" t="s">
        <v>181</v>
      </c>
      <c r="H75" s="83">
        <v>1</v>
      </c>
      <c r="I75" s="83" t="s">
        <v>395</v>
      </c>
      <c r="J75" s="102">
        <v>45771</v>
      </c>
      <c r="K75" s="83" t="s">
        <v>373</v>
      </c>
      <c r="L75" s="101" t="s">
        <v>942</v>
      </c>
      <c r="M75" s="83">
        <v>30</v>
      </c>
      <c r="N75" s="83">
        <f ca="1">IF($A75="","",IF($K75="Filled",IFERROR(_xludf.MAXIFS('06_Recruitment_Pipeline'!$M:$M,'06_Recruitment_Pipeline'!$B:$B,$A75,'06_Recruitment_Pipeline'!$G:$G,"Hired")-$C75,TODAY()-$C75),IF(OR($K75="Cancelled",$K75="On Hold"),0,TODAY()-$C75)))</f>
        <v>18</v>
      </c>
      <c r="O75" s="83" t="str">
        <f t="shared" ca="1" si="8"/>
        <v>On Track</v>
      </c>
      <c r="P75" s="83">
        <f>IF($A75="","",COUNTIFS('06_Recruitment_Pipeline'!$B:$B,$A75,'06_Recruitment_Pipeline'!$G:$G,"Hired"))</f>
        <v>0</v>
      </c>
      <c r="Q75" s="83">
        <f t="shared" si="9"/>
        <v>1</v>
      </c>
      <c r="R75" s="265" t="str">
        <f>IF($K75="Filled",IFERROR(_xlfn.MAXIFS('06_Recruitment_Pipeline'!$M:$M,'06_Recruitment_Pipeline'!$B:$B,$A75,'06_Recruitment_Pipeline'!$G:$G,"Hired"),""),"")</f>
        <v/>
      </c>
      <c r="S75" s="83" t="str">
        <f>IF(tblRequisitions[[#This Row],[REQ_STATUS]]="Filled",IFERROR(tblRequisitions[[#This Row],[FILLED_DATE]]-tblRequisitions[[#This Row],[APPROVAL_DATE]],""),"")</f>
        <v/>
      </c>
      <c r="T75" s="248" t="str">
        <f t="shared" si="10"/>
        <v/>
      </c>
      <c r="U75" s="83">
        <f>IF($K75="Open",'12_Calculation_Layer'!$B$7-$C75,"")</f>
        <v>15</v>
      </c>
      <c r="V75" s="83" t="str">
        <f t="shared" si="11"/>
        <v>On Track</v>
      </c>
      <c r="W75" s="112" t="str">
        <f>IF($K75&lt;&gt;"Open","",IF(COUNTIF($K$5:$K75,"Open")&lt;=12,"Delayed",IF(COUNTIF($K$5:$K75,"Open")&lt;=19,"At Risk","On Track")))</f>
        <v>On Track</v>
      </c>
    </row>
    <row r="76" spans="1:23">
      <c r="A76" s="100" t="s">
        <v>1003</v>
      </c>
      <c r="B76" s="102">
        <v>46116</v>
      </c>
      <c r="C76" s="102">
        <v>46124</v>
      </c>
      <c r="D76" s="101" t="s">
        <v>176</v>
      </c>
      <c r="E76" s="101" t="s">
        <v>577</v>
      </c>
      <c r="F76" s="101" t="s">
        <v>578</v>
      </c>
      <c r="G76" s="101" t="s">
        <v>181</v>
      </c>
      <c r="H76" s="83">
        <v>1</v>
      </c>
      <c r="I76" s="83" t="s">
        <v>383</v>
      </c>
      <c r="J76" s="102">
        <v>45910</v>
      </c>
      <c r="K76" s="83" t="s">
        <v>373</v>
      </c>
      <c r="L76" s="101" t="s">
        <v>192</v>
      </c>
      <c r="M76" s="83">
        <v>35</v>
      </c>
      <c r="N76" s="83">
        <f ca="1">IF($A76="","",IF($K76="Filled",IFERROR(_xludf.MAXIFS('06_Recruitment_Pipeline'!$M:$M,'06_Recruitment_Pipeline'!$B:$B,$A76,'06_Recruitment_Pipeline'!$G:$G,"Hired")-$C76,TODAY()-$C76),IF(OR($K76="Cancelled",$K76="On Hold"),0,TODAY()-$C76)))</f>
        <v>21</v>
      </c>
      <c r="O76" s="83" t="str">
        <f t="shared" ca="1" si="8"/>
        <v>On Track</v>
      </c>
      <c r="P76" s="83">
        <f>IF($A76="","",COUNTIFS('06_Recruitment_Pipeline'!$B:$B,$A76,'06_Recruitment_Pipeline'!$G:$G,"Hired"))</f>
        <v>1</v>
      </c>
      <c r="Q76" s="83">
        <f t="shared" si="9"/>
        <v>0</v>
      </c>
      <c r="R76" s="265" t="str">
        <f>IF($K76="Filled",IFERROR(_xlfn.MAXIFS('06_Recruitment_Pipeline'!$M:$M,'06_Recruitment_Pipeline'!$B:$B,$A76,'06_Recruitment_Pipeline'!$G:$G,"Hired"),""),"")</f>
        <v/>
      </c>
      <c r="S76" s="83" t="str">
        <f>IF(tblRequisitions[[#This Row],[REQ_STATUS]]="Filled",IFERROR(tblRequisitions[[#This Row],[FILLED_DATE]]-tblRequisitions[[#This Row],[APPROVAL_DATE]],""),"")</f>
        <v/>
      </c>
      <c r="T76" s="248" t="str">
        <f t="shared" si="10"/>
        <v/>
      </c>
      <c r="U76" s="83">
        <f>IF($K76="Open",'12_Calculation_Layer'!$B$7-$C76,"")</f>
        <v>18</v>
      </c>
      <c r="V76" s="83" t="str">
        <f t="shared" si="11"/>
        <v>On Track</v>
      </c>
      <c r="W76" s="112" t="str">
        <f>IF($K76&lt;&gt;"Open","",IF(COUNTIF($K$5:$K76,"Open")&lt;=12,"Delayed",IF(COUNTIF($K$5:$K76,"Open")&lt;=19,"At Risk","On Track")))</f>
        <v>On Track</v>
      </c>
    </row>
    <row r="77" spans="1:23">
      <c r="A77" s="100" t="s">
        <v>1004</v>
      </c>
      <c r="B77" s="102">
        <v>46110</v>
      </c>
      <c r="C77" s="102">
        <v>46112</v>
      </c>
      <c r="D77" s="101" t="s">
        <v>271</v>
      </c>
      <c r="E77" s="101" t="s">
        <v>491</v>
      </c>
      <c r="F77" s="101" t="s">
        <v>492</v>
      </c>
      <c r="G77" s="101" t="s">
        <v>399</v>
      </c>
      <c r="H77" s="83">
        <v>2</v>
      </c>
      <c r="I77" s="83" t="s">
        <v>395</v>
      </c>
      <c r="J77" s="102">
        <v>45874</v>
      </c>
      <c r="K77" s="83" t="s">
        <v>373</v>
      </c>
      <c r="L77" s="101" t="s">
        <v>192</v>
      </c>
      <c r="M77" s="83">
        <v>60</v>
      </c>
      <c r="N77" s="83">
        <f ca="1">IF($A77="","",IF($K77="Filled",IFERROR(_xludf.MAXIFS('06_Recruitment_Pipeline'!$M:$M,'06_Recruitment_Pipeline'!$B:$B,$A77,'06_Recruitment_Pipeline'!$G:$G,"Hired")-$C77,TODAY()-$C77),IF(OR($K77="Cancelled",$K77="On Hold"),0,TODAY()-$C77)))</f>
        <v>33</v>
      </c>
      <c r="O77" s="83" t="str">
        <f t="shared" ca="1" si="8"/>
        <v>On Track</v>
      </c>
      <c r="P77" s="83">
        <f>IF($A77="","",COUNTIFS('06_Recruitment_Pipeline'!$B:$B,$A77,'06_Recruitment_Pipeline'!$G:$G,"Hired"))</f>
        <v>0</v>
      </c>
      <c r="Q77" s="83">
        <f t="shared" si="9"/>
        <v>2</v>
      </c>
      <c r="R77" s="265" t="str">
        <f>IF($K77="Filled",IFERROR(_xlfn.MAXIFS('06_Recruitment_Pipeline'!$M:$M,'06_Recruitment_Pipeline'!$B:$B,$A77,'06_Recruitment_Pipeline'!$G:$G,"Hired"),""),"")</f>
        <v/>
      </c>
      <c r="S77" s="83" t="str">
        <f>IF(tblRequisitions[[#This Row],[REQ_STATUS]]="Filled",IFERROR(tblRequisitions[[#This Row],[FILLED_DATE]]-tblRequisitions[[#This Row],[APPROVAL_DATE]],""),"")</f>
        <v/>
      </c>
      <c r="T77" s="248" t="str">
        <f t="shared" si="10"/>
        <v/>
      </c>
      <c r="U77" s="83">
        <f>IF($K77="Open",'12_Calculation_Layer'!$B$7-$C77,"")</f>
        <v>30</v>
      </c>
      <c r="V77" s="83" t="str">
        <f t="shared" si="11"/>
        <v>On Track</v>
      </c>
      <c r="W77" s="112" t="str">
        <f>IF($K77&lt;&gt;"Open","",IF(COUNTIF($K$5:$K77,"Open")&lt;=12,"Delayed",IF(COUNTIF($K$5:$K77,"Open")&lt;=19,"At Risk","On Track")))</f>
        <v>On Track</v>
      </c>
    </row>
    <row r="78" spans="1:23">
      <c r="A78" s="100" t="s">
        <v>1007</v>
      </c>
      <c r="B78" s="102">
        <v>46116</v>
      </c>
      <c r="C78" s="102">
        <v>46119</v>
      </c>
      <c r="D78" s="101" t="s">
        <v>271</v>
      </c>
      <c r="E78" s="101" t="s">
        <v>521</v>
      </c>
      <c r="F78" s="101" t="s">
        <v>522</v>
      </c>
      <c r="G78" s="101" t="s">
        <v>937</v>
      </c>
      <c r="H78" s="83">
        <v>1</v>
      </c>
      <c r="I78" s="83" t="s">
        <v>383</v>
      </c>
      <c r="J78" s="102">
        <v>45989</v>
      </c>
      <c r="K78" s="83" t="s">
        <v>373</v>
      </c>
      <c r="L78" s="101" t="s">
        <v>192</v>
      </c>
      <c r="M78" s="83">
        <v>45</v>
      </c>
      <c r="N78" s="83">
        <f ca="1">IF($A78="","",IF($K78="Filled",IFERROR(_xludf.MAXIFS('06_Recruitment_Pipeline'!$M:$M,'06_Recruitment_Pipeline'!$B:$B,$A78,'06_Recruitment_Pipeline'!$G:$G,"Hired")-$C78,TODAY()-$C78),IF(OR($K78="Cancelled",$K78="On Hold"),0,TODAY()-$C78)))</f>
        <v>26</v>
      </c>
      <c r="O78" s="83" t="str">
        <f t="shared" ca="1" si="8"/>
        <v>On Track</v>
      </c>
      <c r="P78" s="83">
        <f>IF($A78="","",COUNTIFS('06_Recruitment_Pipeline'!$B:$B,$A78,'06_Recruitment_Pipeline'!$G:$G,"Hired"))</f>
        <v>2</v>
      </c>
      <c r="Q78" s="83">
        <f t="shared" si="9"/>
        <v>0</v>
      </c>
      <c r="R78" s="265" t="str">
        <f>IF($K78="Filled",IFERROR(_xlfn.MAXIFS('06_Recruitment_Pipeline'!$M:$M,'06_Recruitment_Pipeline'!$B:$B,$A78,'06_Recruitment_Pipeline'!$G:$G,"Hired"),""),"")</f>
        <v/>
      </c>
      <c r="S78" s="83" t="str">
        <f>IF(tblRequisitions[[#This Row],[REQ_STATUS]]="Filled",IFERROR(tblRequisitions[[#This Row],[FILLED_DATE]]-tblRequisitions[[#This Row],[APPROVAL_DATE]],""),"")</f>
        <v/>
      </c>
      <c r="T78" s="248" t="str">
        <f t="shared" si="10"/>
        <v/>
      </c>
      <c r="U78" s="83">
        <f>IF($K78="Open",'12_Calculation_Layer'!$B$7-$C78,"")</f>
        <v>23</v>
      </c>
      <c r="V78" s="83" t="str">
        <f t="shared" si="11"/>
        <v>On Track</v>
      </c>
      <c r="W78" s="112" t="str">
        <f>IF($K78&lt;&gt;"Open","",IF(COUNTIF($K$5:$K78,"Open")&lt;=12,"Delayed",IF(COUNTIF($K$5:$K78,"Open")&lt;=19,"At Risk","On Track")))</f>
        <v>On Track</v>
      </c>
    </row>
    <row r="79" spans="1:23">
      <c r="A79" s="100" t="s">
        <v>1008</v>
      </c>
      <c r="B79" s="102">
        <v>46115</v>
      </c>
      <c r="C79" s="102">
        <v>46119</v>
      </c>
      <c r="D79" s="101" t="s">
        <v>176</v>
      </c>
      <c r="E79" s="101" t="s">
        <v>177</v>
      </c>
      <c r="F79" s="101" t="s">
        <v>178</v>
      </c>
      <c r="G79" s="101" t="s">
        <v>937</v>
      </c>
      <c r="H79" s="83">
        <v>1</v>
      </c>
      <c r="I79" s="83" t="s">
        <v>374</v>
      </c>
      <c r="J79" s="102">
        <v>46050</v>
      </c>
      <c r="K79" s="83" t="s">
        <v>373</v>
      </c>
      <c r="L79" s="101" t="s">
        <v>192</v>
      </c>
      <c r="M79" s="83">
        <v>45</v>
      </c>
      <c r="N79" s="83">
        <f ca="1">IF($A79="","",IF($K79="Filled",IFERROR(_xludf.MAXIFS('06_Recruitment_Pipeline'!$M:$M,'06_Recruitment_Pipeline'!$B:$B,$A79,'06_Recruitment_Pipeline'!$G:$G,"Hired")-$C79,TODAY()-$C79),IF(OR($K79="Cancelled",$K79="On Hold"),0,TODAY()-$C79)))</f>
        <v>26</v>
      </c>
      <c r="O79" s="83" t="str">
        <f t="shared" ca="1" si="8"/>
        <v>On Track</v>
      </c>
      <c r="P79" s="83">
        <f>IF($A79="","",COUNTIFS('06_Recruitment_Pipeline'!$B:$B,$A79,'06_Recruitment_Pipeline'!$G:$G,"Hired"))</f>
        <v>0</v>
      </c>
      <c r="Q79" s="83">
        <f t="shared" si="9"/>
        <v>1</v>
      </c>
      <c r="R79" s="265" t="str">
        <f>IF($K79="Filled",IFERROR(_xlfn.MAXIFS('06_Recruitment_Pipeline'!$M:$M,'06_Recruitment_Pipeline'!$B:$B,$A79,'06_Recruitment_Pipeline'!$G:$G,"Hired"),""),"")</f>
        <v/>
      </c>
      <c r="S79" s="83" t="str">
        <f>IF(tblRequisitions[[#This Row],[REQ_STATUS]]="Filled",IFERROR(tblRequisitions[[#This Row],[FILLED_DATE]]-tblRequisitions[[#This Row],[APPROVAL_DATE]],""),"")</f>
        <v/>
      </c>
      <c r="T79" s="248" t="str">
        <f t="shared" si="10"/>
        <v/>
      </c>
      <c r="U79" s="83">
        <f>IF($K79="Open",'12_Calculation_Layer'!$B$7-$C79,"")</f>
        <v>23</v>
      </c>
      <c r="V79" s="83" t="str">
        <f t="shared" si="11"/>
        <v>On Track</v>
      </c>
      <c r="W79" s="112" t="str">
        <f>IF($K79&lt;&gt;"Open","",IF(COUNTIF($K$5:$K79,"Open")&lt;=12,"Delayed",IF(COUNTIF($K$5:$K79,"Open")&lt;=19,"At Risk","On Track")))</f>
        <v>On Track</v>
      </c>
    </row>
    <row r="80" spans="1:23">
      <c r="A80" s="100" t="s">
        <v>1012</v>
      </c>
      <c r="B80" s="102">
        <v>46127</v>
      </c>
      <c r="C80" s="102">
        <v>46132</v>
      </c>
      <c r="D80" s="101" t="s">
        <v>371</v>
      </c>
      <c r="E80" s="101" t="s">
        <v>505</v>
      </c>
      <c r="F80" s="101" t="s">
        <v>506</v>
      </c>
      <c r="G80" s="101" t="s">
        <v>399</v>
      </c>
      <c r="H80" s="83">
        <v>3</v>
      </c>
      <c r="I80" s="83" t="s">
        <v>374</v>
      </c>
      <c r="J80" s="102">
        <v>45921</v>
      </c>
      <c r="K80" s="83" t="s">
        <v>373</v>
      </c>
      <c r="L80" s="101" t="s">
        <v>938</v>
      </c>
      <c r="M80" s="83">
        <v>20</v>
      </c>
      <c r="N80" s="83">
        <f ca="1">IF($A80="","",IF($K80="Filled",IFERROR(_xludf.MAXIFS('06_Recruitment_Pipeline'!$M:$M,'06_Recruitment_Pipeline'!$B:$B,$A80,'06_Recruitment_Pipeline'!$G:$G,"Hired")-$C80,TODAY()-$C80),IF(OR($K80="Cancelled",$K80="On Hold"),0,TODAY()-$C80)))</f>
        <v>13</v>
      </c>
      <c r="O80" s="83" t="str">
        <f t="shared" ca="1" si="8"/>
        <v>On Track</v>
      </c>
      <c r="P80" s="83">
        <f>IF($A80="","",COUNTIFS('06_Recruitment_Pipeline'!$B:$B,$A80,'06_Recruitment_Pipeline'!$G:$G,"Hired"))</f>
        <v>2</v>
      </c>
      <c r="Q80" s="83">
        <f t="shared" si="9"/>
        <v>1</v>
      </c>
      <c r="R80" s="265" t="str">
        <f>IF($K80="Filled",IFERROR(_xlfn.MAXIFS('06_Recruitment_Pipeline'!$M:$M,'06_Recruitment_Pipeline'!$B:$B,$A80,'06_Recruitment_Pipeline'!$G:$G,"Hired"),""),"")</f>
        <v/>
      </c>
      <c r="S80" s="83" t="str">
        <f>IF(tblRequisitions[[#This Row],[REQ_STATUS]]="Filled",IFERROR(tblRequisitions[[#This Row],[FILLED_DATE]]-tblRequisitions[[#This Row],[APPROVAL_DATE]],""),"")</f>
        <v/>
      </c>
      <c r="T80" s="248" t="str">
        <f t="shared" si="10"/>
        <v/>
      </c>
      <c r="U80" s="83">
        <f>IF($K80="Open",'12_Calculation_Layer'!$B$7-$C80,"")</f>
        <v>10</v>
      </c>
      <c r="V80" s="83" t="str">
        <f t="shared" si="11"/>
        <v>On Track</v>
      </c>
      <c r="W80" s="112" t="str">
        <f>IF($K80&lt;&gt;"Open","",IF(COUNTIF($K$5:$K80,"Open")&lt;=12,"Delayed",IF(COUNTIF($K$5:$K80,"Open")&lt;=19,"At Risk","On Track")))</f>
        <v>On Track</v>
      </c>
    </row>
    <row r="81" spans="1:23">
      <c r="A81" s="100" t="s">
        <v>1013</v>
      </c>
      <c r="B81" s="102">
        <v>46121</v>
      </c>
      <c r="C81" s="102">
        <v>46127</v>
      </c>
      <c r="D81" s="101" t="s">
        <v>152</v>
      </c>
      <c r="E81" s="101" t="s">
        <v>451</v>
      </c>
      <c r="F81" s="101" t="s">
        <v>452</v>
      </c>
      <c r="G81" s="101" t="s">
        <v>937</v>
      </c>
      <c r="H81" s="83">
        <v>1</v>
      </c>
      <c r="I81" s="83" t="s">
        <v>395</v>
      </c>
      <c r="J81" s="102">
        <v>45845</v>
      </c>
      <c r="K81" s="83" t="s">
        <v>373</v>
      </c>
      <c r="L81" s="101" t="s">
        <v>938</v>
      </c>
      <c r="M81" s="83">
        <v>30</v>
      </c>
      <c r="N81" s="83">
        <f ca="1">IF($A81="","",IF($K81="Filled",IFERROR(_xludf.MAXIFS('06_Recruitment_Pipeline'!$M:$M,'06_Recruitment_Pipeline'!$B:$B,$A81,'06_Recruitment_Pipeline'!$G:$G,"Hired")-$C81,TODAY()-$C81),IF(OR($K81="Cancelled",$K81="On Hold"),0,TODAY()-$C81)))</f>
        <v>18</v>
      </c>
      <c r="O81" s="83" t="str">
        <f t="shared" ca="1" si="8"/>
        <v>On Track</v>
      </c>
      <c r="P81" s="83">
        <f>IF($A81="","",COUNTIFS('06_Recruitment_Pipeline'!$B:$B,$A81,'06_Recruitment_Pipeline'!$G:$G,"Hired"))</f>
        <v>0</v>
      </c>
      <c r="Q81" s="83">
        <f t="shared" si="9"/>
        <v>1</v>
      </c>
      <c r="R81" s="265" t="str">
        <f>IF($K81="Filled",IFERROR(_xlfn.MAXIFS('06_Recruitment_Pipeline'!$M:$M,'06_Recruitment_Pipeline'!$B:$B,$A81,'06_Recruitment_Pipeline'!$G:$G,"Hired"),""),"")</f>
        <v/>
      </c>
      <c r="S81" s="83" t="str">
        <f>IF(tblRequisitions[[#This Row],[REQ_STATUS]]="Filled",IFERROR(tblRequisitions[[#This Row],[FILLED_DATE]]-tblRequisitions[[#This Row],[APPROVAL_DATE]],""),"")</f>
        <v/>
      </c>
      <c r="T81" s="248" t="str">
        <f t="shared" si="10"/>
        <v/>
      </c>
      <c r="U81" s="83">
        <f>IF($K81="Open",'12_Calculation_Layer'!$B$7-$C81,"")</f>
        <v>15</v>
      </c>
      <c r="V81" s="83" t="str">
        <f t="shared" si="11"/>
        <v>On Track</v>
      </c>
      <c r="W81" s="112" t="str">
        <f>IF($K81&lt;&gt;"Open","",IF(COUNTIF($K$5:$K81,"Open")&lt;=12,"Delayed",IF(COUNTIF($K$5:$K81,"Open")&lt;=19,"At Risk","On Track")))</f>
        <v>On Track</v>
      </c>
    </row>
    <row r="82" spans="1:23">
      <c r="A82" s="100" t="s">
        <v>1015</v>
      </c>
      <c r="B82" s="102">
        <v>46112</v>
      </c>
      <c r="C82" s="102">
        <v>46119</v>
      </c>
      <c r="D82" s="101" t="s">
        <v>421</v>
      </c>
      <c r="E82" s="101" t="s">
        <v>607</v>
      </c>
      <c r="F82" s="101" t="s">
        <v>608</v>
      </c>
      <c r="G82" s="101" t="s">
        <v>937</v>
      </c>
      <c r="H82" s="83">
        <v>2</v>
      </c>
      <c r="I82" s="83" t="s">
        <v>374</v>
      </c>
      <c r="J82" s="102">
        <v>45877</v>
      </c>
      <c r="K82" s="83" t="s">
        <v>373</v>
      </c>
      <c r="L82" s="101" t="s">
        <v>940</v>
      </c>
      <c r="M82" s="83">
        <v>45</v>
      </c>
      <c r="N82" s="83">
        <f ca="1">IF($A82="","",IF($K82="Filled",IFERROR(_xludf.MAXIFS('06_Recruitment_Pipeline'!$M:$M,'06_Recruitment_Pipeline'!$B:$B,$A82,'06_Recruitment_Pipeline'!$G:$G,"Hired")-$C82,TODAY()-$C82),IF(OR($K82="Cancelled",$K82="On Hold"),0,TODAY()-$C82)))</f>
        <v>26</v>
      </c>
      <c r="O82" s="83" t="str">
        <f t="shared" ca="1" si="8"/>
        <v>On Track</v>
      </c>
      <c r="P82" s="83">
        <f>IF($A82="","",COUNTIFS('06_Recruitment_Pipeline'!$B:$B,$A82,'06_Recruitment_Pipeline'!$G:$G,"Hired"))</f>
        <v>1</v>
      </c>
      <c r="Q82" s="83">
        <f t="shared" si="9"/>
        <v>1</v>
      </c>
      <c r="R82" s="265" t="str">
        <f>IF($K82="Filled",IFERROR(_xlfn.MAXIFS('06_Recruitment_Pipeline'!$M:$M,'06_Recruitment_Pipeline'!$B:$B,$A82,'06_Recruitment_Pipeline'!$G:$G,"Hired"),""),"")</f>
        <v/>
      </c>
      <c r="S82" s="83" t="str">
        <f>IF(tblRequisitions[[#This Row],[REQ_STATUS]]="Filled",IFERROR(tblRequisitions[[#This Row],[FILLED_DATE]]-tblRequisitions[[#This Row],[APPROVAL_DATE]],""),"")</f>
        <v/>
      </c>
      <c r="T82" s="248" t="str">
        <f t="shared" si="10"/>
        <v/>
      </c>
      <c r="U82" s="83">
        <f>IF($K82="Open",'12_Calculation_Layer'!$B$7-$C82,"")</f>
        <v>23</v>
      </c>
      <c r="V82" s="83" t="str">
        <f t="shared" si="11"/>
        <v>On Track</v>
      </c>
      <c r="W82" s="112" t="str">
        <f>IF($K82&lt;&gt;"Open","",IF(COUNTIF($K$5:$K82,"Open")&lt;=12,"Delayed",IF(COUNTIF($K$5:$K82,"Open")&lt;=19,"At Risk","On Track")))</f>
        <v>On Track</v>
      </c>
    </row>
    <row r="83" spans="1:23">
      <c r="A83" s="100" t="s">
        <v>1016</v>
      </c>
      <c r="B83" s="102">
        <v>46119</v>
      </c>
      <c r="C83" s="102">
        <v>46127</v>
      </c>
      <c r="D83" s="101" t="s">
        <v>271</v>
      </c>
      <c r="E83" s="101" t="s">
        <v>628</v>
      </c>
      <c r="F83" s="101" t="s">
        <v>20</v>
      </c>
      <c r="G83" s="101" t="s">
        <v>399</v>
      </c>
      <c r="H83" s="83">
        <v>1</v>
      </c>
      <c r="I83" s="83" t="s">
        <v>395</v>
      </c>
      <c r="J83" s="102">
        <v>45972</v>
      </c>
      <c r="K83" s="83" t="s">
        <v>373</v>
      </c>
      <c r="L83" s="101" t="s">
        <v>192</v>
      </c>
      <c r="M83" s="83">
        <v>30</v>
      </c>
      <c r="N83" s="83">
        <f ca="1">IF($A83="","",IF($K83="Filled",IFERROR(_xludf.MAXIFS('06_Recruitment_Pipeline'!$M:$M,'06_Recruitment_Pipeline'!$B:$B,$A83,'06_Recruitment_Pipeline'!$G:$G,"Hired")-$C83,TODAY()-$C83),IF(OR($K83="Cancelled",$K83="On Hold"),0,TODAY()-$C83)))</f>
        <v>18</v>
      </c>
      <c r="O83" s="83" t="str">
        <f t="shared" ca="1" si="8"/>
        <v>On Track</v>
      </c>
      <c r="P83" s="83">
        <f>IF($A83="","",COUNTIFS('06_Recruitment_Pipeline'!$B:$B,$A83,'06_Recruitment_Pipeline'!$G:$G,"Hired"))</f>
        <v>0</v>
      </c>
      <c r="Q83" s="83">
        <f t="shared" si="9"/>
        <v>1</v>
      </c>
      <c r="R83" s="265" t="str">
        <f>IF($K83="Filled",IFERROR(_xlfn.MAXIFS('06_Recruitment_Pipeline'!$M:$M,'06_Recruitment_Pipeline'!$B:$B,$A83,'06_Recruitment_Pipeline'!$G:$G,"Hired"),""),"")</f>
        <v/>
      </c>
      <c r="S83" s="83" t="str">
        <f>IF(tblRequisitions[[#This Row],[REQ_STATUS]]="Filled",IFERROR(tblRequisitions[[#This Row],[FILLED_DATE]]-tblRequisitions[[#This Row],[APPROVAL_DATE]],""),"")</f>
        <v/>
      </c>
      <c r="T83" s="248" t="str">
        <f t="shared" si="10"/>
        <v/>
      </c>
      <c r="U83" s="83">
        <f>IF($K83="Open",'12_Calculation_Layer'!$B$7-$C83,"")</f>
        <v>15</v>
      </c>
      <c r="V83" s="83" t="str">
        <f t="shared" si="11"/>
        <v>On Track</v>
      </c>
      <c r="W83" s="112" t="str">
        <f>IF($K83&lt;&gt;"Open","",IF(COUNTIF($K$5:$K83,"Open")&lt;=12,"Delayed",IF(COUNTIF($K$5:$K83,"Open")&lt;=19,"At Risk","On Track")))</f>
        <v>On Track</v>
      </c>
    </row>
    <row r="84" spans="1:23">
      <c r="A84" s="104" t="s">
        <v>1017</v>
      </c>
      <c r="B84" s="106">
        <v>46125</v>
      </c>
      <c r="C84" s="106">
        <v>46127</v>
      </c>
      <c r="D84" s="105" t="s">
        <v>416</v>
      </c>
      <c r="E84" s="105" t="s">
        <v>557</v>
      </c>
      <c r="F84" s="105" t="s">
        <v>558</v>
      </c>
      <c r="G84" s="105" t="s">
        <v>399</v>
      </c>
      <c r="H84" s="89">
        <v>2</v>
      </c>
      <c r="I84" s="89" t="s">
        <v>395</v>
      </c>
      <c r="J84" s="106">
        <v>46018</v>
      </c>
      <c r="K84" s="89" t="s">
        <v>373</v>
      </c>
      <c r="L84" s="105" t="s">
        <v>938</v>
      </c>
      <c r="M84" s="89">
        <v>30</v>
      </c>
      <c r="N84" s="89">
        <f ca="1">IF($A84="","",IF($K84="Filled",IFERROR(_xludf.MAXIFS('06_Recruitment_Pipeline'!$M:$M,'06_Recruitment_Pipeline'!$B:$B,$A84,'06_Recruitment_Pipeline'!$G:$G,"Hired")-$C84,TODAY()-$C84),IF(OR($K84="Cancelled",$K84="On Hold"),0,TODAY()-$C84)))</f>
        <v>18</v>
      </c>
      <c r="O84" s="89" t="str">
        <f t="shared" ca="1" si="8"/>
        <v>On Track</v>
      </c>
      <c r="P84" s="89">
        <f>IF($A84="","",COUNTIFS('06_Recruitment_Pipeline'!$B:$B,$A84,'06_Recruitment_Pipeline'!$G:$G,"Hired"))</f>
        <v>0</v>
      </c>
      <c r="Q84" s="89">
        <f t="shared" si="9"/>
        <v>2</v>
      </c>
      <c r="R84" s="266" t="str">
        <f>IF($K84="Filled",IFERROR(_xlfn.MAXIFS('06_Recruitment_Pipeline'!$M:$M,'06_Recruitment_Pipeline'!$B:$B,$A84,'06_Recruitment_Pipeline'!$G:$G,"Hired"),""),"")</f>
        <v/>
      </c>
      <c r="S84" s="89" t="str">
        <f>IF(tblRequisitions[[#This Row],[REQ_STATUS]]="Filled",IFERROR(tblRequisitions[[#This Row],[FILLED_DATE]]-tblRequisitions[[#This Row],[APPROVAL_DATE]],""),"")</f>
        <v/>
      </c>
      <c r="T84" s="250" t="str">
        <f t="shared" si="10"/>
        <v/>
      </c>
      <c r="U84" s="89">
        <f>IF($K84="Open",'12_Calculation_Layer'!$B$7-$C84,"")</f>
        <v>15</v>
      </c>
      <c r="V84" s="89" t="str">
        <f t="shared" si="11"/>
        <v>On Track</v>
      </c>
      <c r="W84" s="113" t="str">
        <f>IF($K84&lt;&gt;"Open","",IF(COUNTIF($K$5:$K84,"Open")&lt;=12,"Delayed",IF(COUNTIF($K$5:$K84,"Open")&lt;=19,"At Risk","On Track")))</f>
        <v>On Track</v>
      </c>
    </row>
  </sheetData>
  <dataValidations count="3">
    <dataValidation type="list" sqref="D5:D84" xr:uid="{00000000-0002-0000-0500-000000000000}">
      <formula1>"Branch Operations,Credit Evaluation,Loan Processing,Collections,Sales &amp; Marketing,Finance,Human Resources,Information Technology,Compliance,Customer Service"</formula1>
    </dataValidation>
    <dataValidation type="list" sqref="I5:I84" xr:uid="{00000000-0002-0000-0500-000001000000}">
      <formula1>HiringPriorities</formula1>
    </dataValidation>
    <dataValidation type="list" sqref="K5:K84" xr:uid="{00000000-0002-0000-0500-000002000000}">
      <formula1>"Open,Filled,On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81"/>
  <sheetViews>
    <sheetView showGridLines="0" zoomScale="157" workbookViewId="0">
      <pane ySplit="4" topLeftCell="A378" activePane="bottomLeft" state="frozen"/>
      <selection pane="bottomLeft" activeCell="C381" sqref="C381"/>
    </sheetView>
  </sheetViews>
  <sheetFormatPr baseColWidth="10" defaultColWidth="8.83203125" defaultRowHeight="15"/>
  <cols>
    <col min="1" max="1" width="16" style="91" customWidth="1"/>
    <col min="2" max="2" width="12" style="91" customWidth="1"/>
    <col min="3" max="3" width="14" style="91" customWidth="1"/>
    <col min="4" max="4" width="22" style="91" customWidth="1"/>
    <col min="5" max="5" width="20" style="91" customWidth="1"/>
    <col min="6" max="7" width="16" style="91" customWidth="1"/>
    <col min="8" max="8" width="13" style="91" customWidth="1"/>
    <col min="9" max="10" width="20" style="91" customWidth="1"/>
    <col min="11" max="11" width="13" style="91" customWidth="1"/>
    <col min="12" max="12" width="14" style="91" customWidth="1"/>
    <col min="13" max="13" width="13" style="91" customWidth="1"/>
    <col min="14" max="14" width="24" style="91" customWidth="1"/>
    <col min="15" max="15" width="22" style="91" customWidth="1"/>
    <col min="16" max="16" width="16" style="91" customWidth="1"/>
    <col min="17" max="17" width="14" style="91" customWidth="1"/>
    <col min="18" max="18" width="16.83203125" style="91" customWidth="1"/>
    <col min="19" max="19" width="18" style="91" customWidth="1"/>
    <col min="20" max="20" width="19.5" style="91" customWidth="1"/>
    <col min="21" max="21" width="18" style="91" hidden="1" customWidth="1"/>
    <col min="22" max="16384" width="8.83203125" style="91"/>
  </cols>
  <sheetData>
    <row r="1" spans="1:21" ht="44">
      <c r="A1" s="53" t="s">
        <v>1018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 ht="25">
      <c r="A2" s="68" t="s">
        <v>1019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4" spans="1:21" ht="32">
      <c r="A4" s="98" t="s">
        <v>203</v>
      </c>
      <c r="B4" s="99" t="s">
        <v>169</v>
      </c>
      <c r="C4" s="99" t="s">
        <v>206</v>
      </c>
      <c r="D4" s="99" t="s">
        <v>209</v>
      </c>
      <c r="E4" s="99" t="s">
        <v>211</v>
      </c>
      <c r="F4" s="99" t="s">
        <v>215</v>
      </c>
      <c r="G4" s="99" t="s">
        <v>217</v>
      </c>
      <c r="H4" s="99" t="s">
        <v>221</v>
      </c>
      <c r="I4" s="99" t="s">
        <v>223</v>
      </c>
      <c r="J4" s="99" t="s">
        <v>225</v>
      </c>
      <c r="K4" s="99" t="s">
        <v>228</v>
      </c>
      <c r="L4" s="99" t="s">
        <v>230</v>
      </c>
      <c r="M4" s="99" t="s">
        <v>123</v>
      </c>
      <c r="N4" s="99" t="s">
        <v>234</v>
      </c>
      <c r="O4" s="99" t="s">
        <v>236</v>
      </c>
      <c r="P4" s="99" t="s">
        <v>238</v>
      </c>
      <c r="Q4" s="99" t="s">
        <v>240</v>
      </c>
      <c r="R4" s="99" t="s">
        <v>241</v>
      </c>
      <c r="S4" s="99" t="s">
        <v>243</v>
      </c>
      <c r="T4" s="99" t="s">
        <v>1020</v>
      </c>
      <c r="U4" s="109" t="s">
        <v>1021</v>
      </c>
    </row>
    <row r="5" spans="1:21">
      <c r="A5" s="100" t="s">
        <v>205</v>
      </c>
      <c r="B5" s="101" t="s">
        <v>171</v>
      </c>
      <c r="C5" s="101" t="s">
        <v>208</v>
      </c>
      <c r="D5" s="101" t="s">
        <v>210</v>
      </c>
      <c r="E5" s="101" t="s">
        <v>213</v>
      </c>
      <c r="F5" s="102">
        <v>46125</v>
      </c>
      <c r="G5" s="83" t="s">
        <v>219</v>
      </c>
      <c r="H5" s="102">
        <v>46161</v>
      </c>
      <c r="I5" s="101" t="s">
        <v>192</v>
      </c>
      <c r="J5" s="101" t="s">
        <v>227</v>
      </c>
      <c r="K5" s="102">
        <v>46158</v>
      </c>
      <c r="L5" s="83" t="s">
        <v>231</v>
      </c>
      <c r="M5" s="102">
        <v>46165</v>
      </c>
      <c r="N5" s="101"/>
      <c r="O5" s="101"/>
      <c r="P5" s="83">
        <f t="shared" ref="P5:P68" ca="1" si="0">IF($A5="","",IF($G5="Hired",$M5-$F5,IF(OR($G5="Rejected",$G5="Withdrawn"),$H5-$F5,TODAY()-$F5)))</f>
        <v>40</v>
      </c>
      <c r="Q5" s="83" t="str">
        <f t="shared" ref="Q5:Q68" si="1">IF($A5="","",IF(OR($G5="Hired",$G5="Rejected",$G5="Withdrawn"),"Closed",IF($P5&gt;30,"Stale","Active")))</f>
        <v>Closed</v>
      </c>
      <c r="R5" s="83" t="str">
        <f t="shared" ref="R5:R68" si="2">IF($A5="","",IF($Q5="Closed","Closed",IF($P5&lt;=14,"On Track",IF($P5&lt;=30,"At Risk","Delayed"))))</f>
        <v>Closed</v>
      </c>
      <c r="S5" s="83">
        <f t="shared" ref="S5:S68" si="3">IF($A5="","",IF($G5="Hired",$M5-$F5,""))</f>
        <v>40</v>
      </c>
      <c r="T5" s="101" t="str">
        <f>IFERROR(_xlfn.XLOOKUP(tblRecruitmentPipeline[[#This Row],[REQ_ID]],tblRequisitions[REQ_ID],tblRequisitions[DEPARTMENT],""),"")</f>
        <v>Loan Processing</v>
      </c>
      <c r="U5" s="110" t="str">
        <f>IF(tblRecruitmentPipeline[[#This Row],[REQ_DEPARTMENT]]="","No","Yes")</f>
        <v>Yes</v>
      </c>
    </row>
    <row r="6" spans="1:21">
      <c r="A6" s="100" t="s">
        <v>1022</v>
      </c>
      <c r="B6" s="101" t="s">
        <v>171</v>
      </c>
      <c r="C6" s="101" t="s">
        <v>1023</v>
      </c>
      <c r="D6" s="101" t="s">
        <v>1024</v>
      </c>
      <c r="E6" s="101" t="s">
        <v>261</v>
      </c>
      <c r="F6" s="102">
        <v>46143</v>
      </c>
      <c r="G6" s="83" t="s">
        <v>401</v>
      </c>
      <c r="H6" s="102">
        <v>46166</v>
      </c>
      <c r="I6" s="101" t="s">
        <v>192</v>
      </c>
      <c r="J6" s="101" t="s">
        <v>227</v>
      </c>
      <c r="K6" s="102"/>
      <c r="L6" s="83" t="s">
        <v>404</v>
      </c>
      <c r="M6" s="102"/>
      <c r="N6" s="101"/>
      <c r="O6" s="101"/>
      <c r="P6" s="83">
        <f t="shared" ca="1" si="0"/>
        <v>2</v>
      </c>
      <c r="Q6" s="83" t="str">
        <f t="shared" ca="1" si="1"/>
        <v>Active</v>
      </c>
      <c r="R6" s="83" t="str">
        <f t="shared" ca="1" si="2"/>
        <v>On Track</v>
      </c>
      <c r="S6" s="83" t="str">
        <f t="shared" si="3"/>
        <v/>
      </c>
      <c r="T6" s="101" t="str">
        <f>IFERROR(_xlfn.XLOOKUP(tblRecruitmentPipeline[[#This Row],[REQ_ID]],tblRequisitions[REQ_ID],tblRequisitions[DEPARTMENT],""),"")</f>
        <v>Loan Processing</v>
      </c>
      <c r="U6" s="110" t="str">
        <f>IF(tblRecruitmentPipeline[[#This Row],[REQ_DEPARTMENT]]="","No","Yes")</f>
        <v>Yes</v>
      </c>
    </row>
    <row r="7" spans="1:21">
      <c r="A7" s="100" t="s">
        <v>1025</v>
      </c>
      <c r="B7" s="101" t="s">
        <v>171</v>
      </c>
      <c r="C7" s="101" t="s">
        <v>1026</v>
      </c>
      <c r="D7" s="101" t="s">
        <v>535</v>
      </c>
      <c r="E7" s="101" t="s">
        <v>384</v>
      </c>
      <c r="F7" s="102">
        <v>46123</v>
      </c>
      <c r="G7" s="83" t="s">
        <v>413</v>
      </c>
      <c r="H7" s="102">
        <v>46135</v>
      </c>
      <c r="I7" s="101" t="s">
        <v>192</v>
      </c>
      <c r="J7" s="101" t="s">
        <v>227</v>
      </c>
      <c r="K7" s="102"/>
      <c r="L7" s="83" t="s">
        <v>404</v>
      </c>
      <c r="M7" s="102"/>
      <c r="N7" s="101" t="s">
        <v>1027</v>
      </c>
      <c r="O7" s="101"/>
      <c r="P7" s="83">
        <f t="shared" ca="1" si="0"/>
        <v>12</v>
      </c>
      <c r="Q7" s="83" t="str">
        <f t="shared" si="1"/>
        <v>Closed</v>
      </c>
      <c r="R7" s="83" t="str">
        <f t="shared" si="2"/>
        <v>Closed</v>
      </c>
      <c r="S7" s="83" t="str">
        <f t="shared" si="3"/>
        <v/>
      </c>
      <c r="T7" s="101" t="str">
        <f>IFERROR(_xlfn.XLOOKUP(tblRecruitmentPipeline[[#This Row],[REQ_ID]],tblRequisitions[REQ_ID],tblRequisitions[DEPARTMENT],""),"")</f>
        <v>Loan Processing</v>
      </c>
      <c r="U7" s="110" t="str">
        <f>IF(tblRecruitmentPipeline[[#This Row],[REQ_DEPARTMENT]]="","No","Yes")</f>
        <v>Yes</v>
      </c>
    </row>
    <row r="8" spans="1:21">
      <c r="A8" s="100" t="s">
        <v>1028</v>
      </c>
      <c r="B8" s="101" t="s">
        <v>171</v>
      </c>
      <c r="C8" s="101" t="s">
        <v>1029</v>
      </c>
      <c r="D8" s="101" t="s">
        <v>514</v>
      </c>
      <c r="E8" s="101" t="s">
        <v>412</v>
      </c>
      <c r="F8" s="102">
        <v>46131</v>
      </c>
      <c r="G8" s="83" t="s">
        <v>413</v>
      </c>
      <c r="H8" s="102">
        <v>46160</v>
      </c>
      <c r="I8" s="101" t="s">
        <v>192</v>
      </c>
      <c r="J8" s="101" t="s">
        <v>1030</v>
      </c>
      <c r="K8" s="102"/>
      <c r="L8" s="83" t="s">
        <v>404</v>
      </c>
      <c r="M8" s="102"/>
      <c r="N8" s="101" t="s">
        <v>1027</v>
      </c>
      <c r="O8" s="101"/>
      <c r="P8" s="83">
        <f t="shared" ca="1" si="0"/>
        <v>29</v>
      </c>
      <c r="Q8" s="83" t="str">
        <f t="shared" si="1"/>
        <v>Closed</v>
      </c>
      <c r="R8" s="83" t="str">
        <f t="shared" si="2"/>
        <v>Closed</v>
      </c>
      <c r="S8" s="83" t="str">
        <f t="shared" si="3"/>
        <v/>
      </c>
      <c r="T8" s="101" t="str">
        <f>IFERROR(_xlfn.XLOOKUP(tblRecruitmentPipeline[[#This Row],[REQ_ID]],tblRequisitions[REQ_ID],tblRequisitions[DEPARTMENT],""),"")</f>
        <v>Loan Processing</v>
      </c>
      <c r="U8" s="110" t="str">
        <f>IF(tblRecruitmentPipeline[[#This Row],[REQ_DEPARTMENT]]="","No","Yes")</f>
        <v>Yes</v>
      </c>
    </row>
    <row r="9" spans="1:21">
      <c r="A9" s="100" t="s">
        <v>1031</v>
      </c>
      <c r="B9" s="101" t="s">
        <v>171</v>
      </c>
      <c r="C9" s="101" t="s">
        <v>1032</v>
      </c>
      <c r="D9" s="101" t="s">
        <v>1033</v>
      </c>
      <c r="E9" s="101" t="s">
        <v>375</v>
      </c>
      <c r="F9" s="102">
        <v>46127</v>
      </c>
      <c r="G9" s="83" t="s">
        <v>372</v>
      </c>
      <c r="H9" s="102">
        <v>46174</v>
      </c>
      <c r="I9" s="101" t="s">
        <v>192</v>
      </c>
      <c r="J9" s="101" t="s">
        <v>1030</v>
      </c>
      <c r="K9" s="102"/>
      <c r="L9" s="83" t="s">
        <v>404</v>
      </c>
      <c r="M9" s="102"/>
      <c r="N9" s="101"/>
      <c r="O9" s="101"/>
      <c r="P9" s="83">
        <f t="shared" ca="1" si="0"/>
        <v>18</v>
      </c>
      <c r="Q9" s="83" t="str">
        <f t="shared" ca="1" si="1"/>
        <v>Active</v>
      </c>
      <c r="R9" s="83" t="str">
        <f t="shared" ca="1" si="2"/>
        <v>At Risk</v>
      </c>
      <c r="S9" s="83" t="str">
        <f t="shared" si="3"/>
        <v/>
      </c>
      <c r="T9" s="101" t="str">
        <f>IFERROR(_xlfn.XLOOKUP(tblRecruitmentPipeline[[#This Row],[REQ_ID]],tblRequisitions[REQ_ID],tblRequisitions[DEPARTMENT],""),"")</f>
        <v>Loan Processing</v>
      </c>
      <c r="U9" s="110" t="str">
        <f>IF(tblRecruitmentPipeline[[#This Row],[REQ_DEPARTMENT]]="","No","Yes")</f>
        <v>Yes</v>
      </c>
    </row>
    <row r="10" spans="1:21">
      <c r="A10" s="100" t="s">
        <v>1034</v>
      </c>
      <c r="B10" s="101" t="s">
        <v>171</v>
      </c>
      <c r="C10" s="101" t="s">
        <v>1035</v>
      </c>
      <c r="D10" s="101" t="s">
        <v>1036</v>
      </c>
      <c r="E10" s="101" t="s">
        <v>213</v>
      </c>
      <c r="F10" s="102">
        <v>46121</v>
      </c>
      <c r="G10" s="83" t="s">
        <v>382</v>
      </c>
      <c r="H10" s="102">
        <v>46139</v>
      </c>
      <c r="I10" s="101" t="s">
        <v>192</v>
      </c>
      <c r="J10" s="101" t="s">
        <v>1030</v>
      </c>
      <c r="K10" s="102"/>
      <c r="L10" s="83" t="s">
        <v>404</v>
      </c>
      <c r="M10" s="102"/>
      <c r="N10" s="101"/>
      <c r="O10" s="101"/>
      <c r="P10" s="83">
        <f t="shared" ca="1" si="0"/>
        <v>24</v>
      </c>
      <c r="Q10" s="83" t="str">
        <f t="shared" ca="1" si="1"/>
        <v>Active</v>
      </c>
      <c r="R10" s="83" t="str">
        <f t="shared" ca="1" si="2"/>
        <v>At Risk</v>
      </c>
      <c r="S10" s="83" t="str">
        <f t="shared" si="3"/>
        <v/>
      </c>
      <c r="T10" s="101" t="str">
        <f>IFERROR(_xlfn.XLOOKUP(tblRecruitmentPipeline[[#This Row],[REQ_ID]],tblRequisitions[REQ_ID],tblRequisitions[DEPARTMENT],""),"")</f>
        <v>Loan Processing</v>
      </c>
      <c r="U10" s="110" t="str">
        <f>IF(tblRecruitmentPipeline[[#This Row],[REQ_DEPARTMENT]]="","No","Yes")</f>
        <v>Yes</v>
      </c>
    </row>
    <row r="11" spans="1:21">
      <c r="A11" s="100" t="s">
        <v>1037</v>
      </c>
      <c r="B11" s="101" t="s">
        <v>171</v>
      </c>
      <c r="C11" s="101" t="s">
        <v>1038</v>
      </c>
      <c r="D11" s="101" t="s">
        <v>1039</v>
      </c>
      <c r="E11" s="101" t="s">
        <v>403</v>
      </c>
      <c r="F11" s="102">
        <v>46134</v>
      </c>
      <c r="G11" s="83" t="s">
        <v>393</v>
      </c>
      <c r="H11" s="102">
        <v>46164</v>
      </c>
      <c r="I11" s="101" t="s">
        <v>192</v>
      </c>
      <c r="J11" s="101" t="s">
        <v>36</v>
      </c>
      <c r="K11" s="102"/>
      <c r="L11" s="83" t="s">
        <v>404</v>
      </c>
      <c r="M11" s="102"/>
      <c r="N11" s="101"/>
      <c r="O11" s="101"/>
      <c r="P11" s="83">
        <f t="shared" ca="1" si="0"/>
        <v>11</v>
      </c>
      <c r="Q11" s="83" t="str">
        <f t="shared" ca="1" si="1"/>
        <v>Active</v>
      </c>
      <c r="R11" s="83" t="str">
        <f t="shared" ca="1" si="2"/>
        <v>On Track</v>
      </c>
      <c r="S11" s="83" t="str">
        <f t="shared" si="3"/>
        <v/>
      </c>
      <c r="T11" s="101" t="str">
        <f>IFERROR(_xlfn.XLOOKUP(tblRecruitmentPipeline[[#This Row],[REQ_ID]],tblRequisitions[REQ_ID],tblRequisitions[DEPARTMENT],""),"")</f>
        <v>Loan Processing</v>
      </c>
      <c r="U11" s="110" t="str">
        <f>IF(tblRecruitmentPipeline[[#This Row],[REQ_DEPARTMENT]]="","No","Yes")</f>
        <v>Yes</v>
      </c>
    </row>
    <row r="12" spans="1:21">
      <c r="A12" s="100" t="s">
        <v>1040</v>
      </c>
      <c r="B12" s="101" t="s">
        <v>171</v>
      </c>
      <c r="C12" s="101" t="s">
        <v>1041</v>
      </c>
      <c r="D12" s="101" t="s">
        <v>101</v>
      </c>
      <c r="E12" s="101" t="s">
        <v>412</v>
      </c>
      <c r="F12" s="102">
        <v>46119</v>
      </c>
      <c r="G12" s="83" t="s">
        <v>393</v>
      </c>
      <c r="H12" s="102">
        <v>46128</v>
      </c>
      <c r="I12" s="101" t="s">
        <v>192</v>
      </c>
      <c r="J12" s="101" t="s">
        <v>227</v>
      </c>
      <c r="K12" s="102"/>
      <c r="L12" s="83" t="s">
        <v>404</v>
      </c>
      <c r="M12" s="102"/>
      <c r="N12" s="101"/>
      <c r="O12" s="101"/>
      <c r="P12" s="83">
        <f t="shared" ca="1" si="0"/>
        <v>26</v>
      </c>
      <c r="Q12" s="83" t="str">
        <f t="shared" ca="1" si="1"/>
        <v>Active</v>
      </c>
      <c r="R12" s="83" t="str">
        <f t="shared" ca="1" si="2"/>
        <v>At Risk</v>
      </c>
      <c r="S12" s="83" t="str">
        <f t="shared" si="3"/>
        <v/>
      </c>
      <c r="T12" s="101" t="str">
        <f>IFERROR(_xlfn.XLOOKUP(tblRecruitmentPipeline[[#This Row],[REQ_ID]],tblRequisitions[REQ_ID],tblRequisitions[DEPARTMENT],""),"")</f>
        <v>Loan Processing</v>
      </c>
      <c r="U12" s="110" t="str">
        <f>IF(tblRecruitmentPipeline[[#This Row],[REQ_DEPARTMENT]]="","No","Yes")</f>
        <v>Yes</v>
      </c>
    </row>
    <row r="13" spans="1:21">
      <c r="A13" s="100" t="s">
        <v>1042</v>
      </c>
      <c r="B13" s="101" t="s">
        <v>171</v>
      </c>
      <c r="C13" s="101" t="s">
        <v>1043</v>
      </c>
      <c r="D13" s="101" t="s">
        <v>1044</v>
      </c>
      <c r="E13" s="101" t="s">
        <v>213</v>
      </c>
      <c r="F13" s="102">
        <v>46122</v>
      </c>
      <c r="G13" s="83" t="s">
        <v>219</v>
      </c>
      <c r="H13" s="102">
        <v>46161</v>
      </c>
      <c r="I13" s="101" t="s">
        <v>192</v>
      </c>
      <c r="J13" s="101" t="s">
        <v>1030</v>
      </c>
      <c r="K13" s="102">
        <v>46160</v>
      </c>
      <c r="L13" s="83" t="s">
        <v>231</v>
      </c>
      <c r="M13" s="102">
        <v>46178</v>
      </c>
      <c r="N13" s="101"/>
      <c r="O13" s="101"/>
      <c r="P13" s="83">
        <f t="shared" ca="1" si="0"/>
        <v>56</v>
      </c>
      <c r="Q13" s="83" t="str">
        <f t="shared" si="1"/>
        <v>Closed</v>
      </c>
      <c r="R13" s="83" t="str">
        <f t="shared" si="2"/>
        <v>Closed</v>
      </c>
      <c r="S13" s="83">
        <f t="shared" si="3"/>
        <v>56</v>
      </c>
      <c r="T13" s="101" t="str">
        <f>IFERROR(_xlfn.XLOOKUP(tblRecruitmentPipeline[[#This Row],[REQ_ID]],tblRequisitions[REQ_ID],tblRequisitions[DEPARTMENT],""),"")</f>
        <v>Loan Processing</v>
      </c>
      <c r="U13" s="110" t="str">
        <f>IF(tblRecruitmentPipeline[[#This Row],[REQ_DEPARTMENT]]="","No","Yes")</f>
        <v>Yes</v>
      </c>
    </row>
    <row r="14" spans="1:21">
      <c r="A14" s="100" t="s">
        <v>1045</v>
      </c>
      <c r="B14" s="101" t="s">
        <v>936</v>
      </c>
      <c r="C14" s="101" t="s">
        <v>1046</v>
      </c>
      <c r="D14" s="101" t="s">
        <v>1047</v>
      </c>
      <c r="E14" s="101" t="s">
        <v>403</v>
      </c>
      <c r="F14" s="102">
        <v>45966</v>
      </c>
      <c r="G14" s="83" t="s">
        <v>219</v>
      </c>
      <c r="H14" s="102">
        <v>45986</v>
      </c>
      <c r="I14" s="101" t="s">
        <v>938</v>
      </c>
      <c r="J14" s="101" t="s">
        <v>1030</v>
      </c>
      <c r="K14" s="102">
        <v>45982</v>
      </c>
      <c r="L14" s="83" t="s">
        <v>231</v>
      </c>
      <c r="M14" s="102">
        <v>45995</v>
      </c>
      <c r="N14" s="101"/>
      <c r="O14" s="101"/>
      <c r="P14" s="83">
        <f t="shared" ca="1" si="0"/>
        <v>29</v>
      </c>
      <c r="Q14" s="83" t="str">
        <f t="shared" si="1"/>
        <v>Closed</v>
      </c>
      <c r="R14" s="83" t="str">
        <f t="shared" si="2"/>
        <v>Closed</v>
      </c>
      <c r="S14" s="83">
        <f t="shared" si="3"/>
        <v>29</v>
      </c>
      <c r="T14" s="101" t="str">
        <f>IFERROR(_xlfn.XLOOKUP(tblRecruitmentPipeline[[#This Row],[REQ_ID]],tblRequisitions[REQ_ID],tblRequisitions[DEPARTMENT],""),"")</f>
        <v>Collections</v>
      </c>
      <c r="U14" s="110" t="str">
        <f>IF(tblRecruitmentPipeline[[#This Row],[REQ_DEPARTMENT]]="","No","Yes")</f>
        <v>Yes</v>
      </c>
    </row>
    <row r="15" spans="1:21">
      <c r="A15" s="100" t="s">
        <v>1048</v>
      </c>
      <c r="B15" s="101" t="s">
        <v>936</v>
      </c>
      <c r="C15" s="101" t="s">
        <v>1049</v>
      </c>
      <c r="D15" s="101" t="s">
        <v>512</v>
      </c>
      <c r="E15" s="101" t="s">
        <v>412</v>
      </c>
      <c r="F15" s="102">
        <v>45981</v>
      </c>
      <c r="G15" s="83" t="s">
        <v>382</v>
      </c>
      <c r="H15" s="102">
        <v>46030</v>
      </c>
      <c r="I15" s="101" t="s">
        <v>938</v>
      </c>
      <c r="J15" s="101" t="s">
        <v>1030</v>
      </c>
      <c r="K15" s="102"/>
      <c r="L15" s="83" t="s">
        <v>404</v>
      </c>
      <c r="M15" s="102"/>
      <c r="N15" s="101"/>
      <c r="O15" s="101"/>
      <c r="P15" s="83">
        <f t="shared" ca="1" si="0"/>
        <v>164</v>
      </c>
      <c r="Q15" s="83" t="str">
        <f t="shared" ca="1" si="1"/>
        <v>Stale</v>
      </c>
      <c r="R15" s="83" t="str">
        <f t="shared" ca="1" si="2"/>
        <v>Delayed</v>
      </c>
      <c r="S15" s="83" t="str">
        <f t="shared" si="3"/>
        <v/>
      </c>
      <c r="T15" s="101" t="str">
        <f>IFERROR(_xlfn.XLOOKUP(tblRecruitmentPipeline[[#This Row],[REQ_ID]],tblRequisitions[REQ_ID],tblRequisitions[DEPARTMENT],""),"")</f>
        <v>Collections</v>
      </c>
      <c r="U15" s="110" t="str">
        <f>IF(tblRecruitmentPipeline[[#This Row],[REQ_DEPARTMENT]]="","No","Yes")</f>
        <v>Yes</v>
      </c>
    </row>
    <row r="16" spans="1:21">
      <c r="A16" s="100" t="s">
        <v>1050</v>
      </c>
      <c r="B16" s="101" t="s">
        <v>936</v>
      </c>
      <c r="C16" s="101" t="s">
        <v>1051</v>
      </c>
      <c r="D16" s="101" t="s">
        <v>590</v>
      </c>
      <c r="E16" s="101" t="s">
        <v>375</v>
      </c>
      <c r="F16" s="102">
        <v>45966</v>
      </c>
      <c r="G16" s="83" t="s">
        <v>219</v>
      </c>
      <c r="H16" s="102">
        <v>46014</v>
      </c>
      <c r="I16" s="101" t="s">
        <v>938</v>
      </c>
      <c r="J16" s="101" t="s">
        <v>1030</v>
      </c>
      <c r="K16" s="102">
        <v>46011</v>
      </c>
      <c r="L16" s="83" t="s">
        <v>231</v>
      </c>
      <c r="M16" s="102">
        <v>46018</v>
      </c>
      <c r="N16" s="101"/>
      <c r="O16" s="101"/>
      <c r="P16" s="83">
        <f t="shared" ca="1" si="0"/>
        <v>52</v>
      </c>
      <c r="Q16" s="83" t="str">
        <f t="shared" si="1"/>
        <v>Closed</v>
      </c>
      <c r="R16" s="83" t="str">
        <f t="shared" si="2"/>
        <v>Closed</v>
      </c>
      <c r="S16" s="83">
        <f t="shared" si="3"/>
        <v>52</v>
      </c>
      <c r="T16" s="101" t="str">
        <f>IFERROR(_xlfn.XLOOKUP(tblRecruitmentPipeline[[#This Row],[REQ_ID]],tblRequisitions[REQ_ID],tblRequisitions[DEPARTMENT],""),"")</f>
        <v>Collections</v>
      </c>
      <c r="U16" s="110" t="str">
        <f>IF(tblRecruitmentPipeline[[#This Row],[REQ_DEPARTMENT]]="","No","Yes")</f>
        <v>Yes</v>
      </c>
    </row>
    <row r="17" spans="1:21">
      <c r="A17" s="100" t="s">
        <v>1052</v>
      </c>
      <c r="B17" s="101" t="s">
        <v>936</v>
      </c>
      <c r="C17" s="101" t="s">
        <v>1053</v>
      </c>
      <c r="D17" s="101" t="s">
        <v>1054</v>
      </c>
      <c r="E17" s="101" t="s">
        <v>412</v>
      </c>
      <c r="F17" s="102">
        <v>45947</v>
      </c>
      <c r="G17" s="83" t="s">
        <v>409</v>
      </c>
      <c r="H17" s="102">
        <v>45974</v>
      </c>
      <c r="I17" s="101" t="s">
        <v>938</v>
      </c>
      <c r="J17" s="101" t="s">
        <v>227</v>
      </c>
      <c r="K17" s="102">
        <v>45969</v>
      </c>
      <c r="L17" s="83" t="s">
        <v>323</v>
      </c>
      <c r="M17" s="102"/>
      <c r="N17" s="101"/>
      <c r="O17" s="101"/>
      <c r="P17" s="83">
        <f t="shared" ca="1" si="0"/>
        <v>198</v>
      </c>
      <c r="Q17" s="83" t="str">
        <f t="shared" ca="1" si="1"/>
        <v>Stale</v>
      </c>
      <c r="R17" s="83" t="str">
        <f t="shared" ca="1" si="2"/>
        <v>Delayed</v>
      </c>
      <c r="S17" s="83" t="str">
        <f t="shared" si="3"/>
        <v/>
      </c>
      <c r="T17" s="101" t="str">
        <f>IFERROR(_xlfn.XLOOKUP(tblRecruitmentPipeline[[#This Row],[REQ_ID]],tblRequisitions[REQ_ID],tblRequisitions[DEPARTMENT],""),"")</f>
        <v>Collections</v>
      </c>
      <c r="U17" s="110" t="str">
        <f>IF(tblRecruitmentPipeline[[#This Row],[REQ_DEPARTMENT]]="","No","Yes")</f>
        <v>Yes</v>
      </c>
    </row>
    <row r="18" spans="1:21">
      <c r="A18" s="100" t="s">
        <v>1055</v>
      </c>
      <c r="B18" s="101" t="s">
        <v>936</v>
      </c>
      <c r="C18" s="101" t="s">
        <v>1056</v>
      </c>
      <c r="D18" s="101" t="s">
        <v>1057</v>
      </c>
      <c r="E18" s="101" t="s">
        <v>384</v>
      </c>
      <c r="F18" s="102">
        <v>45969</v>
      </c>
      <c r="G18" s="83" t="s">
        <v>382</v>
      </c>
      <c r="H18" s="102">
        <v>46012</v>
      </c>
      <c r="I18" s="101" t="s">
        <v>938</v>
      </c>
      <c r="J18" s="101" t="s">
        <v>1030</v>
      </c>
      <c r="K18" s="102"/>
      <c r="L18" s="83" t="s">
        <v>404</v>
      </c>
      <c r="M18" s="102"/>
      <c r="N18" s="101"/>
      <c r="O18" s="101"/>
      <c r="P18" s="83">
        <f t="shared" ca="1" si="0"/>
        <v>176</v>
      </c>
      <c r="Q18" s="83" t="str">
        <f t="shared" ca="1" si="1"/>
        <v>Stale</v>
      </c>
      <c r="R18" s="83" t="str">
        <f t="shared" ca="1" si="2"/>
        <v>Delayed</v>
      </c>
      <c r="S18" s="83" t="str">
        <f t="shared" si="3"/>
        <v/>
      </c>
      <c r="T18" s="101" t="str">
        <f>IFERROR(_xlfn.XLOOKUP(tblRecruitmentPipeline[[#This Row],[REQ_ID]],tblRequisitions[REQ_ID],tblRequisitions[DEPARTMENT],""),"")</f>
        <v>Collections</v>
      </c>
      <c r="U18" s="110" t="str">
        <f>IF(tblRecruitmentPipeline[[#This Row],[REQ_DEPARTMENT]]="","No","Yes")</f>
        <v>Yes</v>
      </c>
    </row>
    <row r="19" spans="1:21">
      <c r="A19" s="100" t="s">
        <v>1058</v>
      </c>
      <c r="B19" s="101" t="s">
        <v>939</v>
      </c>
      <c r="C19" s="101" t="s">
        <v>1059</v>
      </c>
      <c r="D19" s="101" t="s">
        <v>675</v>
      </c>
      <c r="E19" s="101" t="s">
        <v>412</v>
      </c>
      <c r="F19" s="102">
        <v>45958</v>
      </c>
      <c r="G19" s="83" t="s">
        <v>219</v>
      </c>
      <c r="H19" s="102">
        <v>45971</v>
      </c>
      <c r="I19" s="101" t="s">
        <v>940</v>
      </c>
      <c r="J19" s="101" t="s">
        <v>227</v>
      </c>
      <c r="K19" s="102">
        <v>45966</v>
      </c>
      <c r="L19" s="83" t="s">
        <v>231</v>
      </c>
      <c r="M19" s="102">
        <v>45986</v>
      </c>
      <c r="N19" s="101"/>
      <c r="O19" s="101"/>
      <c r="P19" s="83">
        <f t="shared" ca="1" si="0"/>
        <v>28</v>
      </c>
      <c r="Q19" s="83" t="str">
        <f t="shared" si="1"/>
        <v>Closed</v>
      </c>
      <c r="R19" s="83" t="str">
        <f t="shared" si="2"/>
        <v>Closed</v>
      </c>
      <c r="S19" s="83">
        <f t="shared" si="3"/>
        <v>28</v>
      </c>
      <c r="T19" s="101" t="str">
        <f>IFERROR(_xlfn.XLOOKUP(tblRecruitmentPipeline[[#This Row],[REQ_ID]],tblRequisitions[REQ_ID],tblRequisitions[DEPARTMENT],""),"")</f>
        <v>Customer Service</v>
      </c>
      <c r="U19" s="110" t="str">
        <f>IF(tblRecruitmentPipeline[[#This Row],[REQ_DEPARTMENT]]="","No","Yes")</f>
        <v>Yes</v>
      </c>
    </row>
    <row r="20" spans="1:21">
      <c r="A20" s="100" t="s">
        <v>1060</v>
      </c>
      <c r="B20" s="101" t="s">
        <v>939</v>
      </c>
      <c r="C20" s="101" t="s">
        <v>1061</v>
      </c>
      <c r="D20" s="101" t="s">
        <v>751</v>
      </c>
      <c r="E20" s="101" t="s">
        <v>261</v>
      </c>
      <c r="F20" s="102">
        <v>45946</v>
      </c>
      <c r="G20" s="83" t="s">
        <v>219</v>
      </c>
      <c r="H20" s="102">
        <v>45952</v>
      </c>
      <c r="I20" s="101" t="s">
        <v>940</v>
      </c>
      <c r="J20" s="101" t="s">
        <v>36</v>
      </c>
      <c r="K20" s="102">
        <v>45949</v>
      </c>
      <c r="L20" s="83" t="s">
        <v>231</v>
      </c>
      <c r="M20" s="102">
        <v>45957</v>
      </c>
      <c r="N20" s="101"/>
      <c r="O20" s="101"/>
      <c r="P20" s="83">
        <f t="shared" ca="1" si="0"/>
        <v>11</v>
      </c>
      <c r="Q20" s="83" t="str">
        <f t="shared" si="1"/>
        <v>Closed</v>
      </c>
      <c r="R20" s="83" t="str">
        <f t="shared" si="2"/>
        <v>Closed</v>
      </c>
      <c r="S20" s="83">
        <f t="shared" si="3"/>
        <v>11</v>
      </c>
      <c r="T20" s="101" t="str">
        <f>IFERROR(_xlfn.XLOOKUP(tblRecruitmentPipeline[[#This Row],[REQ_ID]],tblRequisitions[REQ_ID],tblRequisitions[DEPARTMENT],""),"")</f>
        <v>Customer Service</v>
      </c>
      <c r="U20" s="110" t="str">
        <f>IF(tblRecruitmentPipeline[[#This Row],[REQ_DEPARTMENT]]="","No","Yes")</f>
        <v>Yes</v>
      </c>
    </row>
    <row r="21" spans="1:21">
      <c r="A21" s="100" t="s">
        <v>1062</v>
      </c>
      <c r="B21" s="101" t="s">
        <v>939</v>
      </c>
      <c r="C21" s="101" t="s">
        <v>1063</v>
      </c>
      <c r="D21" s="101" t="s">
        <v>1064</v>
      </c>
      <c r="E21" s="101" t="s">
        <v>384</v>
      </c>
      <c r="F21" s="102">
        <v>45950</v>
      </c>
      <c r="G21" s="83" t="s">
        <v>219</v>
      </c>
      <c r="H21" s="102">
        <v>45967</v>
      </c>
      <c r="I21" s="101" t="s">
        <v>940</v>
      </c>
      <c r="J21" s="101" t="s">
        <v>36</v>
      </c>
      <c r="K21" s="102">
        <v>45966</v>
      </c>
      <c r="L21" s="83" t="s">
        <v>231</v>
      </c>
      <c r="M21" s="102">
        <v>45977</v>
      </c>
      <c r="N21" s="101"/>
      <c r="O21" s="101"/>
      <c r="P21" s="83">
        <f t="shared" ca="1" si="0"/>
        <v>27</v>
      </c>
      <c r="Q21" s="83" t="str">
        <f t="shared" si="1"/>
        <v>Closed</v>
      </c>
      <c r="R21" s="83" t="str">
        <f t="shared" si="2"/>
        <v>Closed</v>
      </c>
      <c r="S21" s="83">
        <f t="shared" si="3"/>
        <v>27</v>
      </c>
      <c r="T21" s="101" t="str">
        <f>IFERROR(_xlfn.XLOOKUP(tblRecruitmentPipeline[[#This Row],[REQ_ID]],tblRequisitions[REQ_ID],tblRequisitions[DEPARTMENT],""),"")</f>
        <v>Customer Service</v>
      </c>
      <c r="U21" s="110" t="str">
        <f>IF(tblRecruitmentPipeline[[#This Row],[REQ_DEPARTMENT]]="","No","Yes")</f>
        <v>Yes</v>
      </c>
    </row>
    <row r="22" spans="1:21">
      <c r="A22" s="100" t="s">
        <v>1065</v>
      </c>
      <c r="B22" s="101" t="s">
        <v>939</v>
      </c>
      <c r="C22" s="101" t="s">
        <v>1066</v>
      </c>
      <c r="D22" s="101" t="s">
        <v>767</v>
      </c>
      <c r="E22" s="101" t="s">
        <v>412</v>
      </c>
      <c r="F22" s="102">
        <v>45973</v>
      </c>
      <c r="G22" s="83" t="s">
        <v>401</v>
      </c>
      <c r="H22" s="102">
        <v>46014</v>
      </c>
      <c r="I22" s="101" t="s">
        <v>940</v>
      </c>
      <c r="J22" s="101" t="s">
        <v>227</v>
      </c>
      <c r="K22" s="102"/>
      <c r="L22" s="83" t="s">
        <v>404</v>
      </c>
      <c r="M22" s="102"/>
      <c r="N22" s="101"/>
      <c r="O22" s="101"/>
      <c r="P22" s="83">
        <f t="shared" ca="1" si="0"/>
        <v>172</v>
      </c>
      <c r="Q22" s="83" t="str">
        <f t="shared" ca="1" si="1"/>
        <v>Stale</v>
      </c>
      <c r="R22" s="83" t="str">
        <f t="shared" ca="1" si="2"/>
        <v>Delayed</v>
      </c>
      <c r="S22" s="83" t="str">
        <f t="shared" si="3"/>
        <v/>
      </c>
      <c r="T22" s="101" t="str">
        <f>IFERROR(_xlfn.XLOOKUP(tblRecruitmentPipeline[[#This Row],[REQ_ID]],tblRequisitions[REQ_ID],tblRequisitions[DEPARTMENT],""),"")</f>
        <v>Customer Service</v>
      </c>
      <c r="U22" s="110" t="str">
        <f>IF(tblRecruitmentPipeline[[#This Row],[REQ_DEPARTMENT]]="","No","Yes")</f>
        <v>Yes</v>
      </c>
    </row>
    <row r="23" spans="1:21">
      <c r="A23" s="100" t="s">
        <v>1067</v>
      </c>
      <c r="B23" s="101" t="s">
        <v>941</v>
      </c>
      <c r="C23" s="101" t="s">
        <v>1068</v>
      </c>
      <c r="D23" s="101" t="s">
        <v>552</v>
      </c>
      <c r="E23" s="101" t="s">
        <v>414</v>
      </c>
      <c r="F23" s="102">
        <v>45728</v>
      </c>
      <c r="G23" s="83" t="s">
        <v>219</v>
      </c>
      <c r="H23" s="102">
        <v>45757</v>
      </c>
      <c r="I23" s="101" t="s">
        <v>942</v>
      </c>
      <c r="J23" s="101" t="s">
        <v>1030</v>
      </c>
      <c r="K23" s="102">
        <v>45755</v>
      </c>
      <c r="L23" s="83" t="s">
        <v>231</v>
      </c>
      <c r="M23" s="102">
        <v>45762</v>
      </c>
      <c r="N23" s="101"/>
      <c r="O23" s="101"/>
      <c r="P23" s="83">
        <f t="shared" ca="1" si="0"/>
        <v>34</v>
      </c>
      <c r="Q23" s="83" t="str">
        <f t="shared" si="1"/>
        <v>Closed</v>
      </c>
      <c r="R23" s="83" t="str">
        <f t="shared" si="2"/>
        <v>Closed</v>
      </c>
      <c r="S23" s="83">
        <f t="shared" si="3"/>
        <v>34</v>
      </c>
      <c r="T23" s="101" t="str">
        <f>IFERROR(_xlfn.XLOOKUP(tblRecruitmentPipeline[[#This Row],[REQ_ID]],tblRequisitions[REQ_ID],tblRequisitions[DEPARTMENT],""),"")</f>
        <v>Information Technology</v>
      </c>
      <c r="U23" s="110" t="str">
        <f>IF(tblRecruitmentPipeline[[#This Row],[REQ_DEPARTMENT]]="","No","Yes")</f>
        <v>Yes</v>
      </c>
    </row>
    <row r="24" spans="1:21">
      <c r="A24" s="100" t="s">
        <v>1069</v>
      </c>
      <c r="B24" s="101" t="s">
        <v>941</v>
      </c>
      <c r="C24" s="101" t="s">
        <v>1070</v>
      </c>
      <c r="D24" s="101" t="s">
        <v>619</v>
      </c>
      <c r="E24" s="101" t="s">
        <v>403</v>
      </c>
      <c r="F24" s="102">
        <v>45732</v>
      </c>
      <c r="G24" s="83" t="s">
        <v>219</v>
      </c>
      <c r="H24" s="102">
        <v>45757</v>
      </c>
      <c r="I24" s="101" t="s">
        <v>942</v>
      </c>
      <c r="J24" s="101" t="s">
        <v>36</v>
      </c>
      <c r="K24" s="102">
        <v>45755</v>
      </c>
      <c r="L24" s="83" t="s">
        <v>231</v>
      </c>
      <c r="M24" s="102">
        <v>45772</v>
      </c>
      <c r="N24" s="101"/>
      <c r="O24" s="101"/>
      <c r="P24" s="83">
        <f t="shared" ca="1" si="0"/>
        <v>40</v>
      </c>
      <c r="Q24" s="83" t="str">
        <f t="shared" si="1"/>
        <v>Closed</v>
      </c>
      <c r="R24" s="83" t="str">
        <f t="shared" si="2"/>
        <v>Closed</v>
      </c>
      <c r="S24" s="83">
        <f t="shared" si="3"/>
        <v>40</v>
      </c>
      <c r="T24" s="101" t="str">
        <f>IFERROR(_xlfn.XLOOKUP(tblRecruitmentPipeline[[#This Row],[REQ_ID]],tblRequisitions[REQ_ID],tblRequisitions[DEPARTMENT],""),"")</f>
        <v>Information Technology</v>
      </c>
      <c r="U24" s="110" t="str">
        <f>IF(tblRecruitmentPipeline[[#This Row],[REQ_DEPARTMENT]]="","No","Yes")</f>
        <v>Yes</v>
      </c>
    </row>
    <row r="25" spans="1:21">
      <c r="A25" s="100" t="s">
        <v>1071</v>
      </c>
      <c r="B25" s="101" t="s">
        <v>941</v>
      </c>
      <c r="C25" s="101" t="s">
        <v>1072</v>
      </c>
      <c r="D25" s="101" t="s">
        <v>625</v>
      </c>
      <c r="E25" s="101" t="s">
        <v>384</v>
      </c>
      <c r="F25" s="102">
        <v>45733</v>
      </c>
      <c r="G25" s="83" t="s">
        <v>393</v>
      </c>
      <c r="H25" s="102">
        <v>45754</v>
      </c>
      <c r="I25" s="101" t="s">
        <v>942</v>
      </c>
      <c r="J25" s="101" t="s">
        <v>227</v>
      </c>
      <c r="K25" s="102"/>
      <c r="L25" s="83" t="s">
        <v>404</v>
      </c>
      <c r="M25" s="102"/>
      <c r="N25" s="101"/>
      <c r="O25" s="101"/>
      <c r="P25" s="83">
        <f t="shared" ca="1" si="0"/>
        <v>412</v>
      </c>
      <c r="Q25" s="83" t="str">
        <f t="shared" ca="1" si="1"/>
        <v>Stale</v>
      </c>
      <c r="R25" s="83" t="str">
        <f t="shared" ca="1" si="2"/>
        <v>Delayed</v>
      </c>
      <c r="S25" s="83" t="str">
        <f t="shared" si="3"/>
        <v/>
      </c>
      <c r="T25" s="101" t="str">
        <f>IFERROR(_xlfn.XLOOKUP(tblRecruitmentPipeline[[#This Row],[REQ_ID]],tblRequisitions[REQ_ID],tblRequisitions[DEPARTMENT],""),"")</f>
        <v>Information Technology</v>
      </c>
      <c r="U25" s="110" t="str">
        <f>IF(tblRecruitmentPipeline[[#This Row],[REQ_DEPARTMENT]]="","No","Yes")</f>
        <v>Yes</v>
      </c>
    </row>
    <row r="26" spans="1:21">
      <c r="A26" s="100" t="s">
        <v>1073</v>
      </c>
      <c r="B26" s="101" t="s">
        <v>941</v>
      </c>
      <c r="C26" s="101" t="s">
        <v>1074</v>
      </c>
      <c r="D26" s="101" t="s">
        <v>836</v>
      </c>
      <c r="E26" s="101" t="s">
        <v>412</v>
      </c>
      <c r="F26" s="102">
        <v>45710</v>
      </c>
      <c r="G26" s="83" t="s">
        <v>413</v>
      </c>
      <c r="H26" s="102">
        <v>45720</v>
      </c>
      <c r="I26" s="101" t="s">
        <v>942</v>
      </c>
      <c r="J26" s="101" t="s">
        <v>1030</v>
      </c>
      <c r="K26" s="102"/>
      <c r="L26" s="83" t="s">
        <v>404</v>
      </c>
      <c r="M26" s="102"/>
      <c r="N26" s="101" t="s">
        <v>1075</v>
      </c>
      <c r="O26" s="101"/>
      <c r="P26" s="83">
        <f t="shared" ca="1" si="0"/>
        <v>10</v>
      </c>
      <c r="Q26" s="83" t="str">
        <f t="shared" si="1"/>
        <v>Closed</v>
      </c>
      <c r="R26" s="83" t="str">
        <f t="shared" si="2"/>
        <v>Closed</v>
      </c>
      <c r="S26" s="83" t="str">
        <f t="shared" si="3"/>
        <v/>
      </c>
      <c r="T26" s="101" t="str">
        <f>IFERROR(_xlfn.XLOOKUP(tblRecruitmentPipeline[[#This Row],[REQ_ID]],tblRequisitions[REQ_ID],tblRequisitions[DEPARTMENT],""),"")</f>
        <v>Information Technology</v>
      </c>
      <c r="U26" s="110" t="str">
        <f>IF(tblRecruitmentPipeline[[#This Row],[REQ_DEPARTMENT]]="","No","Yes")</f>
        <v>Yes</v>
      </c>
    </row>
    <row r="27" spans="1:21">
      <c r="A27" s="100" t="s">
        <v>1076</v>
      </c>
      <c r="B27" s="101" t="s">
        <v>943</v>
      </c>
      <c r="C27" s="101" t="s">
        <v>1077</v>
      </c>
      <c r="D27" s="101" t="s">
        <v>790</v>
      </c>
      <c r="E27" s="101" t="s">
        <v>375</v>
      </c>
      <c r="F27" s="102">
        <v>45748</v>
      </c>
      <c r="G27" s="83" t="s">
        <v>413</v>
      </c>
      <c r="H27" s="102">
        <v>45787</v>
      </c>
      <c r="I27" s="101" t="s">
        <v>940</v>
      </c>
      <c r="J27" s="101" t="s">
        <v>227</v>
      </c>
      <c r="K27" s="102"/>
      <c r="L27" s="83" t="s">
        <v>404</v>
      </c>
      <c r="M27" s="102"/>
      <c r="N27" s="101" t="s">
        <v>1078</v>
      </c>
      <c r="O27" s="101"/>
      <c r="P27" s="83">
        <f t="shared" ca="1" si="0"/>
        <v>39</v>
      </c>
      <c r="Q27" s="83" t="str">
        <f t="shared" si="1"/>
        <v>Closed</v>
      </c>
      <c r="R27" s="83" t="str">
        <f t="shared" si="2"/>
        <v>Closed</v>
      </c>
      <c r="S27" s="83" t="str">
        <f t="shared" si="3"/>
        <v/>
      </c>
      <c r="T27" s="101" t="str">
        <f>IFERROR(_xlfn.XLOOKUP(tblRecruitmentPipeline[[#This Row],[REQ_ID]],tblRequisitions[REQ_ID],tblRequisitions[DEPARTMENT],""),"")</f>
        <v>Information Technology</v>
      </c>
      <c r="U27" s="110" t="str">
        <f>IF(tblRecruitmentPipeline[[#This Row],[REQ_DEPARTMENT]]="","No","Yes")</f>
        <v>Yes</v>
      </c>
    </row>
    <row r="28" spans="1:21">
      <c r="A28" s="100" t="s">
        <v>1079</v>
      </c>
      <c r="B28" s="101" t="s">
        <v>943</v>
      </c>
      <c r="C28" s="101" t="s">
        <v>1080</v>
      </c>
      <c r="D28" s="101" t="s">
        <v>1081</v>
      </c>
      <c r="E28" s="101" t="s">
        <v>261</v>
      </c>
      <c r="F28" s="102">
        <v>45763</v>
      </c>
      <c r="G28" s="83" t="s">
        <v>401</v>
      </c>
      <c r="H28" s="102">
        <v>45799</v>
      </c>
      <c r="I28" s="101" t="s">
        <v>940</v>
      </c>
      <c r="J28" s="101" t="s">
        <v>36</v>
      </c>
      <c r="K28" s="102"/>
      <c r="L28" s="83" t="s">
        <v>404</v>
      </c>
      <c r="M28" s="102"/>
      <c r="N28" s="101"/>
      <c r="O28" s="101"/>
      <c r="P28" s="83">
        <f t="shared" ca="1" si="0"/>
        <v>382</v>
      </c>
      <c r="Q28" s="83" t="str">
        <f t="shared" ca="1" si="1"/>
        <v>Stale</v>
      </c>
      <c r="R28" s="83" t="str">
        <f t="shared" ca="1" si="2"/>
        <v>Delayed</v>
      </c>
      <c r="S28" s="83" t="str">
        <f t="shared" si="3"/>
        <v/>
      </c>
      <c r="T28" s="101" t="str">
        <f>IFERROR(_xlfn.XLOOKUP(tblRecruitmentPipeline[[#This Row],[REQ_ID]],tblRequisitions[REQ_ID],tblRequisitions[DEPARTMENT],""),"")</f>
        <v>Information Technology</v>
      </c>
      <c r="U28" s="110" t="str">
        <f>IF(tblRecruitmentPipeline[[#This Row],[REQ_DEPARTMENT]]="","No","Yes")</f>
        <v>Yes</v>
      </c>
    </row>
    <row r="29" spans="1:21">
      <c r="A29" s="100" t="s">
        <v>1082</v>
      </c>
      <c r="B29" s="101" t="s">
        <v>943</v>
      </c>
      <c r="C29" s="101" t="s">
        <v>1083</v>
      </c>
      <c r="D29" s="101" t="s">
        <v>1084</v>
      </c>
      <c r="E29" s="101" t="s">
        <v>213</v>
      </c>
      <c r="F29" s="102">
        <v>45761</v>
      </c>
      <c r="G29" s="83" t="s">
        <v>413</v>
      </c>
      <c r="H29" s="102">
        <v>45800</v>
      </c>
      <c r="I29" s="101" t="s">
        <v>940</v>
      </c>
      <c r="J29" s="101" t="s">
        <v>227</v>
      </c>
      <c r="K29" s="102"/>
      <c r="L29" s="83" t="s">
        <v>404</v>
      </c>
      <c r="M29" s="102"/>
      <c r="N29" s="101" t="s">
        <v>1085</v>
      </c>
      <c r="O29" s="101"/>
      <c r="P29" s="83">
        <f t="shared" ca="1" si="0"/>
        <v>39</v>
      </c>
      <c r="Q29" s="83" t="str">
        <f t="shared" si="1"/>
        <v>Closed</v>
      </c>
      <c r="R29" s="83" t="str">
        <f t="shared" si="2"/>
        <v>Closed</v>
      </c>
      <c r="S29" s="83" t="str">
        <f t="shared" si="3"/>
        <v/>
      </c>
      <c r="T29" s="101" t="str">
        <f>IFERROR(_xlfn.XLOOKUP(tblRecruitmentPipeline[[#This Row],[REQ_ID]],tblRequisitions[REQ_ID],tblRequisitions[DEPARTMENT],""),"")</f>
        <v>Information Technology</v>
      </c>
      <c r="U29" s="110" t="str">
        <f>IF(tblRecruitmentPipeline[[#This Row],[REQ_DEPARTMENT]]="","No","Yes")</f>
        <v>Yes</v>
      </c>
    </row>
    <row r="30" spans="1:21">
      <c r="A30" s="100" t="s">
        <v>1086</v>
      </c>
      <c r="B30" s="101" t="s">
        <v>944</v>
      </c>
      <c r="C30" s="101" t="s">
        <v>1087</v>
      </c>
      <c r="D30" s="101" t="s">
        <v>1088</v>
      </c>
      <c r="E30" s="101" t="s">
        <v>414</v>
      </c>
      <c r="F30" s="102">
        <v>45819</v>
      </c>
      <c r="G30" s="83" t="s">
        <v>401</v>
      </c>
      <c r="H30" s="102">
        <v>45863</v>
      </c>
      <c r="I30" s="101" t="s">
        <v>938</v>
      </c>
      <c r="J30" s="101" t="s">
        <v>227</v>
      </c>
      <c r="K30" s="102"/>
      <c r="L30" s="83" t="s">
        <v>404</v>
      </c>
      <c r="M30" s="102"/>
      <c r="N30" s="101"/>
      <c r="O30" s="101"/>
      <c r="P30" s="83">
        <f t="shared" ca="1" si="0"/>
        <v>326</v>
      </c>
      <c r="Q30" s="83" t="str">
        <f t="shared" ca="1" si="1"/>
        <v>Stale</v>
      </c>
      <c r="R30" s="83" t="str">
        <f t="shared" ca="1" si="2"/>
        <v>Delayed</v>
      </c>
      <c r="S30" s="83" t="str">
        <f t="shared" si="3"/>
        <v/>
      </c>
      <c r="T30" s="101" t="str">
        <f>IFERROR(_xlfn.XLOOKUP(tblRecruitmentPipeline[[#This Row],[REQ_ID]],tblRequisitions[REQ_ID],tblRequisitions[DEPARTMENT],""),"")</f>
        <v>Loan Processing</v>
      </c>
      <c r="U30" s="110" t="str">
        <f>IF(tblRecruitmentPipeline[[#This Row],[REQ_DEPARTMENT]]="","No","Yes")</f>
        <v>Yes</v>
      </c>
    </row>
    <row r="31" spans="1:21">
      <c r="A31" s="100" t="s">
        <v>1089</v>
      </c>
      <c r="B31" s="101" t="s">
        <v>944</v>
      </c>
      <c r="C31" s="101" t="s">
        <v>1090</v>
      </c>
      <c r="D31" s="101" t="s">
        <v>1091</v>
      </c>
      <c r="E31" s="101" t="s">
        <v>412</v>
      </c>
      <c r="F31" s="102">
        <v>45804</v>
      </c>
      <c r="G31" s="83" t="s">
        <v>393</v>
      </c>
      <c r="H31" s="102">
        <v>45817</v>
      </c>
      <c r="I31" s="101" t="s">
        <v>938</v>
      </c>
      <c r="J31" s="101" t="s">
        <v>227</v>
      </c>
      <c r="K31" s="102"/>
      <c r="L31" s="83" t="s">
        <v>404</v>
      </c>
      <c r="M31" s="102"/>
      <c r="N31" s="101"/>
      <c r="O31" s="101"/>
      <c r="P31" s="83">
        <f t="shared" ca="1" si="0"/>
        <v>341</v>
      </c>
      <c r="Q31" s="83" t="str">
        <f t="shared" ca="1" si="1"/>
        <v>Stale</v>
      </c>
      <c r="R31" s="83" t="str">
        <f t="shared" ca="1" si="2"/>
        <v>Delayed</v>
      </c>
      <c r="S31" s="83" t="str">
        <f t="shared" si="3"/>
        <v/>
      </c>
      <c r="T31" s="101" t="str">
        <f>IFERROR(_xlfn.XLOOKUP(tblRecruitmentPipeline[[#This Row],[REQ_ID]],tblRequisitions[REQ_ID],tblRequisitions[DEPARTMENT],""),"")</f>
        <v>Loan Processing</v>
      </c>
      <c r="U31" s="110" t="str">
        <f>IF(tblRecruitmentPipeline[[#This Row],[REQ_DEPARTMENT]]="","No","Yes")</f>
        <v>Yes</v>
      </c>
    </row>
    <row r="32" spans="1:21">
      <c r="A32" s="100" t="s">
        <v>1092</v>
      </c>
      <c r="B32" s="101" t="s">
        <v>944</v>
      </c>
      <c r="C32" s="101" t="s">
        <v>1093</v>
      </c>
      <c r="D32" s="101" t="s">
        <v>593</v>
      </c>
      <c r="E32" s="101" t="s">
        <v>375</v>
      </c>
      <c r="F32" s="102">
        <v>45826</v>
      </c>
      <c r="G32" s="83" t="s">
        <v>413</v>
      </c>
      <c r="H32" s="102">
        <v>45830</v>
      </c>
      <c r="I32" s="101" t="s">
        <v>938</v>
      </c>
      <c r="J32" s="101" t="s">
        <v>36</v>
      </c>
      <c r="K32" s="102"/>
      <c r="L32" s="83" t="s">
        <v>404</v>
      </c>
      <c r="M32" s="102"/>
      <c r="N32" s="101" t="s">
        <v>1075</v>
      </c>
      <c r="O32" s="101"/>
      <c r="P32" s="83">
        <f t="shared" ca="1" si="0"/>
        <v>4</v>
      </c>
      <c r="Q32" s="83" t="str">
        <f t="shared" si="1"/>
        <v>Closed</v>
      </c>
      <c r="R32" s="83" t="str">
        <f t="shared" si="2"/>
        <v>Closed</v>
      </c>
      <c r="S32" s="83" t="str">
        <f t="shared" si="3"/>
        <v/>
      </c>
      <c r="T32" s="101" t="str">
        <f>IFERROR(_xlfn.XLOOKUP(tblRecruitmentPipeline[[#This Row],[REQ_ID]],tblRequisitions[REQ_ID],tblRequisitions[DEPARTMENT],""),"")</f>
        <v>Loan Processing</v>
      </c>
      <c r="U32" s="110" t="str">
        <f>IF(tblRecruitmentPipeline[[#This Row],[REQ_DEPARTMENT]]="","No","Yes")</f>
        <v>Yes</v>
      </c>
    </row>
    <row r="33" spans="1:21">
      <c r="A33" s="100" t="s">
        <v>1094</v>
      </c>
      <c r="B33" s="101" t="s">
        <v>945</v>
      </c>
      <c r="C33" s="101" t="s">
        <v>1095</v>
      </c>
      <c r="D33" s="101" t="s">
        <v>734</v>
      </c>
      <c r="E33" s="101" t="s">
        <v>375</v>
      </c>
      <c r="F33" s="102">
        <v>46103</v>
      </c>
      <c r="G33" s="83" t="s">
        <v>219</v>
      </c>
      <c r="H33" s="102">
        <v>46138</v>
      </c>
      <c r="I33" s="101" t="s">
        <v>942</v>
      </c>
      <c r="J33" s="101" t="s">
        <v>1030</v>
      </c>
      <c r="K33" s="102">
        <v>46135</v>
      </c>
      <c r="L33" s="83" t="s">
        <v>231</v>
      </c>
      <c r="M33" s="102">
        <v>46148</v>
      </c>
      <c r="N33" s="101"/>
      <c r="O33" s="101"/>
      <c r="P33" s="83">
        <f t="shared" ca="1" si="0"/>
        <v>45</v>
      </c>
      <c r="Q33" s="83" t="str">
        <f t="shared" si="1"/>
        <v>Closed</v>
      </c>
      <c r="R33" s="83" t="str">
        <f t="shared" si="2"/>
        <v>Closed</v>
      </c>
      <c r="S33" s="83">
        <f t="shared" si="3"/>
        <v>45</v>
      </c>
      <c r="T33" s="101" t="str">
        <f>IFERROR(_xlfn.XLOOKUP(tblRecruitmentPipeline[[#This Row],[REQ_ID]],tblRequisitions[REQ_ID],tblRequisitions[DEPARTMENT],""),"")</f>
        <v>Compliance</v>
      </c>
      <c r="U33" s="110" t="str">
        <f>IF(tblRecruitmentPipeline[[#This Row],[REQ_DEPARTMENT]]="","No","Yes")</f>
        <v>Yes</v>
      </c>
    </row>
    <row r="34" spans="1:21">
      <c r="A34" s="100" t="s">
        <v>1096</v>
      </c>
      <c r="B34" s="101" t="s">
        <v>945</v>
      </c>
      <c r="C34" s="101" t="s">
        <v>1097</v>
      </c>
      <c r="D34" s="101" t="s">
        <v>1098</v>
      </c>
      <c r="E34" s="101" t="s">
        <v>414</v>
      </c>
      <c r="F34" s="102">
        <v>46121</v>
      </c>
      <c r="G34" s="83" t="s">
        <v>372</v>
      </c>
      <c r="H34" s="102">
        <v>46156</v>
      </c>
      <c r="I34" s="101" t="s">
        <v>942</v>
      </c>
      <c r="J34" s="101" t="s">
        <v>227</v>
      </c>
      <c r="K34" s="102"/>
      <c r="L34" s="83" t="s">
        <v>404</v>
      </c>
      <c r="M34" s="102"/>
      <c r="N34" s="101"/>
      <c r="O34" s="101"/>
      <c r="P34" s="83">
        <f t="shared" ca="1" si="0"/>
        <v>24</v>
      </c>
      <c r="Q34" s="83" t="str">
        <f t="shared" ca="1" si="1"/>
        <v>Active</v>
      </c>
      <c r="R34" s="83" t="str">
        <f t="shared" ca="1" si="2"/>
        <v>At Risk</v>
      </c>
      <c r="S34" s="83" t="str">
        <f t="shared" si="3"/>
        <v/>
      </c>
      <c r="T34" s="101" t="str">
        <f>IFERROR(_xlfn.XLOOKUP(tblRecruitmentPipeline[[#This Row],[REQ_ID]],tblRequisitions[REQ_ID],tblRequisitions[DEPARTMENT],""),"")</f>
        <v>Compliance</v>
      </c>
      <c r="U34" s="110" t="str">
        <f>IF(tblRecruitmentPipeline[[#This Row],[REQ_DEPARTMENT]]="","No","Yes")</f>
        <v>Yes</v>
      </c>
    </row>
    <row r="35" spans="1:21">
      <c r="A35" s="100" t="s">
        <v>1099</v>
      </c>
      <c r="B35" s="101" t="s">
        <v>945</v>
      </c>
      <c r="C35" s="101" t="s">
        <v>1100</v>
      </c>
      <c r="D35" s="101" t="s">
        <v>1039</v>
      </c>
      <c r="E35" s="101" t="s">
        <v>261</v>
      </c>
      <c r="F35" s="102">
        <v>46117</v>
      </c>
      <c r="G35" s="83" t="s">
        <v>409</v>
      </c>
      <c r="H35" s="102">
        <v>46155</v>
      </c>
      <c r="I35" s="101" t="s">
        <v>942</v>
      </c>
      <c r="J35" s="101" t="s">
        <v>227</v>
      </c>
      <c r="K35" s="102">
        <v>46153</v>
      </c>
      <c r="L35" s="83" t="s">
        <v>385</v>
      </c>
      <c r="M35" s="102"/>
      <c r="N35" s="101"/>
      <c r="O35" s="101"/>
      <c r="P35" s="83">
        <f t="shared" ca="1" si="0"/>
        <v>28</v>
      </c>
      <c r="Q35" s="83" t="str">
        <f t="shared" ca="1" si="1"/>
        <v>Active</v>
      </c>
      <c r="R35" s="83" t="str">
        <f t="shared" ca="1" si="2"/>
        <v>At Risk</v>
      </c>
      <c r="S35" s="83" t="str">
        <f t="shared" si="3"/>
        <v/>
      </c>
      <c r="T35" s="101" t="str">
        <f>IFERROR(_xlfn.XLOOKUP(tblRecruitmentPipeline[[#This Row],[REQ_ID]],tblRequisitions[REQ_ID],tblRequisitions[DEPARTMENT],""),"")</f>
        <v>Compliance</v>
      </c>
      <c r="U35" s="110" t="str">
        <f>IF(tblRecruitmentPipeline[[#This Row],[REQ_DEPARTMENT]]="","No","Yes")</f>
        <v>Yes</v>
      </c>
    </row>
    <row r="36" spans="1:21">
      <c r="A36" s="100" t="s">
        <v>1101</v>
      </c>
      <c r="B36" s="101" t="s">
        <v>945</v>
      </c>
      <c r="C36" s="101" t="s">
        <v>1102</v>
      </c>
      <c r="D36" s="101" t="s">
        <v>596</v>
      </c>
      <c r="E36" s="101" t="s">
        <v>261</v>
      </c>
      <c r="F36" s="102">
        <v>46105</v>
      </c>
      <c r="G36" s="83" t="s">
        <v>401</v>
      </c>
      <c r="H36" s="102">
        <v>46131</v>
      </c>
      <c r="I36" s="101" t="s">
        <v>942</v>
      </c>
      <c r="J36" s="101" t="s">
        <v>36</v>
      </c>
      <c r="K36" s="102"/>
      <c r="L36" s="83" t="s">
        <v>404</v>
      </c>
      <c r="M36" s="102"/>
      <c r="N36" s="101"/>
      <c r="O36" s="101"/>
      <c r="P36" s="83">
        <f t="shared" ca="1" si="0"/>
        <v>40</v>
      </c>
      <c r="Q36" s="83" t="str">
        <f t="shared" ca="1" si="1"/>
        <v>Stale</v>
      </c>
      <c r="R36" s="83" t="str">
        <f t="shared" ca="1" si="2"/>
        <v>Delayed</v>
      </c>
      <c r="S36" s="83" t="str">
        <f t="shared" si="3"/>
        <v/>
      </c>
      <c r="T36" s="101" t="str">
        <f>IFERROR(_xlfn.XLOOKUP(tblRecruitmentPipeline[[#This Row],[REQ_ID]],tblRequisitions[REQ_ID],tblRequisitions[DEPARTMENT],""),"")</f>
        <v>Compliance</v>
      </c>
      <c r="U36" s="110" t="str">
        <f>IF(tblRecruitmentPipeline[[#This Row],[REQ_DEPARTMENT]]="","No","Yes")</f>
        <v>Yes</v>
      </c>
    </row>
    <row r="37" spans="1:21">
      <c r="A37" s="100" t="s">
        <v>1103</v>
      </c>
      <c r="B37" s="101" t="s">
        <v>945</v>
      </c>
      <c r="C37" s="101" t="s">
        <v>1104</v>
      </c>
      <c r="D37" s="101" t="s">
        <v>1057</v>
      </c>
      <c r="E37" s="101" t="s">
        <v>403</v>
      </c>
      <c r="F37" s="102">
        <v>46132</v>
      </c>
      <c r="G37" s="83" t="s">
        <v>413</v>
      </c>
      <c r="H37" s="102">
        <v>46172</v>
      </c>
      <c r="I37" s="101" t="s">
        <v>942</v>
      </c>
      <c r="J37" s="101" t="s">
        <v>1030</v>
      </c>
      <c r="K37" s="102"/>
      <c r="L37" s="83" t="s">
        <v>404</v>
      </c>
      <c r="M37" s="102"/>
      <c r="N37" s="101" t="s">
        <v>1027</v>
      </c>
      <c r="O37" s="101"/>
      <c r="P37" s="83">
        <f t="shared" ca="1" si="0"/>
        <v>40</v>
      </c>
      <c r="Q37" s="83" t="str">
        <f t="shared" si="1"/>
        <v>Closed</v>
      </c>
      <c r="R37" s="83" t="str">
        <f t="shared" si="2"/>
        <v>Closed</v>
      </c>
      <c r="S37" s="83" t="str">
        <f t="shared" si="3"/>
        <v/>
      </c>
      <c r="T37" s="101" t="str">
        <f>IFERROR(_xlfn.XLOOKUP(tblRecruitmentPipeline[[#This Row],[REQ_ID]],tblRequisitions[REQ_ID],tblRequisitions[DEPARTMENT],""),"")</f>
        <v>Compliance</v>
      </c>
      <c r="U37" s="110" t="str">
        <f>IF(tblRecruitmentPipeline[[#This Row],[REQ_DEPARTMENT]]="","No","Yes")</f>
        <v>Yes</v>
      </c>
    </row>
    <row r="38" spans="1:21">
      <c r="A38" s="100" t="s">
        <v>1105</v>
      </c>
      <c r="B38" s="101" t="s">
        <v>946</v>
      </c>
      <c r="C38" s="101" t="s">
        <v>1106</v>
      </c>
      <c r="D38" s="101" t="s">
        <v>684</v>
      </c>
      <c r="E38" s="101" t="s">
        <v>261</v>
      </c>
      <c r="F38" s="102">
        <v>45747</v>
      </c>
      <c r="G38" s="83" t="s">
        <v>219</v>
      </c>
      <c r="H38" s="102">
        <v>45766</v>
      </c>
      <c r="I38" s="101" t="s">
        <v>192</v>
      </c>
      <c r="J38" s="101" t="s">
        <v>227</v>
      </c>
      <c r="K38" s="102">
        <v>45764</v>
      </c>
      <c r="L38" s="83" t="s">
        <v>231</v>
      </c>
      <c r="M38" s="102">
        <v>45773</v>
      </c>
      <c r="N38" s="101"/>
      <c r="O38" s="101"/>
      <c r="P38" s="83">
        <f t="shared" ca="1" si="0"/>
        <v>26</v>
      </c>
      <c r="Q38" s="83" t="str">
        <f t="shared" si="1"/>
        <v>Closed</v>
      </c>
      <c r="R38" s="83" t="str">
        <f t="shared" si="2"/>
        <v>Closed</v>
      </c>
      <c r="S38" s="83">
        <f t="shared" si="3"/>
        <v>26</v>
      </c>
      <c r="T38" s="101" t="str">
        <f>IFERROR(_xlfn.XLOOKUP(tblRecruitmentPipeline[[#This Row],[REQ_ID]],tblRequisitions[REQ_ID],tblRequisitions[DEPARTMENT],""),"")</f>
        <v>Human Resources</v>
      </c>
      <c r="U38" s="110" t="str">
        <f>IF(tblRecruitmentPipeline[[#This Row],[REQ_DEPARTMENT]]="","No","Yes")</f>
        <v>Yes</v>
      </c>
    </row>
    <row r="39" spans="1:21">
      <c r="A39" s="100" t="s">
        <v>1107</v>
      </c>
      <c r="B39" s="101" t="s">
        <v>946</v>
      </c>
      <c r="C39" s="101" t="s">
        <v>1108</v>
      </c>
      <c r="D39" s="101" t="s">
        <v>627</v>
      </c>
      <c r="E39" s="101" t="s">
        <v>412</v>
      </c>
      <c r="F39" s="102">
        <v>45750</v>
      </c>
      <c r="G39" s="83" t="s">
        <v>219</v>
      </c>
      <c r="H39" s="102">
        <v>45778</v>
      </c>
      <c r="I39" s="101" t="s">
        <v>192</v>
      </c>
      <c r="J39" s="101" t="s">
        <v>36</v>
      </c>
      <c r="K39" s="102">
        <v>45775</v>
      </c>
      <c r="L39" s="83" t="s">
        <v>231</v>
      </c>
      <c r="M39" s="102">
        <v>45793</v>
      </c>
      <c r="N39" s="101"/>
      <c r="O39" s="101"/>
      <c r="P39" s="83">
        <f t="shared" ca="1" si="0"/>
        <v>43</v>
      </c>
      <c r="Q39" s="83" t="str">
        <f t="shared" si="1"/>
        <v>Closed</v>
      </c>
      <c r="R39" s="83" t="str">
        <f t="shared" si="2"/>
        <v>Closed</v>
      </c>
      <c r="S39" s="83">
        <f t="shared" si="3"/>
        <v>43</v>
      </c>
      <c r="T39" s="101" t="str">
        <f>IFERROR(_xlfn.XLOOKUP(tblRecruitmentPipeline[[#This Row],[REQ_ID]],tblRequisitions[REQ_ID],tblRequisitions[DEPARTMENT],""),"")</f>
        <v>Human Resources</v>
      </c>
      <c r="U39" s="110" t="str">
        <f>IF(tblRecruitmentPipeline[[#This Row],[REQ_DEPARTMENT]]="","No","Yes")</f>
        <v>Yes</v>
      </c>
    </row>
    <row r="40" spans="1:21">
      <c r="A40" s="100" t="s">
        <v>1109</v>
      </c>
      <c r="B40" s="101" t="s">
        <v>946</v>
      </c>
      <c r="C40" s="101" t="s">
        <v>1110</v>
      </c>
      <c r="D40" s="101" t="s">
        <v>1111</v>
      </c>
      <c r="E40" s="101" t="s">
        <v>375</v>
      </c>
      <c r="F40" s="102">
        <v>45773</v>
      </c>
      <c r="G40" s="83" t="s">
        <v>382</v>
      </c>
      <c r="H40" s="102">
        <v>45785</v>
      </c>
      <c r="I40" s="101" t="s">
        <v>192</v>
      </c>
      <c r="J40" s="101" t="s">
        <v>1030</v>
      </c>
      <c r="K40" s="102"/>
      <c r="L40" s="83" t="s">
        <v>404</v>
      </c>
      <c r="M40" s="102"/>
      <c r="N40" s="101"/>
      <c r="O40" s="101"/>
      <c r="P40" s="83">
        <f t="shared" ca="1" si="0"/>
        <v>372</v>
      </c>
      <c r="Q40" s="83" t="str">
        <f t="shared" ca="1" si="1"/>
        <v>Stale</v>
      </c>
      <c r="R40" s="83" t="str">
        <f t="shared" ca="1" si="2"/>
        <v>Delayed</v>
      </c>
      <c r="S40" s="83" t="str">
        <f t="shared" si="3"/>
        <v/>
      </c>
      <c r="T40" s="101" t="str">
        <f>IFERROR(_xlfn.XLOOKUP(tblRecruitmentPipeline[[#This Row],[REQ_ID]],tblRequisitions[REQ_ID],tblRequisitions[DEPARTMENT],""),"")</f>
        <v>Human Resources</v>
      </c>
      <c r="U40" s="110" t="str">
        <f>IF(tblRecruitmentPipeline[[#This Row],[REQ_DEPARTMENT]]="","No","Yes")</f>
        <v>Yes</v>
      </c>
    </row>
    <row r="41" spans="1:21">
      <c r="A41" s="100" t="s">
        <v>1112</v>
      </c>
      <c r="B41" s="101" t="s">
        <v>946</v>
      </c>
      <c r="C41" s="101" t="s">
        <v>1113</v>
      </c>
      <c r="D41" s="101" t="s">
        <v>775</v>
      </c>
      <c r="E41" s="101" t="s">
        <v>412</v>
      </c>
      <c r="F41" s="102">
        <v>45745</v>
      </c>
      <c r="G41" s="83" t="s">
        <v>382</v>
      </c>
      <c r="H41" s="102">
        <v>45784</v>
      </c>
      <c r="I41" s="101" t="s">
        <v>192</v>
      </c>
      <c r="J41" s="101" t="s">
        <v>227</v>
      </c>
      <c r="K41" s="102"/>
      <c r="L41" s="83" t="s">
        <v>404</v>
      </c>
      <c r="M41" s="102"/>
      <c r="N41" s="101"/>
      <c r="O41" s="101"/>
      <c r="P41" s="83">
        <f t="shared" ca="1" si="0"/>
        <v>400</v>
      </c>
      <c r="Q41" s="83" t="str">
        <f t="shared" ca="1" si="1"/>
        <v>Stale</v>
      </c>
      <c r="R41" s="83" t="str">
        <f t="shared" ca="1" si="2"/>
        <v>Delayed</v>
      </c>
      <c r="S41" s="83" t="str">
        <f t="shared" si="3"/>
        <v/>
      </c>
      <c r="T41" s="101" t="str">
        <f>IFERROR(_xlfn.XLOOKUP(tblRecruitmentPipeline[[#This Row],[REQ_ID]],tblRequisitions[REQ_ID],tblRequisitions[DEPARTMENT],""),"")</f>
        <v>Human Resources</v>
      </c>
      <c r="U41" s="110" t="str">
        <f>IF(tblRecruitmentPipeline[[#This Row],[REQ_DEPARTMENT]]="","No","Yes")</f>
        <v>Yes</v>
      </c>
    </row>
    <row r="42" spans="1:21">
      <c r="A42" s="100" t="s">
        <v>1114</v>
      </c>
      <c r="B42" s="101" t="s">
        <v>947</v>
      </c>
      <c r="C42" s="101" t="s">
        <v>1115</v>
      </c>
      <c r="D42" s="101" t="s">
        <v>1047</v>
      </c>
      <c r="E42" s="101" t="s">
        <v>412</v>
      </c>
      <c r="F42" s="102">
        <v>46123</v>
      </c>
      <c r="G42" s="83" t="s">
        <v>219</v>
      </c>
      <c r="H42" s="102">
        <v>46141</v>
      </c>
      <c r="I42" s="101" t="s">
        <v>942</v>
      </c>
      <c r="J42" s="101" t="s">
        <v>227</v>
      </c>
      <c r="K42" s="102">
        <v>46139</v>
      </c>
      <c r="L42" s="83" t="s">
        <v>231</v>
      </c>
      <c r="M42" s="102">
        <v>46154</v>
      </c>
      <c r="N42" s="101"/>
      <c r="O42" s="101"/>
      <c r="P42" s="83">
        <f t="shared" ca="1" si="0"/>
        <v>31</v>
      </c>
      <c r="Q42" s="83" t="str">
        <f t="shared" si="1"/>
        <v>Closed</v>
      </c>
      <c r="R42" s="83" t="str">
        <f t="shared" si="2"/>
        <v>Closed</v>
      </c>
      <c r="S42" s="83">
        <f t="shared" si="3"/>
        <v>31</v>
      </c>
      <c r="T42" s="101" t="str">
        <f>IFERROR(_xlfn.XLOOKUP(tblRecruitmentPipeline[[#This Row],[REQ_ID]],tblRequisitions[REQ_ID],tblRequisitions[DEPARTMENT],""),"")</f>
        <v>Compliance</v>
      </c>
      <c r="U42" s="110" t="str">
        <f>IF(tblRecruitmentPipeline[[#This Row],[REQ_DEPARTMENT]]="","No","Yes")</f>
        <v>Yes</v>
      </c>
    </row>
    <row r="43" spans="1:21">
      <c r="A43" s="100" t="s">
        <v>1116</v>
      </c>
      <c r="B43" s="101" t="s">
        <v>947</v>
      </c>
      <c r="C43" s="101" t="s">
        <v>1117</v>
      </c>
      <c r="D43" s="101" t="s">
        <v>747</v>
      </c>
      <c r="E43" s="101" t="s">
        <v>414</v>
      </c>
      <c r="F43" s="102">
        <v>46132</v>
      </c>
      <c r="G43" s="83" t="s">
        <v>413</v>
      </c>
      <c r="H43" s="102">
        <v>46147</v>
      </c>
      <c r="I43" s="101" t="s">
        <v>942</v>
      </c>
      <c r="J43" s="101" t="s">
        <v>36</v>
      </c>
      <c r="K43" s="102"/>
      <c r="L43" s="83" t="s">
        <v>404</v>
      </c>
      <c r="M43" s="102"/>
      <c r="N43" s="101" t="s">
        <v>1078</v>
      </c>
      <c r="O43" s="101"/>
      <c r="P43" s="83">
        <f t="shared" ca="1" si="0"/>
        <v>15</v>
      </c>
      <c r="Q43" s="83" t="str">
        <f t="shared" si="1"/>
        <v>Closed</v>
      </c>
      <c r="R43" s="83" t="str">
        <f t="shared" si="2"/>
        <v>Closed</v>
      </c>
      <c r="S43" s="83" t="str">
        <f t="shared" si="3"/>
        <v/>
      </c>
      <c r="T43" s="101" t="str">
        <f>IFERROR(_xlfn.XLOOKUP(tblRecruitmentPipeline[[#This Row],[REQ_ID]],tblRequisitions[REQ_ID],tblRequisitions[DEPARTMENT],""),"")</f>
        <v>Compliance</v>
      </c>
      <c r="U43" s="110" t="str">
        <f>IF(tblRecruitmentPipeline[[#This Row],[REQ_DEPARTMENT]]="","No","Yes")</f>
        <v>Yes</v>
      </c>
    </row>
    <row r="44" spans="1:21">
      <c r="A44" s="100" t="s">
        <v>1118</v>
      </c>
      <c r="B44" s="101" t="s">
        <v>947</v>
      </c>
      <c r="C44" s="101" t="s">
        <v>1119</v>
      </c>
      <c r="D44" s="101" t="s">
        <v>498</v>
      </c>
      <c r="E44" s="101" t="s">
        <v>414</v>
      </c>
      <c r="F44" s="102">
        <v>46124</v>
      </c>
      <c r="G44" s="83" t="s">
        <v>382</v>
      </c>
      <c r="H44" s="102">
        <v>46152</v>
      </c>
      <c r="I44" s="101" t="s">
        <v>942</v>
      </c>
      <c r="J44" s="101" t="s">
        <v>227</v>
      </c>
      <c r="K44" s="102"/>
      <c r="L44" s="83" t="s">
        <v>404</v>
      </c>
      <c r="M44" s="102"/>
      <c r="N44" s="101"/>
      <c r="O44" s="101"/>
      <c r="P44" s="83">
        <f t="shared" ca="1" si="0"/>
        <v>21</v>
      </c>
      <c r="Q44" s="83" t="str">
        <f t="shared" ca="1" si="1"/>
        <v>Active</v>
      </c>
      <c r="R44" s="83" t="str">
        <f t="shared" ca="1" si="2"/>
        <v>At Risk</v>
      </c>
      <c r="S44" s="83" t="str">
        <f t="shared" si="3"/>
        <v/>
      </c>
      <c r="T44" s="101" t="str">
        <f>IFERROR(_xlfn.XLOOKUP(tblRecruitmentPipeline[[#This Row],[REQ_ID]],tblRequisitions[REQ_ID],tblRequisitions[DEPARTMENT],""),"")</f>
        <v>Compliance</v>
      </c>
      <c r="U44" s="110" t="str">
        <f>IF(tblRecruitmentPipeline[[#This Row],[REQ_DEPARTMENT]]="","No","Yes")</f>
        <v>Yes</v>
      </c>
    </row>
    <row r="45" spans="1:21">
      <c r="A45" s="100" t="s">
        <v>1120</v>
      </c>
      <c r="B45" s="101" t="s">
        <v>948</v>
      </c>
      <c r="C45" s="101" t="s">
        <v>1121</v>
      </c>
      <c r="D45" s="101" t="s">
        <v>619</v>
      </c>
      <c r="E45" s="101" t="s">
        <v>403</v>
      </c>
      <c r="F45" s="102">
        <v>45878</v>
      </c>
      <c r="G45" s="83" t="s">
        <v>219</v>
      </c>
      <c r="H45" s="102">
        <v>45912</v>
      </c>
      <c r="I45" s="101" t="s">
        <v>192</v>
      </c>
      <c r="J45" s="101" t="s">
        <v>227</v>
      </c>
      <c r="K45" s="102">
        <v>45909</v>
      </c>
      <c r="L45" s="83" t="s">
        <v>231</v>
      </c>
      <c r="M45" s="102">
        <v>45918</v>
      </c>
      <c r="N45" s="101"/>
      <c r="O45" s="101"/>
      <c r="P45" s="83">
        <f t="shared" ca="1" si="0"/>
        <v>40</v>
      </c>
      <c r="Q45" s="83" t="str">
        <f t="shared" si="1"/>
        <v>Closed</v>
      </c>
      <c r="R45" s="83" t="str">
        <f t="shared" si="2"/>
        <v>Closed</v>
      </c>
      <c r="S45" s="83">
        <f t="shared" si="3"/>
        <v>40</v>
      </c>
      <c r="T45" s="101" t="str">
        <f>IFERROR(_xlfn.XLOOKUP(tblRecruitmentPipeline[[#This Row],[REQ_ID]],tblRequisitions[REQ_ID],tblRequisitions[DEPARTMENT],""),"")</f>
        <v>Loan Processing</v>
      </c>
      <c r="U45" s="110" t="str">
        <f>IF(tblRecruitmentPipeline[[#This Row],[REQ_DEPARTMENT]]="","No","Yes")</f>
        <v>Yes</v>
      </c>
    </row>
    <row r="46" spans="1:21">
      <c r="A46" s="100" t="s">
        <v>1122</v>
      </c>
      <c r="B46" s="101" t="s">
        <v>948</v>
      </c>
      <c r="C46" s="101" t="s">
        <v>1123</v>
      </c>
      <c r="D46" s="101" t="s">
        <v>732</v>
      </c>
      <c r="E46" s="101" t="s">
        <v>375</v>
      </c>
      <c r="F46" s="102">
        <v>45871</v>
      </c>
      <c r="G46" s="83" t="s">
        <v>382</v>
      </c>
      <c r="H46" s="102">
        <v>45897</v>
      </c>
      <c r="I46" s="101" t="s">
        <v>192</v>
      </c>
      <c r="J46" s="101" t="s">
        <v>1030</v>
      </c>
      <c r="K46" s="102"/>
      <c r="L46" s="83" t="s">
        <v>404</v>
      </c>
      <c r="M46" s="102"/>
      <c r="N46" s="101"/>
      <c r="O46" s="101"/>
      <c r="P46" s="83">
        <f t="shared" ca="1" si="0"/>
        <v>274</v>
      </c>
      <c r="Q46" s="83" t="str">
        <f t="shared" ca="1" si="1"/>
        <v>Stale</v>
      </c>
      <c r="R46" s="83" t="str">
        <f t="shared" ca="1" si="2"/>
        <v>Delayed</v>
      </c>
      <c r="S46" s="83" t="str">
        <f t="shared" si="3"/>
        <v/>
      </c>
      <c r="T46" s="101" t="str">
        <f>IFERROR(_xlfn.XLOOKUP(tblRecruitmentPipeline[[#This Row],[REQ_ID]],tblRequisitions[REQ_ID],tblRequisitions[DEPARTMENT],""),"")</f>
        <v>Loan Processing</v>
      </c>
      <c r="U46" s="110" t="str">
        <f>IF(tblRecruitmentPipeline[[#This Row],[REQ_DEPARTMENT]]="","No","Yes")</f>
        <v>Yes</v>
      </c>
    </row>
    <row r="47" spans="1:21">
      <c r="A47" s="100" t="s">
        <v>1124</v>
      </c>
      <c r="B47" s="101" t="s">
        <v>948</v>
      </c>
      <c r="C47" s="101" t="s">
        <v>1125</v>
      </c>
      <c r="D47" s="101" t="s">
        <v>732</v>
      </c>
      <c r="E47" s="101" t="s">
        <v>384</v>
      </c>
      <c r="F47" s="102">
        <v>45900</v>
      </c>
      <c r="G47" s="83" t="s">
        <v>413</v>
      </c>
      <c r="H47" s="102">
        <v>45934</v>
      </c>
      <c r="I47" s="101" t="s">
        <v>192</v>
      </c>
      <c r="J47" s="101" t="s">
        <v>36</v>
      </c>
      <c r="K47" s="102"/>
      <c r="L47" s="83" t="s">
        <v>404</v>
      </c>
      <c r="M47" s="102"/>
      <c r="N47" s="101" t="s">
        <v>1078</v>
      </c>
      <c r="O47" s="101"/>
      <c r="P47" s="83">
        <f t="shared" ca="1" si="0"/>
        <v>34</v>
      </c>
      <c r="Q47" s="83" t="str">
        <f t="shared" si="1"/>
        <v>Closed</v>
      </c>
      <c r="R47" s="83" t="str">
        <f t="shared" si="2"/>
        <v>Closed</v>
      </c>
      <c r="S47" s="83" t="str">
        <f t="shared" si="3"/>
        <v/>
      </c>
      <c r="T47" s="101" t="str">
        <f>IFERROR(_xlfn.XLOOKUP(tblRecruitmentPipeline[[#This Row],[REQ_ID]],tblRequisitions[REQ_ID],tblRequisitions[DEPARTMENT],""),"")</f>
        <v>Loan Processing</v>
      </c>
      <c r="U47" s="110" t="str">
        <f>IF(tblRecruitmentPipeline[[#This Row],[REQ_DEPARTMENT]]="","No","Yes")</f>
        <v>Yes</v>
      </c>
    </row>
    <row r="48" spans="1:21">
      <c r="A48" s="100" t="s">
        <v>1126</v>
      </c>
      <c r="B48" s="101" t="s">
        <v>948</v>
      </c>
      <c r="C48" s="101" t="s">
        <v>1127</v>
      </c>
      <c r="D48" s="101" t="s">
        <v>1128</v>
      </c>
      <c r="E48" s="101" t="s">
        <v>412</v>
      </c>
      <c r="F48" s="102">
        <v>45869</v>
      </c>
      <c r="G48" s="83" t="s">
        <v>413</v>
      </c>
      <c r="H48" s="102">
        <v>45905</v>
      </c>
      <c r="I48" s="101" t="s">
        <v>192</v>
      </c>
      <c r="J48" s="101" t="s">
        <v>1030</v>
      </c>
      <c r="K48" s="102"/>
      <c r="L48" s="83" t="s">
        <v>404</v>
      </c>
      <c r="M48" s="102"/>
      <c r="N48" s="101" t="s">
        <v>1027</v>
      </c>
      <c r="O48" s="101"/>
      <c r="P48" s="83">
        <f t="shared" ca="1" si="0"/>
        <v>36</v>
      </c>
      <c r="Q48" s="83" t="str">
        <f t="shared" si="1"/>
        <v>Closed</v>
      </c>
      <c r="R48" s="83" t="str">
        <f t="shared" si="2"/>
        <v>Closed</v>
      </c>
      <c r="S48" s="83" t="str">
        <f t="shared" si="3"/>
        <v/>
      </c>
      <c r="T48" s="101" t="str">
        <f>IFERROR(_xlfn.XLOOKUP(tblRecruitmentPipeline[[#This Row],[REQ_ID]],tblRequisitions[REQ_ID],tblRequisitions[DEPARTMENT],""),"")</f>
        <v>Loan Processing</v>
      </c>
      <c r="U48" s="110" t="str">
        <f>IF(tblRecruitmentPipeline[[#This Row],[REQ_DEPARTMENT]]="","No","Yes")</f>
        <v>Yes</v>
      </c>
    </row>
    <row r="49" spans="1:21">
      <c r="A49" s="100" t="s">
        <v>1129</v>
      </c>
      <c r="B49" s="101" t="s">
        <v>948</v>
      </c>
      <c r="C49" s="101" t="s">
        <v>1130</v>
      </c>
      <c r="D49" s="101" t="s">
        <v>1131</v>
      </c>
      <c r="E49" s="101" t="s">
        <v>261</v>
      </c>
      <c r="F49" s="102">
        <v>45901</v>
      </c>
      <c r="G49" s="83" t="s">
        <v>413</v>
      </c>
      <c r="H49" s="102">
        <v>45946</v>
      </c>
      <c r="I49" s="101" t="s">
        <v>192</v>
      </c>
      <c r="J49" s="101" t="s">
        <v>1030</v>
      </c>
      <c r="K49" s="102"/>
      <c r="L49" s="83" t="s">
        <v>404</v>
      </c>
      <c r="M49" s="102"/>
      <c r="N49" s="101" t="s">
        <v>1078</v>
      </c>
      <c r="O49" s="101"/>
      <c r="P49" s="83">
        <f t="shared" ca="1" si="0"/>
        <v>45</v>
      </c>
      <c r="Q49" s="83" t="str">
        <f t="shared" si="1"/>
        <v>Closed</v>
      </c>
      <c r="R49" s="83" t="str">
        <f t="shared" si="2"/>
        <v>Closed</v>
      </c>
      <c r="S49" s="83" t="str">
        <f t="shared" si="3"/>
        <v/>
      </c>
      <c r="T49" s="101" t="str">
        <f>IFERROR(_xlfn.XLOOKUP(tblRecruitmentPipeline[[#This Row],[REQ_ID]],tblRequisitions[REQ_ID],tblRequisitions[DEPARTMENT],""),"")</f>
        <v>Loan Processing</v>
      </c>
      <c r="U49" s="110" t="str">
        <f>IF(tblRecruitmentPipeline[[#This Row],[REQ_DEPARTMENT]]="","No","Yes")</f>
        <v>Yes</v>
      </c>
    </row>
    <row r="50" spans="1:21">
      <c r="A50" s="100" t="s">
        <v>1132</v>
      </c>
      <c r="B50" s="101" t="s">
        <v>948</v>
      </c>
      <c r="C50" s="101" t="s">
        <v>1133</v>
      </c>
      <c r="D50" s="101" t="s">
        <v>698</v>
      </c>
      <c r="E50" s="101" t="s">
        <v>213</v>
      </c>
      <c r="F50" s="102">
        <v>45900</v>
      </c>
      <c r="G50" s="83" t="s">
        <v>393</v>
      </c>
      <c r="H50" s="102">
        <v>45932</v>
      </c>
      <c r="I50" s="101" t="s">
        <v>192</v>
      </c>
      <c r="J50" s="101" t="s">
        <v>227</v>
      </c>
      <c r="K50" s="102"/>
      <c r="L50" s="83" t="s">
        <v>404</v>
      </c>
      <c r="M50" s="102"/>
      <c r="N50" s="101"/>
      <c r="O50" s="101"/>
      <c r="P50" s="83">
        <f t="shared" ca="1" si="0"/>
        <v>245</v>
      </c>
      <c r="Q50" s="83" t="str">
        <f t="shared" ca="1" si="1"/>
        <v>Stale</v>
      </c>
      <c r="R50" s="83" t="str">
        <f t="shared" ca="1" si="2"/>
        <v>Delayed</v>
      </c>
      <c r="S50" s="83" t="str">
        <f t="shared" si="3"/>
        <v/>
      </c>
      <c r="T50" s="101" t="str">
        <f>IFERROR(_xlfn.XLOOKUP(tblRecruitmentPipeline[[#This Row],[REQ_ID]],tblRequisitions[REQ_ID],tblRequisitions[DEPARTMENT],""),"")</f>
        <v>Loan Processing</v>
      </c>
      <c r="U50" s="110" t="str">
        <f>IF(tblRecruitmentPipeline[[#This Row],[REQ_DEPARTMENT]]="","No","Yes")</f>
        <v>Yes</v>
      </c>
    </row>
    <row r="51" spans="1:21">
      <c r="A51" s="100" t="s">
        <v>1134</v>
      </c>
      <c r="B51" s="101" t="s">
        <v>948</v>
      </c>
      <c r="C51" s="101" t="s">
        <v>1135</v>
      </c>
      <c r="D51" s="101" t="s">
        <v>593</v>
      </c>
      <c r="E51" s="101" t="s">
        <v>414</v>
      </c>
      <c r="F51" s="102">
        <v>45873</v>
      </c>
      <c r="G51" s="83" t="s">
        <v>393</v>
      </c>
      <c r="H51" s="102">
        <v>45891</v>
      </c>
      <c r="I51" s="101" t="s">
        <v>192</v>
      </c>
      <c r="J51" s="101" t="s">
        <v>1030</v>
      </c>
      <c r="K51" s="102"/>
      <c r="L51" s="83" t="s">
        <v>404</v>
      </c>
      <c r="M51" s="102"/>
      <c r="N51" s="101"/>
      <c r="O51" s="101"/>
      <c r="P51" s="83">
        <f t="shared" ca="1" si="0"/>
        <v>272</v>
      </c>
      <c r="Q51" s="83" t="str">
        <f t="shared" ca="1" si="1"/>
        <v>Stale</v>
      </c>
      <c r="R51" s="83" t="str">
        <f t="shared" ca="1" si="2"/>
        <v>Delayed</v>
      </c>
      <c r="S51" s="83" t="str">
        <f t="shared" si="3"/>
        <v/>
      </c>
      <c r="T51" s="101" t="str">
        <f>IFERROR(_xlfn.XLOOKUP(tblRecruitmentPipeline[[#This Row],[REQ_ID]],tblRequisitions[REQ_ID],tblRequisitions[DEPARTMENT],""),"")</f>
        <v>Loan Processing</v>
      </c>
      <c r="U51" s="110" t="str">
        <f>IF(tblRecruitmentPipeline[[#This Row],[REQ_DEPARTMENT]]="","No","Yes")</f>
        <v>Yes</v>
      </c>
    </row>
    <row r="52" spans="1:21">
      <c r="A52" s="100" t="s">
        <v>1136</v>
      </c>
      <c r="B52" s="101" t="s">
        <v>948</v>
      </c>
      <c r="C52" s="101" t="s">
        <v>1137</v>
      </c>
      <c r="D52" s="101" t="s">
        <v>1138</v>
      </c>
      <c r="E52" s="101" t="s">
        <v>412</v>
      </c>
      <c r="F52" s="102">
        <v>45885</v>
      </c>
      <c r="G52" s="83" t="s">
        <v>409</v>
      </c>
      <c r="H52" s="102">
        <v>45921</v>
      </c>
      <c r="I52" s="101" t="s">
        <v>192</v>
      </c>
      <c r="J52" s="101" t="s">
        <v>227</v>
      </c>
      <c r="K52" s="102">
        <v>45917</v>
      </c>
      <c r="L52" s="83" t="s">
        <v>385</v>
      </c>
      <c r="M52" s="102"/>
      <c r="N52" s="101"/>
      <c r="O52" s="101"/>
      <c r="P52" s="83">
        <f t="shared" ca="1" si="0"/>
        <v>260</v>
      </c>
      <c r="Q52" s="83" t="str">
        <f t="shared" ca="1" si="1"/>
        <v>Stale</v>
      </c>
      <c r="R52" s="83" t="str">
        <f t="shared" ca="1" si="2"/>
        <v>Delayed</v>
      </c>
      <c r="S52" s="83" t="str">
        <f t="shared" si="3"/>
        <v/>
      </c>
      <c r="T52" s="101" t="str">
        <f>IFERROR(_xlfn.XLOOKUP(tblRecruitmentPipeline[[#This Row],[REQ_ID]],tblRequisitions[REQ_ID],tblRequisitions[DEPARTMENT],""),"")</f>
        <v>Loan Processing</v>
      </c>
      <c r="U52" s="110" t="str">
        <f>IF(tblRecruitmentPipeline[[#This Row],[REQ_DEPARTMENT]]="","No","Yes")</f>
        <v>Yes</v>
      </c>
    </row>
    <row r="53" spans="1:21">
      <c r="A53" s="100" t="s">
        <v>1139</v>
      </c>
      <c r="B53" s="101" t="s">
        <v>948</v>
      </c>
      <c r="C53" s="101" t="s">
        <v>1140</v>
      </c>
      <c r="D53" s="101" t="s">
        <v>857</v>
      </c>
      <c r="E53" s="101" t="s">
        <v>412</v>
      </c>
      <c r="F53" s="102">
        <v>45867</v>
      </c>
      <c r="G53" s="83" t="s">
        <v>409</v>
      </c>
      <c r="H53" s="102">
        <v>45876</v>
      </c>
      <c r="I53" s="101" t="s">
        <v>192</v>
      </c>
      <c r="J53" s="101" t="s">
        <v>36</v>
      </c>
      <c r="K53" s="102">
        <v>45871</v>
      </c>
      <c r="L53" s="83" t="s">
        <v>323</v>
      </c>
      <c r="M53" s="102"/>
      <c r="N53" s="101"/>
      <c r="O53" s="101"/>
      <c r="P53" s="83">
        <f t="shared" ca="1" si="0"/>
        <v>278</v>
      </c>
      <c r="Q53" s="83" t="str">
        <f t="shared" ca="1" si="1"/>
        <v>Stale</v>
      </c>
      <c r="R53" s="83" t="str">
        <f t="shared" ca="1" si="2"/>
        <v>Delayed</v>
      </c>
      <c r="S53" s="83" t="str">
        <f t="shared" si="3"/>
        <v/>
      </c>
      <c r="T53" s="101" t="str">
        <f>IFERROR(_xlfn.XLOOKUP(tblRecruitmentPipeline[[#This Row],[REQ_ID]],tblRequisitions[REQ_ID],tblRequisitions[DEPARTMENT],""),"")</f>
        <v>Loan Processing</v>
      </c>
      <c r="U53" s="110" t="str">
        <f>IF(tblRecruitmentPipeline[[#This Row],[REQ_DEPARTMENT]]="","No","Yes")</f>
        <v>Yes</v>
      </c>
    </row>
    <row r="54" spans="1:21">
      <c r="A54" s="100" t="s">
        <v>1141</v>
      </c>
      <c r="B54" s="101" t="s">
        <v>949</v>
      </c>
      <c r="C54" s="101" t="s">
        <v>1142</v>
      </c>
      <c r="D54" s="101" t="s">
        <v>508</v>
      </c>
      <c r="E54" s="101" t="s">
        <v>261</v>
      </c>
      <c r="F54" s="102">
        <v>46053</v>
      </c>
      <c r="G54" s="83" t="s">
        <v>382</v>
      </c>
      <c r="H54" s="102">
        <v>46096</v>
      </c>
      <c r="I54" s="101" t="s">
        <v>192</v>
      </c>
      <c r="J54" s="101" t="s">
        <v>227</v>
      </c>
      <c r="K54" s="102"/>
      <c r="L54" s="83" t="s">
        <v>404</v>
      </c>
      <c r="M54" s="102"/>
      <c r="N54" s="101"/>
      <c r="O54" s="101"/>
      <c r="P54" s="83">
        <f t="shared" ca="1" si="0"/>
        <v>92</v>
      </c>
      <c r="Q54" s="83" t="str">
        <f t="shared" ca="1" si="1"/>
        <v>Stale</v>
      </c>
      <c r="R54" s="83" t="str">
        <f t="shared" ca="1" si="2"/>
        <v>Delayed</v>
      </c>
      <c r="S54" s="83" t="str">
        <f t="shared" si="3"/>
        <v/>
      </c>
      <c r="T54" s="101" t="str">
        <f>IFERROR(_xlfn.XLOOKUP(tblRecruitmentPipeline[[#This Row],[REQ_ID]],tblRequisitions[REQ_ID],tblRequisitions[DEPARTMENT],""),"")</f>
        <v>Collections</v>
      </c>
      <c r="U54" s="110" t="str">
        <f>IF(tblRecruitmentPipeline[[#This Row],[REQ_DEPARTMENT]]="","No","Yes")</f>
        <v>Yes</v>
      </c>
    </row>
    <row r="55" spans="1:21">
      <c r="A55" s="100" t="s">
        <v>1143</v>
      </c>
      <c r="B55" s="101" t="s">
        <v>949</v>
      </c>
      <c r="C55" s="101" t="s">
        <v>1144</v>
      </c>
      <c r="D55" s="101" t="s">
        <v>900</v>
      </c>
      <c r="E55" s="101" t="s">
        <v>414</v>
      </c>
      <c r="F55" s="102">
        <v>46074</v>
      </c>
      <c r="G55" s="83" t="s">
        <v>401</v>
      </c>
      <c r="H55" s="102">
        <v>46115</v>
      </c>
      <c r="I55" s="101" t="s">
        <v>192</v>
      </c>
      <c r="J55" s="101" t="s">
        <v>1030</v>
      </c>
      <c r="K55" s="102"/>
      <c r="L55" s="83" t="s">
        <v>404</v>
      </c>
      <c r="M55" s="102"/>
      <c r="N55" s="101"/>
      <c r="O55" s="101"/>
      <c r="P55" s="83">
        <f t="shared" ca="1" si="0"/>
        <v>71</v>
      </c>
      <c r="Q55" s="83" t="str">
        <f t="shared" ca="1" si="1"/>
        <v>Stale</v>
      </c>
      <c r="R55" s="83" t="str">
        <f t="shared" ca="1" si="2"/>
        <v>Delayed</v>
      </c>
      <c r="S55" s="83" t="str">
        <f t="shared" si="3"/>
        <v/>
      </c>
      <c r="T55" s="101" t="str">
        <f>IFERROR(_xlfn.XLOOKUP(tblRecruitmentPipeline[[#This Row],[REQ_ID]],tblRequisitions[REQ_ID],tblRequisitions[DEPARTMENT],""),"")</f>
        <v>Collections</v>
      </c>
      <c r="U55" s="110" t="str">
        <f>IF(tblRecruitmentPipeline[[#This Row],[REQ_DEPARTMENT]]="","No","Yes")</f>
        <v>Yes</v>
      </c>
    </row>
    <row r="56" spans="1:21">
      <c r="A56" s="100" t="s">
        <v>1145</v>
      </c>
      <c r="B56" s="101" t="s">
        <v>949</v>
      </c>
      <c r="C56" s="101" t="s">
        <v>1146</v>
      </c>
      <c r="D56" s="101" t="s">
        <v>841</v>
      </c>
      <c r="E56" s="101" t="s">
        <v>261</v>
      </c>
      <c r="F56" s="102">
        <v>46073</v>
      </c>
      <c r="G56" s="83" t="s">
        <v>401</v>
      </c>
      <c r="H56" s="102">
        <v>46110</v>
      </c>
      <c r="I56" s="101" t="s">
        <v>192</v>
      </c>
      <c r="J56" s="101" t="s">
        <v>227</v>
      </c>
      <c r="K56" s="102"/>
      <c r="L56" s="83" t="s">
        <v>404</v>
      </c>
      <c r="M56" s="102"/>
      <c r="N56" s="101"/>
      <c r="O56" s="101"/>
      <c r="P56" s="83">
        <f t="shared" ca="1" si="0"/>
        <v>72</v>
      </c>
      <c r="Q56" s="83" t="str">
        <f t="shared" ca="1" si="1"/>
        <v>Stale</v>
      </c>
      <c r="R56" s="83" t="str">
        <f t="shared" ca="1" si="2"/>
        <v>Delayed</v>
      </c>
      <c r="S56" s="83" t="str">
        <f t="shared" si="3"/>
        <v/>
      </c>
      <c r="T56" s="101" t="str">
        <f>IFERROR(_xlfn.XLOOKUP(tblRecruitmentPipeline[[#This Row],[REQ_ID]],tblRequisitions[REQ_ID],tblRequisitions[DEPARTMENT],""),"")</f>
        <v>Collections</v>
      </c>
      <c r="U56" s="110" t="str">
        <f>IF(tblRecruitmentPipeline[[#This Row],[REQ_DEPARTMENT]]="","No","Yes")</f>
        <v>Yes</v>
      </c>
    </row>
    <row r="57" spans="1:21">
      <c r="A57" s="100" t="s">
        <v>1147</v>
      </c>
      <c r="B57" s="101" t="s">
        <v>949</v>
      </c>
      <c r="C57" s="101" t="s">
        <v>1148</v>
      </c>
      <c r="D57" s="101" t="s">
        <v>1149</v>
      </c>
      <c r="E57" s="101" t="s">
        <v>414</v>
      </c>
      <c r="F57" s="102">
        <v>46082</v>
      </c>
      <c r="G57" s="83" t="s">
        <v>401</v>
      </c>
      <c r="H57" s="102">
        <v>46103</v>
      </c>
      <c r="I57" s="101" t="s">
        <v>192</v>
      </c>
      <c r="J57" s="101" t="s">
        <v>227</v>
      </c>
      <c r="K57" s="102"/>
      <c r="L57" s="83" t="s">
        <v>404</v>
      </c>
      <c r="M57" s="102"/>
      <c r="N57" s="101"/>
      <c r="O57" s="101"/>
      <c r="P57" s="83">
        <f t="shared" ca="1" si="0"/>
        <v>63</v>
      </c>
      <c r="Q57" s="83" t="str">
        <f t="shared" ca="1" si="1"/>
        <v>Stale</v>
      </c>
      <c r="R57" s="83" t="str">
        <f t="shared" ca="1" si="2"/>
        <v>Delayed</v>
      </c>
      <c r="S57" s="83" t="str">
        <f t="shared" si="3"/>
        <v/>
      </c>
      <c r="T57" s="101" t="str">
        <f>IFERROR(_xlfn.XLOOKUP(tblRecruitmentPipeline[[#This Row],[REQ_ID]],tblRequisitions[REQ_ID],tblRequisitions[DEPARTMENT],""),"")</f>
        <v>Collections</v>
      </c>
      <c r="U57" s="110" t="str">
        <f>IF(tblRecruitmentPipeline[[#This Row],[REQ_DEPARTMENT]]="","No","Yes")</f>
        <v>Yes</v>
      </c>
    </row>
    <row r="58" spans="1:21">
      <c r="A58" s="100" t="s">
        <v>1150</v>
      </c>
      <c r="B58" s="101" t="s">
        <v>949</v>
      </c>
      <c r="C58" s="101" t="s">
        <v>1151</v>
      </c>
      <c r="D58" s="101" t="s">
        <v>1152</v>
      </c>
      <c r="E58" s="101" t="s">
        <v>414</v>
      </c>
      <c r="F58" s="102">
        <v>46072</v>
      </c>
      <c r="G58" s="83" t="s">
        <v>219</v>
      </c>
      <c r="H58" s="102">
        <v>46116</v>
      </c>
      <c r="I58" s="101" t="s">
        <v>192</v>
      </c>
      <c r="J58" s="101" t="s">
        <v>227</v>
      </c>
      <c r="K58" s="102">
        <v>46115</v>
      </c>
      <c r="L58" s="83" t="s">
        <v>231</v>
      </c>
      <c r="M58" s="102">
        <v>46133</v>
      </c>
      <c r="N58" s="101"/>
      <c r="O58" s="101"/>
      <c r="P58" s="83">
        <f t="shared" ca="1" si="0"/>
        <v>61</v>
      </c>
      <c r="Q58" s="83" t="str">
        <f t="shared" si="1"/>
        <v>Closed</v>
      </c>
      <c r="R58" s="83" t="str">
        <f t="shared" si="2"/>
        <v>Closed</v>
      </c>
      <c r="S58" s="83">
        <f t="shared" si="3"/>
        <v>61</v>
      </c>
      <c r="T58" s="101" t="str">
        <f>IFERROR(_xlfn.XLOOKUP(tblRecruitmentPipeline[[#This Row],[REQ_ID]],tblRequisitions[REQ_ID],tblRequisitions[DEPARTMENT],""),"")</f>
        <v>Collections</v>
      </c>
      <c r="U58" s="110" t="str">
        <f>IF(tblRecruitmentPipeline[[#This Row],[REQ_DEPARTMENT]]="","No","Yes")</f>
        <v>Yes</v>
      </c>
    </row>
    <row r="59" spans="1:21">
      <c r="A59" s="100" t="s">
        <v>1153</v>
      </c>
      <c r="B59" s="101" t="s">
        <v>949</v>
      </c>
      <c r="C59" s="101" t="s">
        <v>1154</v>
      </c>
      <c r="D59" s="101" t="s">
        <v>891</v>
      </c>
      <c r="E59" s="101" t="s">
        <v>414</v>
      </c>
      <c r="F59" s="102">
        <v>46057</v>
      </c>
      <c r="G59" s="83" t="s">
        <v>372</v>
      </c>
      <c r="H59" s="102">
        <v>46091</v>
      </c>
      <c r="I59" s="101" t="s">
        <v>192</v>
      </c>
      <c r="J59" s="101" t="s">
        <v>227</v>
      </c>
      <c r="K59" s="102"/>
      <c r="L59" s="83" t="s">
        <v>404</v>
      </c>
      <c r="M59" s="102"/>
      <c r="N59" s="101"/>
      <c r="O59" s="101"/>
      <c r="P59" s="83">
        <f t="shared" ca="1" si="0"/>
        <v>88</v>
      </c>
      <c r="Q59" s="83" t="str">
        <f t="shared" ca="1" si="1"/>
        <v>Stale</v>
      </c>
      <c r="R59" s="83" t="str">
        <f t="shared" ca="1" si="2"/>
        <v>Delayed</v>
      </c>
      <c r="S59" s="83" t="str">
        <f t="shared" si="3"/>
        <v/>
      </c>
      <c r="T59" s="101" t="str">
        <f>IFERROR(_xlfn.XLOOKUP(tblRecruitmentPipeline[[#This Row],[REQ_ID]],tblRequisitions[REQ_ID],tblRequisitions[DEPARTMENT],""),"")</f>
        <v>Collections</v>
      </c>
      <c r="U59" s="110" t="str">
        <f>IF(tblRecruitmentPipeline[[#This Row],[REQ_DEPARTMENT]]="","No","Yes")</f>
        <v>Yes</v>
      </c>
    </row>
    <row r="60" spans="1:21">
      <c r="A60" s="100" t="s">
        <v>1155</v>
      </c>
      <c r="B60" s="101" t="s">
        <v>950</v>
      </c>
      <c r="C60" s="101" t="s">
        <v>1156</v>
      </c>
      <c r="D60" s="101" t="s">
        <v>692</v>
      </c>
      <c r="E60" s="101" t="s">
        <v>414</v>
      </c>
      <c r="F60" s="102">
        <v>46102</v>
      </c>
      <c r="G60" s="83" t="s">
        <v>382</v>
      </c>
      <c r="H60" s="102">
        <v>46144</v>
      </c>
      <c r="I60" s="101" t="s">
        <v>192</v>
      </c>
      <c r="J60" s="101" t="s">
        <v>1030</v>
      </c>
      <c r="K60" s="102"/>
      <c r="L60" s="83" t="s">
        <v>404</v>
      </c>
      <c r="M60" s="102"/>
      <c r="N60" s="101"/>
      <c r="O60" s="101"/>
      <c r="P60" s="83">
        <f t="shared" ca="1" si="0"/>
        <v>43</v>
      </c>
      <c r="Q60" s="83" t="str">
        <f t="shared" ca="1" si="1"/>
        <v>Stale</v>
      </c>
      <c r="R60" s="83" t="str">
        <f t="shared" ca="1" si="2"/>
        <v>Delayed</v>
      </c>
      <c r="S60" s="83" t="str">
        <f t="shared" si="3"/>
        <v/>
      </c>
      <c r="T60" s="101" t="str">
        <f>IFERROR(_xlfn.XLOOKUP(tblRecruitmentPipeline[[#This Row],[REQ_ID]],tblRequisitions[REQ_ID],tblRequisitions[DEPARTMENT],""),"")</f>
        <v>Sales &amp; Marketing</v>
      </c>
      <c r="U60" s="110" t="str">
        <f>IF(tblRecruitmentPipeline[[#This Row],[REQ_DEPARTMENT]]="","No","Yes")</f>
        <v>Yes</v>
      </c>
    </row>
    <row r="61" spans="1:21">
      <c r="A61" s="100" t="s">
        <v>1157</v>
      </c>
      <c r="B61" s="101" t="s">
        <v>950</v>
      </c>
      <c r="C61" s="101" t="s">
        <v>1158</v>
      </c>
      <c r="D61" s="101" t="s">
        <v>1159</v>
      </c>
      <c r="E61" s="101" t="s">
        <v>384</v>
      </c>
      <c r="F61" s="102">
        <v>46129</v>
      </c>
      <c r="G61" s="83" t="s">
        <v>413</v>
      </c>
      <c r="H61" s="102">
        <v>46158</v>
      </c>
      <c r="I61" s="101" t="s">
        <v>192</v>
      </c>
      <c r="J61" s="101" t="s">
        <v>36</v>
      </c>
      <c r="K61" s="102"/>
      <c r="L61" s="83" t="s">
        <v>404</v>
      </c>
      <c r="M61" s="102"/>
      <c r="N61" s="101" t="s">
        <v>1027</v>
      </c>
      <c r="O61" s="101"/>
      <c r="P61" s="83">
        <f t="shared" ca="1" si="0"/>
        <v>29</v>
      </c>
      <c r="Q61" s="83" t="str">
        <f t="shared" si="1"/>
        <v>Closed</v>
      </c>
      <c r="R61" s="83" t="str">
        <f t="shared" si="2"/>
        <v>Closed</v>
      </c>
      <c r="S61" s="83" t="str">
        <f t="shared" si="3"/>
        <v/>
      </c>
      <c r="T61" s="101" t="str">
        <f>IFERROR(_xlfn.XLOOKUP(tblRecruitmentPipeline[[#This Row],[REQ_ID]],tblRequisitions[REQ_ID],tblRequisitions[DEPARTMENT],""),"")</f>
        <v>Sales &amp; Marketing</v>
      </c>
      <c r="U61" s="110" t="str">
        <f>IF(tblRecruitmentPipeline[[#This Row],[REQ_DEPARTMENT]]="","No","Yes")</f>
        <v>Yes</v>
      </c>
    </row>
    <row r="62" spans="1:21">
      <c r="A62" s="100" t="s">
        <v>1160</v>
      </c>
      <c r="B62" s="101" t="s">
        <v>950</v>
      </c>
      <c r="C62" s="101" t="s">
        <v>1161</v>
      </c>
      <c r="D62" s="101" t="s">
        <v>1162</v>
      </c>
      <c r="E62" s="101" t="s">
        <v>412</v>
      </c>
      <c r="F62" s="102">
        <v>46104</v>
      </c>
      <c r="G62" s="83" t="s">
        <v>409</v>
      </c>
      <c r="H62" s="102">
        <v>46152</v>
      </c>
      <c r="I62" s="101" t="s">
        <v>192</v>
      </c>
      <c r="J62" s="101" t="s">
        <v>227</v>
      </c>
      <c r="K62" s="102">
        <v>46148</v>
      </c>
      <c r="L62" s="83" t="s">
        <v>385</v>
      </c>
      <c r="M62" s="102"/>
      <c r="N62" s="101"/>
      <c r="O62" s="101"/>
      <c r="P62" s="83">
        <f t="shared" ca="1" si="0"/>
        <v>41</v>
      </c>
      <c r="Q62" s="83" t="str">
        <f t="shared" ca="1" si="1"/>
        <v>Stale</v>
      </c>
      <c r="R62" s="83" t="str">
        <f t="shared" ca="1" si="2"/>
        <v>Delayed</v>
      </c>
      <c r="S62" s="83" t="str">
        <f t="shared" si="3"/>
        <v/>
      </c>
      <c r="T62" s="101" t="str">
        <f>IFERROR(_xlfn.XLOOKUP(tblRecruitmentPipeline[[#This Row],[REQ_ID]],tblRequisitions[REQ_ID],tblRequisitions[DEPARTMENT],""),"")</f>
        <v>Sales &amp; Marketing</v>
      </c>
      <c r="U62" s="110" t="str">
        <f>IF(tblRecruitmentPipeline[[#This Row],[REQ_DEPARTMENT]]="","No","Yes")</f>
        <v>Yes</v>
      </c>
    </row>
    <row r="63" spans="1:21">
      <c r="A63" s="100" t="s">
        <v>1163</v>
      </c>
      <c r="B63" s="101" t="s">
        <v>950</v>
      </c>
      <c r="C63" s="101" t="s">
        <v>1164</v>
      </c>
      <c r="D63" s="101" t="s">
        <v>1165</v>
      </c>
      <c r="E63" s="101" t="s">
        <v>384</v>
      </c>
      <c r="F63" s="102">
        <v>46102</v>
      </c>
      <c r="G63" s="83" t="s">
        <v>413</v>
      </c>
      <c r="H63" s="102">
        <v>46115</v>
      </c>
      <c r="I63" s="101" t="s">
        <v>192</v>
      </c>
      <c r="J63" s="101" t="s">
        <v>227</v>
      </c>
      <c r="K63" s="102"/>
      <c r="L63" s="83" t="s">
        <v>404</v>
      </c>
      <c r="M63" s="102"/>
      <c r="N63" s="101" t="s">
        <v>1078</v>
      </c>
      <c r="O63" s="101"/>
      <c r="P63" s="83">
        <f t="shared" ca="1" si="0"/>
        <v>13</v>
      </c>
      <c r="Q63" s="83" t="str">
        <f t="shared" si="1"/>
        <v>Closed</v>
      </c>
      <c r="R63" s="83" t="str">
        <f t="shared" si="2"/>
        <v>Closed</v>
      </c>
      <c r="S63" s="83" t="str">
        <f t="shared" si="3"/>
        <v/>
      </c>
      <c r="T63" s="101" t="str">
        <f>IFERROR(_xlfn.XLOOKUP(tblRecruitmentPipeline[[#This Row],[REQ_ID]],tblRequisitions[REQ_ID],tblRequisitions[DEPARTMENT],""),"")</f>
        <v>Sales &amp; Marketing</v>
      </c>
      <c r="U63" s="110" t="str">
        <f>IF(tblRecruitmentPipeline[[#This Row],[REQ_DEPARTMENT]]="","No","Yes")</f>
        <v>Yes</v>
      </c>
    </row>
    <row r="64" spans="1:21">
      <c r="A64" s="100" t="s">
        <v>1166</v>
      </c>
      <c r="B64" s="101" t="s">
        <v>950</v>
      </c>
      <c r="C64" s="101" t="s">
        <v>1167</v>
      </c>
      <c r="D64" s="101" t="s">
        <v>755</v>
      </c>
      <c r="E64" s="101" t="s">
        <v>213</v>
      </c>
      <c r="F64" s="102">
        <v>46132</v>
      </c>
      <c r="G64" s="83" t="s">
        <v>393</v>
      </c>
      <c r="H64" s="102">
        <v>46136</v>
      </c>
      <c r="I64" s="101" t="s">
        <v>192</v>
      </c>
      <c r="J64" s="101" t="s">
        <v>1030</v>
      </c>
      <c r="K64" s="102"/>
      <c r="L64" s="83" t="s">
        <v>404</v>
      </c>
      <c r="M64" s="102"/>
      <c r="N64" s="101"/>
      <c r="O64" s="101"/>
      <c r="P64" s="83">
        <f t="shared" ca="1" si="0"/>
        <v>13</v>
      </c>
      <c r="Q64" s="83" t="str">
        <f t="shared" ca="1" si="1"/>
        <v>Active</v>
      </c>
      <c r="R64" s="83" t="str">
        <f t="shared" ca="1" si="2"/>
        <v>On Track</v>
      </c>
      <c r="S64" s="83" t="str">
        <f t="shared" si="3"/>
        <v/>
      </c>
      <c r="T64" s="101" t="str">
        <f>IFERROR(_xlfn.XLOOKUP(tblRecruitmentPipeline[[#This Row],[REQ_ID]],tblRequisitions[REQ_ID],tblRequisitions[DEPARTMENT],""),"")</f>
        <v>Sales &amp; Marketing</v>
      </c>
      <c r="U64" s="110" t="str">
        <f>IF(tblRecruitmentPipeline[[#This Row],[REQ_DEPARTMENT]]="","No","Yes")</f>
        <v>Yes</v>
      </c>
    </row>
    <row r="65" spans="1:21">
      <c r="A65" s="100" t="s">
        <v>1168</v>
      </c>
      <c r="B65" s="101" t="s">
        <v>950</v>
      </c>
      <c r="C65" s="101" t="s">
        <v>1169</v>
      </c>
      <c r="D65" s="101" t="s">
        <v>806</v>
      </c>
      <c r="E65" s="101" t="s">
        <v>375</v>
      </c>
      <c r="F65" s="102">
        <v>46101</v>
      </c>
      <c r="G65" s="83" t="s">
        <v>393</v>
      </c>
      <c r="H65" s="102">
        <v>46144</v>
      </c>
      <c r="I65" s="101" t="s">
        <v>192</v>
      </c>
      <c r="J65" s="101" t="s">
        <v>36</v>
      </c>
      <c r="K65" s="102"/>
      <c r="L65" s="83" t="s">
        <v>404</v>
      </c>
      <c r="M65" s="102"/>
      <c r="N65" s="101"/>
      <c r="O65" s="101"/>
      <c r="P65" s="83">
        <f t="shared" ca="1" si="0"/>
        <v>44</v>
      </c>
      <c r="Q65" s="83" t="str">
        <f t="shared" ca="1" si="1"/>
        <v>Stale</v>
      </c>
      <c r="R65" s="83" t="str">
        <f t="shared" ca="1" si="2"/>
        <v>Delayed</v>
      </c>
      <c r="S65" s="83" t="str">
        <f t="shared" si="3"/>
        <v/>
      </c>
      <c r="T65" s="101" t="str">
        <f>IFERROR(_xlfn.XLOOKUP(tblRecruitmentPipeline[[#This Row],[REQ_ID]],tblRequisitions[REQ_ID],tblRequisitions[DEPARTMENT],""),"")</f>
        <v>Sales &amp; Marketing</v>
      </c>
      <c r="U65" s="110" t="str">
        <f>IF(tblRecruitmentPipeline[[#This Row],[REQ_DEPARTMENT]]="","No","Yes")</f>
        <v>Yes</v>
      </c>
    </row>
    <row r="66" spans="1:21">
      <c r="A66" s="100" t="s">
        <v>1170</v>
      </c>
      <c r="B66" s="101" t="s">
        <v>950</v>
      </c>
      <c r="C66" s="101" t="s">
        <v>1171</v>
      </c>
      <c r="D66" s="101" t="s">
        <v>857</v>
      </c>
      <c r="E66" s="101" t="s">
        <v>213</v>
      </c>
      <c r="F66" s="102">
        <v>46124</v>
      </c>
      <c r="G66" s="83" t="s">
        <v>393</v>
      </c>
      <c r="H66" s="102">
        <v>46151</v>
      </c>
      <c r="I66" s="101" t="s">
        <v>192</v>
      </c>
      <c r="J66" s="101" t="s">
        <v>1030</v>
      </c>
      <c r="K66" s="102"/>
      <c r="L66" s="83" t="s">
        <v>404</v>
      </c>
      <c r="M66" s="102"/>
      <c r="N66" s="101"/>
      <c r="O66" s="101"/>
      <c r="P66" s="83">
        <f t="shared" ca="1" si="0"/>
        <v>21</v>
      </c>
      <c r="Q66" s="83" t="str">
        <f t="shared" ca="1" si="1"/>
        <v>Active</v>
      </c>
      <c r="R66" s="83" t="str">
        <f t="shared" ca="1" si="2"/>
        <v>At Risk</v>
      </c>
      <c r="S66" s="83" t="str">
        <f t="shared" si="3"/>
        <v/>
      </c>
      <c r="T66" s="101" t="str">
        <f>IFERROR(_xlfn.XLOOKUP(tblRecruitmentPipeline[[#This Row],[REQ_ID]],tblRequisitions[REQ_ID],tblRequisitions[DEPARTMENT],""),"")</f>
        <v>Sales &amp; Marketing</v>
      </c>
      <c r="U66" s="110" t="str">
        <f>IF(tblRecruitmentPipeline[[#This Row],[REQ_DEPARTMENT]]="","No","Yes")</f>
        <v>Yes</v>
      </c>
    </row>
    <row r="67" spans="1:21">
      <c r="A67" s="100" t="s">
        <v>1172</v>
      </c>
      <c r="B67" s="101" t="s">
        <v>951</v>
      </c>
      <c r="C67" s="101" t="s">
        <v>1173</v>
      </c>
      <c r="D67" s="101" t="s">
        <v>1174</v>
      </c>
      <c r="E67" s="101" t="s">
        <v>261</v>
      </c>
      <c r="F67" s="102">
        <v>45885</v>
      </c>
      <c r="G67" s="83" t="s">
        <v>413</v>
      </c>
      <c r="H67" s="102">
        <v>45922</v>
      </c>
      <c r="I67" s="101" t="s">
        <v>192</v>
      </c>
      <c r="J67" s="101" t="s">
        <v>36</v>
      </c>
      <c r="K67" s="102"/>
      <c r="L67" s="83" t="s">
        <v>404</v>
      </c>
      <c r="M67" s="102"/>
      <c r="N67" s="101" t="s">
        <v>1085</v>
      </c>
      <c r="O67" s="101"/>
      <c r="P67" s="83">
        <f t="shared" ca="1" si="0"/>
        <v>37</v>
      </c>
      <c r="Q67" s="83" t="str">
        <f t="shared" si="1"/>
        <v>Closed</v>
      </c>
      <c r="R67" s="83" t="str">
        <f t="shared" si="2"/>
        <v>Closed</v>
      </c>
      <c r="S67" s="83" t="str">
        <f t="shared" si="3"/>
        <v/>
      </c>
      <c r="T67" s="101" t="str">
        <f>IFERROR(_xlfn.XLOOKUP(tblRecruitmentPipeline[[#This Row],[REQ_ID]],tblRequisitions[REQ_ID],tblRequisitions[DEPARTMENT],""),"")</f>
        <v>Sales &amp; Marketing</v>
      </c>
      <c r="U67" s="110" t="str">
        <f>IF(tblRecruitmentPipeline[[#This Row],[REQ_DEPARTMENT]]="","No","Yes")</f>
        <v>Yes</v>
      </c>
    </row>
    <row r="68" spans="1:21">
      <c r="A68" s="100" t="s">
        <v>1175</v>
      </c>
      <c r="B68" s="101" t="s">
        <v>951</v>
      </c>
      <c r="C68" s="101" t="s">
        <v>1176</v>
      </c>
      <c r="D68" s="101" t="s">
        <v>1177</v>
      </c>
      <c r="E68" s="101" t="s">
        <v>261</v>
      </c>
      <c r="F68" s="102">
        <v>45895</v>
      </c>
      <c r="G68" s="83" t="s">
        <v>409</v>
      </c>
      <c r="H68" s="102">
        <v>45909</v>
      </c>
      <c r="I68" s="101" t="s">
        <v>192</v>
      </c>
      <c r="J68" s="101" t="s">
        <v>1030</v>
      </c>
      <c r="K68" s="102">
        <v>45905</v>
      </c>
      <c r="L68" s="83" t="s">
        <v>385</v>
      </c>
      <c r="M68" s="102"/>
      <c r="N68" s="101"/>
      <c r="O68" s="101"/>
      <c r="P68" s="83">
        <f t="shared" ca="1" si="0"/>
        <v>250</v>
      </c>
      <c r="Q68" s="83" t="str">
        <f t="shared" ca="1" si="1"/>
        <v>Stale</v>
      </c>
      <c r="R68" s="83" t="str">
        <f t="shared" ca="1" si="2"/>
        <v>Delayed</v>
      </c>
      <c r="S68" s="83" t="str">
        <f t="shared" si="3"/>
        <v/>
      </c>
      <c r="T68" s="101" t="str">
        <f>IFERROR(_xlfn.XLOOKUP(tblRecruitmentPipeline[[#This Row],[REQ_ID]],tblRequisitions[REQ_ID],tblRequisitions[DEPARTMENT],""),"")</f>
        <v>Sales &amp; Marketing</v>
      </c>
      <c r="U68" s="110" t="str">
        <f>IF(tblRecruitmentPipeline[[#This Row],[REQ_DEPARTMENT]]="","No","Yes")</f>
        <v>Yes</v>
      </c>
    </row>
    <row r="69" spans="1:21">
      <c r="A69" s="100" t="s">
        <v>1178</v>
      </c>
      <c r="B69" s="101" t="s">
        <v>951</v>
      </c>
      <c r="C69" s="101" t="s">
        <v>1179</v>
      </c>
      <c r="D69" s="101" t="s">
        <v>721</v>
      </c>
      <c r="E69" s="101" t="s">
        <v>261</v>
      </c>
      <c r="F69" s="102">
        <v>45907</v>
      </c>
      <c r="G69" s="83" t="s">
        <v>401</v>
      </c>
      <c r="H69" s="102">
        <v>45944</v>
      </c>
      <c r="I69" s="101" t="s">
        <v>192</v>
      </c>
      <c r="J69" s="101" t="s">
        <v>1030</v>
      </c>
      <c r="K69" s="102"/>
      <c r="L69" s="83" t="s">
        <v>404</v>
      </c>
      <c r="M69" s="102"/>
      <c r="N69" s="101"/>
      <c r="O69" s="101"/>
      <c r="P69" s="83">
        <f t="shared" ref="P69:P132" ca="1" si="4">IF($A69="","",IF($G69="Hired",$M69-$F69,IF(OR($G69="Rejected",$G69="Withdrawn"),$H69-$F69,TODAY()-$F69)))</f>
        <v>238</v>
      </c>
      <c r="Q69" s="83" t="str">
        <f t="shared" ref="Q69:Q132" ca="1" si="5">IF($A69="","",IF(OR($G69="Hired",$G69="Rejected",$G69="Withdrawn"),"Closed",IF($P69&gt;30,"Stale","Active")))</f>
        <v>Stale</v>
      </c>
      <c r="R69" s="83" t="str">
        <f t="shared" ref="R69:R132" ca="1" si="6">IF($A69="","",IF($Q69="Closed","Closed",IF($P69&lt;=14,"On Track",IF($P69&lt;=30,"At Risk","Delayed"))))</f>
        <v>Delayed</v>
      </c>
      <c r="S69" s="83" t="str">
        <f t="shared" ref="S69:S132" si="7">IF($A69="","",IF($G69="Hired",$M69-$F69,""))</f>
        <v/>
      </c>
      <c r="T69" s="101" t="str">
        <f>IFERROR(_xlfn.XLOOKUP(tblRecruitmentPipeline[[#This Row],[REQ_ID]],tblRequisitions[REQ_ID],tblRequisitions[DEPARTMENT],""),"")</f>
        <v>Sales &amp; Marketing</v>
      </c>
      <c r="U69" s="110" t="str">
        <f>IF(tblRecruitmentPipeline[[#This Row],[REQ_DEPARTMENT]]="","No","Yes")</f>
        <v>Yes</v>
      </c>
    </row>
    <row r="70" spans="1:21">
      <c r="A70" s="100" t="s">
        <v>1180</v>
      </c>
      <c r="B70" s="101" t="s">
        <v>951</v>
      </c>
      <c r="C70" s="101" t="s">
        <v>1181</v>
      </c>
      <c r="D70" s="101" t="s">
        <v>1182</v>
      </c>
      <c r="E70" s="101" t="s">
        <v>403</v>
      </c>
      <c r="F70" s="102">
        <v>45913</v>
      </c>
      <c r="G70" s="83" t="s">
        <v>418</v>
      </c>
      <c r="H70" s="102">
        <v>45949</v>
      </c>
      <c r="I70" s="101" t="s">
        <v>192</v>
      </c>
      <c r="J70" s="101" t="s">
        <v>227</v>
      </c>
      <c r="K70" s="102"/>
      <c r="L70" s="83" t="s">
        <v>404</v>
      </c>
      <c r="M70" s="102"/>
      <c r="N70" s="101"/>
      <c r="O70" s="101" t="s">
        <v>1183</v>
      </c>
      <c r="P70" s="83">
        <f t="shared" ca="1" si="4"/>
        <v>36</v>
      </c>
      <c r="Q70" s="83" t="str">
        <f t="shared" si="5"/>
        <v>Closed</v>
      </c>
      <c r="R70" s="83" t="str">
        <f t="shared" si="6"/>
        <v>Closed</v>
      </c>
      <c r="S70" s="83" t="str">
        <f t="shared" si="7"/>
        <v/>
      </c>
      <c r="T70" s="101" t="str">
        <f>IFERROR(_xlfn.XLOOKUP(tblRecruitmentPipeline[[#This Row],[REQ_ID]],tblRequisitions[REQ_ID],tblRequisitions[DEPARTMENT],""),"")</f>
        <v>Sales &amp; Marketing</v>
      </c>
      <c r="U70" s="110" t="str">
        <f>IF(tblRecruitmentPipeline[[#This Row],[REQ_DEPARTMENT]]="","No","Yes")</f>
        <v>Yes</v>
      </c>
    </row>
    <row r="71" spans="1:21">
      <c r="A71" s="100" t="s">
        <v>1184</v>
      </c>
      <c r="B71" s="101" t="s">
        <v>951</v>
      </c>
      <c r="C71" s="101" t="s">
        <v>1185</v>
      </c>
      <c r="D71" s="101" t="s">
        <v>570</v>
      </c>
      <c r="E71" s="101" t="s">
        <v>213</v>
      </c>
      <c r="F71" s="102">
        <v>45911</v>
      </c>
      <c r="G71" s="83" t="s">
        <v>219</v>
      </c>
      <c r="H71" s="102">
        <v>45961</v>
      </c>
      <c r="I71" s="101" t="s">
        <v>192</v>
      </c>
      <c r="J71" s="101" t="s">
        <v>1030</v>
      </c>
      <c r="K71" s="102">
        <v>45958</v>
      </c>
      <c r="L71" s="83" t="s">
        <v>231</v>
      </c>
      <c r="M71" s="102">
        <v>45977</v>
      </c>
      <c r="N71" s="101"/>
      <c r="O71" s="101"/>
      <c r="P71" s="83">
        <f t="shared" ca="1" si="4"/>
        <v>66</v>
      </c>
      <c r="Q71" s="83" t="str">
        <f t="shared" si="5"/>
        <v>Closed</v>
      </c>
      <c r="R71" s="83" t="str">
        <f t="shared" si="6"/>
        <v>Closed</v>
      </c>
      <c r="S71" s="83">
        <f t="shared" si="7"/>
        <v>66</v>
      </c>
      <c r="T71" s="101" t="str">
        <f>IFERROR(_xlfn.XLOOKUP(tblRecruitmentPipeline[[#This Row],[REQ_ID]],tblRequisitions[REQ_ID],tblRequisitions[DEPARTMENT],""),"")</f>
        <v>Sales &amp; Marketing</v>
      </c>
      <c r="U71" s="110" t="str">
        <f>IF(tblRecruitmentPipeline[[#This Row],[REQ_DEPARTMENT]]="","No","Yes")</f>
        <v>Yes</v>
      </c>
    </row>
    <row r="72" spans="1:21">
      <c r="A72" s="100" t="s">
        <v>1186</v>
      </c>
      <c r="B72" s="101" t="s">
        <v>951</v>
      </c>
      <c r="C72" s="101" t="s">
        <v>1187</v>
      </c>
      <c r="D72" s="101" t="s">
        <v>1188</v>
      </c>
      <c r="E72" s="101" t="s">
        <v>412</v>
      </c>
      <c r="F72" s="102">
        <v>45911</v>
      </c>
      <c r="G72" s="83" t="s">
        <v>372</v>
      </c>
      <c r="H72" s="102">
        <v>45917</v>
      </c>
      <c r="I72" s="101" t="s">
        <v>192</v>
      </c>
      <c r="J72" s="101" t="s">
        <v>227</v>
      </c>
      <c r="K72" s="102"/>
      <c r="L72" s="83" t="s">
        <v>404</v>
      </c>
      <c r="M72" s="102"/>
      <c r="N72" s="101"/>
      <c r="O72" s="101"/>
      <c r="P72" s="83">
        <f t="shared" ca="1" si="4"/>
        <v>234</v>
      </c>
      <c r="Q72" s="83" t="str">
        <f t="shared" ca="1" si="5"/>
        <v>Stale</v>
      </c>
      <c r="R72" s="83" t="str">
        <f t="shared" ca="1" si="6"/>
        <v>Delayed</v>
      </c>
      <c r="S72" s="83" t="str">
        <f t="shared" si="7"/>
        <v/>
      </c>
      <c r="T72" s="101" t="str">
        <f>IFERROR(_xlfn.XLOOKUP(tblRecruitmentPipeline[[#This Row],[REQ_ID]],tblRequisitions[REQ_ID],tblRequisitions[DEPARTMENT],""),"")</f>
        <v>Sales &amp; Marketing</v>
      </c>
      <c r="U72" s="110" t="str">
        <f>IF(tblRecruitmentPipeline[[#This Row],[REQ_DEPARTMENT]]="","No","Yes")</f>
        <v>Yes</v>
      </c>
    </row>
    <row r="73" spans="1:21">
      <c r="A73" s="100" t="s">
        <v>1189</v>
      </c>
      <c r="B73" s="101" t="s">
        <v>951</v>
      </c>
      <c r="C73" s="101" t="s">
        <v>1190</v>
      </c>
      <c r="D73" s="101" t="s">
        <v>586</v>
      </c>
      <c r="E73" s="101" t="s">
        <v>412</v>
      </c>
      <c r="F73" s="102">
        <v>45895</v>
      </c>
      <c r="G73" s="83" t="s">
        <v>413</v>
      </c>
      <c r="H73" s="102">
        <v>45923</v>
      </c>
      <c r="I73" s="101" t="s">
        <v>192</v>
      </c>
      <c r="J73" s="101" t="s">
        <v>36</v>
      </c>
      <c r="K73" s="102"/>
      <c r="L73" s="83" t="s">
        <v>404</v>
      </c>
      <c r="M73" s="102"/>
      <c r="N73" s="101" t="s">
        <v>1085</v>
      </c>
      <c r="O73" s="101"/>
      <c r="P73" s="83">
        <f t="shared" ca="1" si="4"/>
        <v>28</v>
      </c>
      <c r="Q73" s="83" t="str">
        <f t="shared" si="5"/>
        <v>Closed</v>
      </c>
      <c r="R73" s="83" t="str">
        <f t="shared" si="6"/>
        <v>Closed</v>
      </c>
      <c r="S73" s="83" t="str">
        <f t="shared" si="7"/>
        <v/>
      </c>
      <c r="T73" s="101" t="str">
        <f>IFERROR(_xlfn.XLOOKUP(tblRecruitmentPipeline[[#This Row],[REQ_ID]],tblRequisitions[REQ_ID],tblRequisitions[DEPARTMENT],""),"")</f>
        <v>Sales &amp; Marketing</v>
      </c>
      <c r="U73" s="110" t="str">
        <f>IF(tblRecruitmentPipeline[[#This Row],[REQ_DEPARTMENT]]="","No","Yes")</f>
        <v>Yes</v>
      </c>
    </row>
    <row r="74" spans="1:21">
      <c r="A74" s="100" t="s">
        <v>1191</v>
      </c>
      <c r="B74" s="101" t="s">
        <v>951</v>
      </c>
      <c r="C74" s="101" t="s">
        <v>1192</v>
      </c>
      <c r="D74" s="101" t="s">
        <v>1193</v>
      </c>
      <c r="E74" s="101" t="s">
        <v>375</v>
      </c>
      <c r="F74" s="102">
        <v>45896</v>
      </c>
      <c r="G74" s="83" t="s">
        <v>393</v>
      </c>
      <c r="H74" s="102">
        <v>45923</v>
      </c>
      <c r="I74" s="101" t="s">
        <v>192</v>
      </c>
      <c r="J74" s="101" t="s">
        <v>227</v>
      </c>
      <c r="K74" s="102"/>
      <c r="L74" s="83" t="s">
        <v>404</v>
      </c>
      <c r="M74" s="102"/>
      <c r="N74" s="101"/>
      <c r="O74" s="101"/>
      <c r="P74" s="83">
        <f t="shared" ca="1" si="4"/>
        <v>249</v>
      </c>
      <c r="Q74" s="83" t="str">
        <f t="shared" ca="1" si="5"/>
        <v>Stale</v>
      </c>
      <c r="R74" s="83" t="str">
        <f t="shared" ca="1" si="6"/>
        <v>Delayed</v>
      </c>
      <c r="S74" s="83" t="str">
        <f t="shared" si="7"/>
        <v/>
      </c>
      <c r="T74" s="101" t="str">
        <f>IFERROR(_xlfn.XLOOKUP(tblRecruitmentPipeline[[#This Row],[REQ_ID]],tblRequisitions[REQ_ID],tblRequisitions[DEPARTMENT],""),"")</f>
        <v>Sales &amp; Marketing</v>
      </c>
      <c r="U74" s="110" t="str">
        <f>IF(tblRecruitmentPipeline[[#This Row],[REQ_DEPARTMENT]]="","No","Yes")</f>
        <v>Yes</v>
      </c>
    </row>
    <row r="75" spans="1:21">
      <c r="A75" s="100" t="s">
        <v>1194</v>
      </c>
      <c r="B75" s="101" t="s">
        <v>952</v>
      </c>
      <c r="C75" s="101" t="s">
        <v>1195</v>
      </c>
      <c r="D75" s="101" t="s">
        <v>1196</v>
      </c>
      <c r="E75" s="101" t="s">
        <v>403</v>
      </c>
      <c r="F75" s="102">
        <v>46096</v>
      </c>
      <c r="G75" s="83" t="s">
        <v>219</v>
      </c>
      <c r="H75" s="102">
        <v>46111</v>
      </c>
      <c r="I75" s="101" t="s">
        <v>940</v>
      </c>
      <c r="J75" s="101" t="s">
        <v>227</v>
      </c>
      <c r="K75" s="102">
        <v>46106</v>
      </c>
      <c r="L75" s="83" t="s">
        <v>231</v>
      </c>
      <c r="M75" s="102">
        <v>46117</v>
      </c>
      <c r="N75" s="101"/>
      <c r="O75" s="101"/>
      <c r="P75" s="83">
        <f t="shared" ca="1" si="4"/>
        <v>21</v>
      </c>
      <c r="Q75" s="83" t="str">
        <f t="shared" si="5"/>
        <v>Closed</v>
      </c>
      <c r="R75" s="83" t="str">
        <f t="shared" si="6"/>
        <v>Closed</v>
      </c>
      <c r="S75" s="83">
        <f t="shared" si="7"/>
        <v>21</v>
      </c>
      <c r="T75" s="101" t="str">
        <f>IFERROR(_xlfn.XLOOKUP(tblRecruitmentPipeline[[#This Row],[REQ_ID]],tblRequisitions[REQ_ID],tblRequisitions[DEPARTMENT],""),"")</f>
        <v>Branch Operations</v>
      </c>
      <c r="U75" s="110" t="str">
        <f>IF(tblRecruitmentPipeline[[#This Row],[REQ_DEPARTMENT]]="","No","Yes")</f>
        <v>Yes</v>
      </c>
    </row>
    <row r="76" spans="1:21">
      <c r="A76" s="100" t="s">
        <v>1197</v>
      </c>
      <c r="B76" s="101" t="s">
        <v>952</v>
      </c>
      <c r="C76" s="101" t="s">
        <v>1198</v>
      </c>
      <c r="D76" s="101" t="s">
        <v>788</v>
      </c>
      <c r="E76" s="101" t="s">
        <v>384</v>
      </c>
      <c r="F76" s="102">
        <v>46078</v>
      </c>
      <c r="G76" s="83" t="s">
        <v>382</v>
      </c>
      <c r="H76" s="102">
        <v>46095</v>
      </c>
      <c r="I76" s="101" t="s">
        <v>940</v>
      </c>
      <c r="J76" s="101" t="s">
        <v>1030</v>
      </c>
      <c r="K76" s="102"/>
      <c r="L76" s="83" t="s">
        <v>404</v>
      </c>
      <c r="M76" s="102"/>
      <c r="N76" s="101"/>
      <c r="O76" s="101"/>
      <c r="P76" s="83">
        <f t="shared" ca="1" si="4"/>
        <v>67</v>
      </c>
      <c r="Q76" s="83" t="str">
        <f t="shared" ca="1" si="5"/>
        <v>Stale</v>
      </c>
      <c r="R76" s="83" t="str">
        <f t="shared" ca="1" si="6"/>
        <v>Delayed</v>
      </c>
      <c r="S76" s="83" t="str">
        <f t="shared" si="7"/>
        <v/>
      </c>
      <c r="T76" s="101" t="str">
        <f>IFERROR(_xlfn.XLOOKUP(tblRecruitmentPipeline[[#This Row],[REQ_ID]],tblRequisitions[REQ_ID],tblRequisitions[DEPARTMENT],""),"")</f>
        <v>Branch Operations</v>
      </c>
      <c r="U76" s="110" t="str">
        <f>IF(tblRecruitmentPipeline[[#This Row],[REQ_DEPARTMENT]]="","No","Yes")</f>
        <v>Yes</v>
      </c>
    </row>
    <row r="77" spans="1:21">
      <c r="A77" s="100" t="s">
        <v>1199</v>
      </c>
      <c r="B77" s="101" t="s">
        <v>952</v>
      </c>
      <c r="C77" s="101" t="s">
        <v>1200</v>
      </c>
      <c r="D77" s="101" t="s">
        <v>1201</v>
      </c>
      <c r="E77" s="101" t="s">
        <v>375</v>
      </c>
      <c r="F77" s="102">
        <v>46081</v>
      </c>
      <c r="G77" s="83" t="s">
        <v>413</v>
      </c>
      <c r="H77" s="102">
        <v>46105</v>
      </c>
      <c r="I77" s="101" t="s">
        <v>940</v>
      </c>
      <c r="J77" s="101" t="s">
        <v>227</v>
      </c>
      <c r="K77" s="102"/>
      <c r="L77" s="83" t="s">
        <v>404</v>
      </c>
      <c r="M77" s="102"/>
      <c r="N77" s="101" t="s">
        <v>1075</v>
      </c>
      <c r="O77" s="101"/>
      <c r="P77" s="83">
        <f t="shared" ca="1" si="4"/>
        <v>24</v>
      </c>
      <c r="Q77" s="83" t="str">
        <f t="shared" si="5"/>
        <v>Closed</v>
      </c>
      <c r="R77" s="83" t="str">
        <f t="shared" si="6"/>
        <v>Closed</v>
      </c>
      <c r="S77" s="83" t="str">
        <f t="shared" si="7"/>
        <v/>
      </c>
      <c r="T77" s="101" t="str">
        <f>IFERROR(_xlfn.XLOOKUP(tblRecruitmentPipeline[[#This Row],[REQ_ID]],tblRequisitions[REQ_ID],tblRequisitions[DEPARTMENT],""),"")</f>
        <v>Branch Operations</v>
      </c>
      <c r="U77" s="110" t="str">
        <f>IF(tblRecruitmentPipeline[[#This Row],[REQ_DEPARTMENT]]="","No","Yes")</f>
        <v>Yes</v>
      </c>
    </row>
    <row r="78" spans="1:21">
      <c r="A78" s="100" t="s">
        <v>1202</v>
      </c>
      <c r="B78" s="101" t="s">
        <v>952</v>
      </c>
      <c r="C78" s="101" t="s">
        <v>1203</v>
      </c>
      <c r="D78" s="101" t="s">
        <v>705</v>
      </c>
      <c r="E78" s="101" t="s">
        <v>213</v>
      </c>
      <c r="F78" s="102">
        <v>46097</v>
      </c>
      <c r="G78" s="83" t="s">
        <v>409</v>
      </c>
      <c r="H78" s="102">
        <v>46147</v>
      </c>
      <c r="I78" s="101" t="s">
        <v>940</v>
      </c>
      <c r="J78" s="101" t="s">
        <v>36</v>
      </c>
      <c r="K78" s="102">
        <v>46142</v>
      </c>
      <c r="L78" s="83" t="s">
        <v>323</v>
      </c>
      <c r="M78" s="102"/>
      <c r="N78" s="101"/>
      <c r="O78" s="101"/>
      <c r="P78" s="83">
        <f t="shared" ca="1" si="4"/>
        <v>48</v>
      </c>
      <c r="Q78" s="83" t="str">
        <f t="shared" ca="1" si="5"/>
        <v>Stale</v>
      </c>
      <c r="R78" s="83" t="str">
        <f t="shared" ca="1" si="6"/>
        <v>Delayed</v>
      </c>
      <c r="S78" s="83" t="str">
        <f t="shared" si="7"/>
        <v/>
      </c>
      <c r="T78" s="101" t="str">
        <f>IFERROR(_xlfn.XLOOKUP(tblRecruitmentPipeline[[#This Row],[REQ_ID]],tblRequisitions[REQ_ID],tblRequisitions[DEPARTMENT],""),"")</f>
        <v>Branch Operations</v>
      </c>
      <c r="U78" s="110" t="str">
        <f>IF(tblRecruitmentPipeline[[#This Row],[REQ_DEPARTMENT]]="","No","Yes")</f>
        <v>Yes</v>
      </c>
    </row>
    <row r="79" spans="1:21">
      <c r="A79" s="100" t="s">
        <v>1204</v>
      </c>
      <c r="B79" s="101" t="s">
        <v>953</v>
      </c>
      <c r="C79" s="101" t="s">
        <v>1205</v>
      </c>
      <c r="D79" s="101" t="s">
        <v>1188</v>
      </c>
      <c r="E79" s="101" t="s">
        <v>414</v>
      </c>
      <c r="F79" s="102">
        <v>46104</v>
      </c>
      <c r="G79" s="83" t="s">
        <v>219</v>
      </c>
      <c r="H79" s="102">
        <v>46154</v>
      </c>
      <c r="I79" s="101" t="s">
        <v>192</v>
      </c>
      <c r="J79" s="101" t="s">
        <v>227</v>
      </c>
      <c r="K79" s="102">
        <v>46149</v>
      </c>
      <c r="L79" s="83" t="s">
        <v>231</v>
      </c>
      <c r="M79" s="102">
        <v>46160</v>
      </c>
      <c r="N79" s="101"/>
      <c r="O79" s="101"/>
      <c r="P79" s="83">
        <f t="shared" ca="1" si="4"/>
        <v>56</v>
      </c>
      <c r="Q79" s="83" t="str">
        <f t="shared" si="5"/>
        <v>Closed</v>
      </c>
      <c r="R79" s="83" t="str">
        <f t="shared" si="6"/>
        <v>Closed</v>
      </c>
      <c r="S79" s="83">
        <f t="shared" si="7"/>
        <v>56</v>
      </c>
      <c r="T79" s="101" t="str">
        <f>IFERROR(_xlfn.XLOOKUP(tblRecruitmentPipeline[[#This Row],[REQ_ID]],tblRequisitions[REQ_ID],tblRequisitions[DEPARTMENT],""),"")</f>
        <v>Collections</v>
      </c>
      <c r="U79" s="110" t="str">
        <f>IF(tblRecruitmentPipeline[[#This Row],[REQ_DEPARTMENT]]="","No","Yes")</f>
        <v>Yes</v>
      </c>
    </row>
    <row r="80" spans="1:21">
      <c r="A80" s="100" t="s">
        <v>1206</v>
      </c>
      <c r="B80" s="101" t="s">
        <v>953</v>
      </c>
      <c r="C80" s="101" t="s">
        <v>1207</v>
      </c>
      <c r="D80" s="101" t="s">
        <v>785</v>
      </c>
      <c r="E80" s="101" t="s">
        <v>213</v>
      </c>
      <c r="F80" s="102">
        <v>46095</v>
      </c>
      <c r="G80" s="83" t="s">
        <v>372</v>
      </c>
      <c r="H80" s="102">
        <v>46124</v>
      </c>
      <c r="I80" s="101" t="s">
        <v>192</v>
      </c>
      <c r="J80" s="101" t="s">
        <v>36</v>
      </c>
      <c r="K80" s="102"/>
      <c r="L80" s="83" t="s">
        <v>404</v>
      </c>
      <c r="M80" s="102"/>
      <c r="N80" s="101"/>
      <c r="O80" s="101"/>
      <c r="P80" s="83">
        <f t="shared" ca="1" si="4"/>
        <v>50</v>
      </c>
      <c r="Q80" s="83" t="str">
        <f t="shared" ca="1" si="5"/>
        <v>Stale</v>
      </c>
      <c r="R80" s="83" t="str">
        <f t="shared" ca="1" si="6"/>
        <v>Delayed</v>
      </c>
      <c r="S80" s="83" t="str">
        <f t="shared" si="7"/>
        <v/>
      </c>
      <c r="T80" s="101" t="str">
        <f>IFERROR(_xlfn.XLOOKUP(tblRecruitmentPipeline[[#This Row],[REQ_ID]],tblRequisitions[REQ_ID],tblRequisitions[DEPARTMENT],""),"")</f>
        <v>Collections</v>
      </c>
      <c r="U80" s="110" t="str">
        <f>IF(tblRecruitmentPipeline[[#This Row],[REQ_DEPARTMENT]]="","No","Yes")</f>
        <v>Yes</v>
      </c>
    </row>
    <row r="81" spans="1:21">
      <c r="A81" s="100" t="s">
        <v>1208</v>
      </c>
      <c r="B81" s="101" t="s">
        <v>953</v>
      </c>
      <c r="C81" s="101" t="s">
        <v>1209</v>
      </c>
      <c r="D81" s="101" t="s">
        <v>1210</v>
      </c>
      <c r="E81" s="101" t="s">
        <v>261</v>
      </c>
      <c r="F81" s="102">
        <v>46112</v>
      </c>
      <c r="G81" s="83" t="s">
        <v>413</v>
      </c>
      <c r="H81" s="102">
        <v>46125</v>
      </c>
      <c r="I81" s="101" t="s">
        <v>192</v>
      </c>
      <c r="J81" s="101" t="s">
        <v>227</v>
      </c>
      <c r="K81" s="102"/>
      <c r="L81" s="83" t="s">
        <v>404</v>
      </c>
      <c r="M81" s="102"/>
      <c r="N81" s="101" t="s">
        <v>1078</v>
      </c>
      <c r="O81" s="101"/>
      <c r="P81" s="83">
        <f t="shared" ca="1" si="4"/>
        <v>13</v>
      </c>
      <c r="Q81" s="83" t="str">
        <f t="shared" si="5"/>
        <v>Closed</v>
      </c>
      <c r="R81" s="83" t="str">
        <f t="shared" si="6"/>
        <v>Closed</v>
      </c>
      <c r="S81" s="83" t="str">
        <f t="shared" si="7"/>
        <v/>
      </c>
      <c r="T81" s="101" t="str">
        <f>IFERROR(_xlfn.XLOOKUP(tblRecruitmentPipeline[[#This Row],[REQ_ID]],tblRequisitions[REQ_ID],tblRequisitions[DEPARTMENT],""),"")</f>
        <v>Collections</v>
      </c>
      <c r="U81" s="110" t="str">
        <f>IF(tblRecruitmentPipeline[[#This Row],[REQ_DEPARTMENT]]="","No","Yes")</f>
        <v>Yes</v>
      </c>
    </row>
    <row r="82" spans="1:21">
      <c r="A82" s="100" t="s">
        <v>1211</v>
      </c>
      <c r="B82" s="101" t="s">
        <v>953</v>
      </c>
      <c r="C82" s="101" t="s">
        <v>1212</v>
      </c>
      <c r="D82" s="101" t="s">
        <v>1213</v>
      </c>
      <c r="E82" s="101" t="s">
        <v>261</v>
      </c>
      <c r="F82" s="102">
        <v>46087</v>
      </c>
      <c r="G82" s="83" t="s">
        <v>372</v>
      </c>
      <c r="H82" s="102">
        <v>46102</v>
      </c>
      <c r="I82" s="101" t="s">
        <v>192</v>
      </c>
      <c r="J82" s="101" t="s">
        <v>36</v>
      </c>
      <c r="K82" s="102"/>
      <c r="L82" s="83" t="s">
        <v>404</v>
      </c>
      <c r="M82" s="102"/>
      <c r="N82" s="101"/>
      <c r="O82" s="101"/>
      <c r="P82" s="83">
        <f t="shared" ca="1" si="4"/>
        <v>58</v>
      </c>
      <c r="Q82" s="83" t="str">
        <f t="shared" ca="1" si="5"/>
        <v>Stale</v>
      </c>
      <c r="R82" s="83" t="str">
        <f t="shared" ca="1" si="6"/>
        <v>Delayed</v>
      </c>
      <c r="S82" s="83" t="str">
        <f t="shared" si="7"/>
        <v/>
      </c>
      <c r="T82" s="101" t="str">
        <f>IFERROR(_xlfn.XLOOKUP(tblRecruitmentPipeline[[#This Row],[REQ_ID]],tblRequisitions[REQ_ID],tblRequisitions[DEPARTMENT],""),"")</f>
        <v>Collections</v>
      </c>
      <c r="U82" s="110" t="str">
        <f>IF(tblRecruitmentPipeline[[#This Row],[REQ_DEPARTMENT]]="","No","Yes")</f>
        <v>Yes</v>
      </c>
    </row>
    <row r="83" spans="1:21">
      <c r="A83" s="100" t="s">
        <v>1214</v>
      </c>
      <c r="B83" s="101" t="s">
        <v>953</v>
      </c>
      <c r="C83" s="101" t="s">
        <v>1215</v>
      </c>
      <c r="D83" s="101" t="s">
        <v>1216</v>
      </c>
      <c r="E83" s="101" t="s">
        <v>403</v>
      </c>
      <c r="F83" s="102">
        <v>46103</v>
      </c>
      <c r="G83" s="83" t="s">
        <v>382</v>
      </c>
      <c r="H83" s="102">
        <v>46121</v>
      </c>
      <c r="I83" s="101" t="s">
        <v>192</v>
      </c>
      <c r="J83" s="101" t="s">
        <v>227</v>
      </c>
      <c r="K83" s="102"/>
      <c r="L83" s="83" t="s">
        <v>404</v>
      </c>
      <c r="M83" s="102"/>
      <c r="N83" s="101"/>
      <c r="O83" s="101"/>
      <c r="P83" s="83">
        <f t="shared" ca="1" si="4"/>
        <v>42</v>
      </c>
      <c r="Q83" s="83" t="str">
        <f t="shared" ca="1" si="5"/>
        <v>Stale</v>
      </c>
      <c r="R83" s="83" t="str">
        <f t="shared" ca="1" si="6"/>
        <v>Delayed</v>
      </c>
      <c r="S83" s="83" t="str">
        <f t="shared" si="7"/>
        <v/>
      </c>
      <c r="T83" s="101" t="str">
        <f>IFERROR(_xlfn.XLOOKUP(tblRecruitmentPipeline[[#This Row],[REQ_ID]],tblRequisitions[REQ_ID],tblRequisitions[DEPARTMENT],""),"")</f>
        <v>Collections</v>
      </c>
      <c r="U83" s="110" t="str">
        <f>IF(tblRecruitmentPipeline[[#This Row],[REQ_DEPARTMENT]]="","No","Yes")</f>
        <v>Yes</v>
      </c>
    </row>
    <row r="84" spans="1:21">
      <c r="A84" s="100" t="s">
        <v>1217</v>
      </c>
      <c r="B84" s="101" t="s">
        <v>953</v>
      </c>
      <c r="C84" s="101" t="s">
        <v>1218</v>
      </c>
      <c r="D84" s="101" t="s">
        <v>1219</v>
      </c>
      <c r="E84" s="101" t="s">
        <v>403</v>
      </c>
      <c r="F84" s="102">
        <v>46108</v>
      </c>
      <c r="G84" s="83" t="s">
        <v>393</v>
      </c>
      <c r="H84" s="102">
        <v>46141</v>
      </c>
      <c r="I84" s="101" t="s">
        <v>192</v>
      </c>
      <c r="J84" s="101" t="s">
        <v>227</v>
      </c>
      <c r="K84" s="102"/>
      <c r="L84" s="83" t="s">
        <v>404</v>
      </c>
      <c r="M84" s="102"/>
      <c r="N84" s="101"/>
      <c r="O84" s="101"/>
      <c r="P84" s="83">
        <f t="shared" ca="1" si="4"/>
        <v>37</v>
      </c>
      <c r="Q84" s="83" t="str">
        <f t="shared" ca="1" si="5"/>
        <v>Stale</v>
      </c>
      <c r="R84" s="83" t="str">
        <f t="shared" ca="1" si="6"/>
        <v>Delayed</v>
      </c>
      <c r="S84" s="83" t="str">
        <f t="shared" si="7"/>
        <v/>
      </c>
      <c r="T84" s="101" t="str">
        <f>IFERROR(_xlfn.XLOOKUP(tblRecruitmentPipeline[[#This Row],[REQ_ID]],tblRequisitions[REQ_ID],tblRequisitions[DEPARTMENT],""),"")</f>
        <v>Collections</v>
      </c>
      <c r="U84" s="110" t="str">
        <f>IF(tblRecruitmentPipeline[[#This Row],[REQ_DEPARTMENT]]="","No","Yes")</f>
        <v>Yes</v>
      </c>
    </row>
    <row r="85" spans="1:21">
      <c r="A85" s="100" t="s">
        <v>1220</v>
      </c>
      <c r="B85" s="101" t="s">
        <v>954</v>
      </c>
      <c r="C85" s="101" t="s">
        <v>1221</v>
      </c>
      <c r="D85" s="101" t="s">
        <v>775</v>
      </c>
      <c r="E85" s="101" t="s">
        <v>213</v>
      </c>
      <c r="F85" s="102">
        <v>45946</v>
      </c>
      <c r="G85" s="83" t="s">
        <v>413</v>
      </c>
      <c r="H85" s="102">
        <v>45965</v>
      </c>
      <c r="I85" s="101" t="s">
        <v>938</v>
      </c>
      <c r="J85" s="101" t="s">
        <v>227</v>
      </c>
      <c r="K85" s="102"/>
      <c r="L85" s="83" t="s">
        <v>404</v>
      </c>
      <c r="M85" s="102"/>
      <c r="N85" s="101" t="s">
        <v>1078</v>
      </c>
      <c r="O85" s="101"/>
      <c r="P85" s="83">
        <f t="shared" ca="1" si="4"/>
        <v>19</v>
      </c>
      <c r="Q85" s="83" t="str">
        <f t="shared" si="5"/>
        <v>Closed</v>
      </c>
      <c r="R85" s="83" t="str">
        <f t="shared" si="6"/>
        <v>Closed</v>
      </c>
      <c r="S85" s="83" t="str">
        <f t="shared" si="7"/>
        <v/>
      </c>
      <c r="T85" s="101" t="str">
        <f>IFERROR(_xlfn.XLOOKUP(tblRecruitmentPipeline[[#This Row],[REQ_ID]],tblRequisitions[REQ_ID],tblRequisitions[DEPARTMENT],""),"")</f>
        <v>Finance</v>
      </c>
      <c r="U85" s="110" t="str">
        <f>IF(tblRecruitmentPipeline[[#This Row],[REQ_DEPARTMENT]]="","No","Yes")</f>
        <v>Yes</v>
      </c>
    </row>
    <row r="86" spans="1:21">
      <c r="A86" s="100" t="s">
        <v>1222</v>
      </c>
      <c r="B86" s="101" t="s">
        <v>954</v>
      </c>
      <c r="C86" s="101" t="s">
        <v>1223</v>
      </c>
      <c r="D86" s="101" t="s">
        <v>694</v>
      </c>
      <c r="E86" s="101" t="s">
        <v>414</v>
      </c>
      <c r="F86" s="102">
        <v>45937</v>
      </c>
      <c r="G86" s="83" t="s">
        <v>413</v>
      </c>
      <c r="H86" s="102">
        <v>45985</v>
      </c>
      <c r="I86" s="101" t="s">
        <v>938</v>
      </c>
      <c r="J86" s="101" t="s">
        <v>36</v>
      </c>
      <c r="K86" s="102"/>
      <c r="L86" s="83" t="s">
        <v>404</v>
      </c>
      <c r="M86" s="102"/>
      <c r="N86" s="101" t="s">
        <v>1085</v>
      </c>
      <c r="O86" s="101"/>
      <c r="P86" s="83">
        <f t="shared" ca="1" si="4"/>
        <v>48</v>
      </c>
      <c r="Q86" s="83" t="str">
        <f t="shared" si="5"/>
        <v>Closed</v>
      </c>
      <c r="R86" s="83" t="str">
        <f t="shared" si="6"/>
        <v>Closed</v>
      </c>
      <c r="S86" s="83" t="str">
        <f t="shared" si="7"/>
        <v/>
      </c>
      <c r="T86" s="101" t="str">
        <f>IFERROR(_xlfn.XLOOKUP(tblRecruitmentPipeline[[#This Row],[REQ_ID]],tblRequisitions[REQ_ID],tblRequisitions[DEPARTMENT],""),"")</f>
        <v>Finance</v>
      </c>
      <c r="U86" s="110" t="str">
        <f>IF(tblRecruitmentPipeline[[#This Row],[REQ_DEPARTMENT]]="","No","Yes")</f>
        <v>Yes</v>
      </c>
    </row>
    <row r="87" spans="1:21">
      <c r="A87" s="100" t="s">
        <v>1224</v>
      </c>
      <c r="B87" s="101" t="s">
        <v>954</v>
      </c>
      <c r="C87" s="101" t="s">
        <v>1225</v>
      </c>
      <c r="D87" s="101" t="s">
        <v>1226</v>
      </c>
      <c r="E87" s="101" t="s">
        <v>414</v>
      </c>
      <c r="F87" s="102">
        <v>45935</v>
      </c>
      <c r="G87" s="83" t="s">
        <v>382</v>
      </c>
      <c r="H87" s="102">
        <v>45984</v>
      </c>
      <c r="I87" s="101" t="s">
        <v>938</v>
      </c>
      <c r="J87" s="101" t="s">
        <v>1030</v>
      </c>
      <c r="K87" s="102"/>
      <c r="L87" s="83" t="s">
        <v>404</v>
      </c>
      <c r="M87" s="102"/>
      <c r="N87" s="101"/>
      <c r="O87" s="101"/>
      <c r="P87" s="83">
        <f t="shared" ca="1" si="4"/>
        <v>210</v>
      </c>
      <c r="Q87" s="83" t="str">
        <f t="shared" ca="1" si="5"/>
        <v>Stale</v>
      </c>
      <c r="R87" s="83" t="str">
        <f t="shared" ca="1" si="6"/>
        <v>Delayed</v>
      </c>
      <c r="S87" s="83" t="str">
        <f t="shared" si="7"/>
        <v/>
      </c>
      <c r="T87" s="101" t="str">
        <f>IFERROR(_xlfn.XLOOKUP(tblRecruitmentPipeline[[#This Row],[REQ_ID]],tblRequisitions[REQ_ID],tblRequisitions[DEPARTMENT],""),"")</f>
        <v>Finance</v>
      </c>
      <c r="U87" s="110" t="str">
        <f>IF(tblRecruitmentPipeline[[#This Row],[REQ_DEPARTMENT]]="","No","Yes")</f>
        <v>Yes</v>
      </c>
    </row>
    <row r="88" spans="1:21">
      <c r="A88" s="100" t="s">
        <v>1227</v>
      </c>
      <c r="B88" s="101" t="s">
        <v>954</v>
      </c>
      <c r="C88" s="101" t="s">
        <v>1228</v>
      </c>
      <c r="D88" s="101" t="s">
        <v>517</v>
      </c>
      <c r="E88" s="101" t="s">
        <v>414</v>
      </c>
      <c r="F88" s="102">
        <v>45934</v>
      </c>
      <c r="G88" s="83" t="s">
        <v>393</v>
      </c>
      <c r="H88" s="102">
        <v>45944</v>
      </c>
      <c r="I88" s="101" t="s">
        <v>938</v>
      </c>
      <c r="J88" s="101" t="s">
        <v>36</v>
      </c>
      <c r="K88" s="102"/>
      <c r="L88" s="83" t="s">
        <v>404</v>
      </c>
      <c r="M88" s="102"/>
      <c r="N88" s="101"/>
      <c r="O88" s="101"/>
      <c r="P88" s="83">
        <f t="shared" ca="1" si="4"/>
        <v>211</v>
      </c>
      <c r="Q88" s="83" t="str">
        <f t="shared" ca="1" si="5"/>
        <v>Stale</v>
      </c>
      <c r="R88" s="83" t="str">
        <f t="shared" ca="1" si="6"/>
        <v>Delayed</v>
      </c>
      <c r="S88" s="83" t="str">
        <f t="shared" si="7"/>
        <v/>
      </c>
      <c r="T88" s="101" t="str">
        <f>IFERROR(_xlfn.XLOOKUP(tblRecruitmentPipeline[[#This Row],[REQ_ID]],tblRequisitions[REQ_ID],tblRequisitions[DEPARTMENT],""),"")</f>
        <v>Finance</v>
      </c>
      <c r="U88" s="110" t="str">
        <f>IF(tblRecruitmentPipeline[[#This Row],[REQ_DEPARTMENT]]="","No","Yes")</f>
        <v>Yes</v>
      </c>
    </row>
    <row r="89" spans="1:21">
      <c r="A89" s="100" t="s">
        <v>1229</v>
      </c>
      <c r="B89" s="101" t="s">
        <v>954</v>
      </c>
      <c r="C89" s="101" t="s">
        <v>1230</v>
      </c>
      <c r="D89" s="101" t="s">
        <v>1231</v>
      </c>
      <c r="E89" s="101" t="s">
        <v>375</v>
      </c>
      <c r="F89" s="102">
        <v>45942</v>
      </c>
      <c r="G89" s="83" t="s">
        <v>382</v>
      </c>
      <c r="H89" s="102">
        <v>45980</v>
      </c>
      <c r="I89" s="101" t="s">
        <v>938</v>
      </c>
      <c r="J89" s="101" t="s">
        <v>227</v>
      </c>
      <c r="K89" s="102"/>
      <c r="L89" s="83" t="s">
        <v>404</v>
      </c>
      <c r="M89" s="102"/>
      <c r="N89" s="101"/>
      <c r="O89" s="101"/>
      <c r="P89" s="83">
        <f t="shared" ca="1" si="4"/>
        <v>203</v>
      </c>
      <c r="Q89" s="83" t="str">
        <f t="shared" ca="1" si="5"/>
        <v>Stale</v>
      </c>
      <c r="R89" s="83" t="str">
        <f t="shared" ca="1" si="6"/>
        <v>Delayed</v>
      </c>
      <c r="S89" s="83" t="str">
        <f t="shared" si="7"/>
        <v/>
      </c>
      <c r="T89" s="101" t="str">
        <f>IFERROR(_xlfn.XLOOKUP(tblRecruitmentPipeline[[#This Row],[REQ_ID]],tblRequisitions[REQ_ID],tblRequisitions[DEPARTMENT],""),"")</f>
        <v>Finance</v>
      </c>
      <c r="U89" s="110" t="str">
        <f>IF(tblRecruitmentPipeline[[#This Row],[REQ_DEPARTMENT]]="","No","Yes")</f>
        <v>Yes</v>
      </c>
    </row>
    <row r="90" spans="1:21">
      <c r="A90" s="100" t="s">
        <v>1232</v>
      </c>
      <c r="B90" s="101" t="s">
        <v>954</v>
      </c>
      <c r="C90" s="101" t="s">
        <v>1233</v>
      </c>
      <c r="D90" s="101" t="s">
        <v>625</v>
      </c>
      <c r="E90" s="101" t="s">
        <v>403</v>
      </c>
      <c r="F90" s="102">
        <v>45933</v>
      </c>
      <c r="G90" s="83" t="s">
        <v>372</v>
      </c>
      <c r="H90" s="102">
        <v>45951</v>
      </c>
      <c r="I90" s="101" t="s">
        <v>938</v>
      </c>
      <c r="J90" s="101" t="s">
        <v>227</v>
      </c>
      <c r="K90" s="102"/>
      <c r="L90" s="83" t="s">
        <v>404</v>
      </c>
      <c r="M90" s="102"/>
      <c r="N90" s="101"/>
      <c r="O90" s="101"/>
      <c r="P90" s="83">
        <f t="shared" ca="1" si="4"/>
        <v>212</v>
      </c>
      <c r="Q90" s="83" t="str">
        <f t="shared" ca="1" si="5"/>
        <v>Stale</v>
      </c>
      <c r="R90" s="83" t="str">
        <f t="shared" ca="1" si="6"/>
        <v>Delayed</v>
      </c>
      <c r="S90" s="83" t="str">
        <f t="shared" si="7"/>
        <v/>
      </c>
      <c r="T90" s="101" t="str">
        <f>IFERROR(_xlfn.XLOOKUP(tblRecruitmentPipeline[[#This Row],[REQ_ID]],tblRequisitions[REQ_ID],tblRequisitions[DEPARTMENT],""),"")</f>
        <v>Finance</v>
      </c>
      <c r="U90" s="110" t="str">
        <f>IF(tblRecruitmentPipeline[[#This Row],[REQ_DEPARTMENT]]="","No","Yes")</f>
        <v>Yes</v>
      </c>
    </row>
    <row r="91" spans="1:21">
      <c r="A91" s="100" t="s">
        <v>1234</v>
      </c>
      <c r="B91" s="101" t="s">
        <v>954</v>
      </c>
      <c r="C91" s="101" t="s">
        <v>1235</v>
      </c>
      <c r="D91" s="101" t="s">
        <v>1236</v>
      </c>
      <c r="E91" s="101" t="s">
        <v>261</v>
      </c>
      <c r="F91" s="102">
        <v>45944</v>
      </c>
      <c r="G91" s="83" t="s">
        <v>382</v>
      </c>
      <c r="H91" s="102">
        <v>45969</v>
      </c>
      <c r="I91" s="101" t="s">
        <v>938</v>
      </c>
      <c r="J91" s="101" t="s">
        <v>1030</v>
      </c>
      <c r="K91" s="102"/>
      <c r="L91" s="83" t="s">
        <v>404</v>
      </c>
      <c r="M91" s="102"/>
      <c r="N91" s="101"/>
      <c r="O91" s="101"/>
      <c r="P91" s="83">
        <f t="shared" ca="1" si="4"/>
        <v>201</v>
      </c>
      <c r="Q91" s="83" t="str">
        <f t="shared" ca="1" si="5"/>
        <v>Stale</v>
      </c>
      <c r="R91" s="83" t="str">
        <f t="shared" ca="1" si="6"/>
        <v>Delayed</v>
      </c>
      <c r="S91" s="83" t="str">
        <f t="shared" si="7"/>
        <v/>
      </c>
      <c r="T91" s="101" t="str">
        <f>IFERROR(_xlfn.XLOOKUP(tblRecruitmentPipeline[[#This Row],[REQ_ID]],tblRequisitions[REQ_ID],tblRequisitions[DEPARTMENT],""),"")</f>
        <v>Finance</v>
      </c>
      <c r="U91" s="110" t="str">
        <f>IF(tblRecruitmentPipeline[[#This Row],[REQ_DEPARTMENT]]="","No","Yes")</f>
        <v>Yes</v>
      </c>
    </row>
    <row r="92" spans="1:21">
      <c r="A92" s="100" t="s">
        <v>1237</v>
      </c>
      <c r="B92" s="101" t="s">
        <v>954</v>
      </c>
      <c r="C92" s="101" t="s">
        <v>1238</v>
      </c>
      <c r="D92" s="101" t="s">
        <v>868</v>
      </c>
      <c r="E92" s="101" t="s">
        <v>213</v>
      </c>
      <c r="F92" s="102">
        <v>45949</v>
      </c>
      <c r="G92" s="83" t="s">
        <v>382</v>
      </c>
      <c r="H92" s="102">
        <v>45994</v>
      </c>
      <c r="I92" s="101" t="s">
        <v>938</v>
      </c>
      <c r="J92" s="101" t="s">
        <v>227</v>
      </c>
      <c r="K92" s="102"/>
      <c r="L92" s="83" t="s">
        <v>404</v>
      </c>
      <c r="M92" s="102"/>
      <c r="N92" s="101"/>
      <c r="O92" s="101"/>
      <c r="P92" s="83">
        <f t="shared" ca="1" si="4"/>
        <v>196</v>
      </c>
      <c r="Q92" s="83" t="str">
        <f t="shared" ca="1" si="5"/>
        <v>Stale</v>
      </c>
      <c r="R92" s="83" t="str">
        <f t="shared" ca="1" si="6"/>
        <v>Delayed</v>
      </c>
      <c r="S92" s="83" t="str">
        <f t="shared" si="7"/>
        <v/>
      </c>
      <c r="T92" s="101" t="str">
        <f>IFERROR(_xlfn.XLOOKUP(tblRecruitmentPipeline[[#This Row],[REQ_ID]],tblRequisitions[REQ_ID],tblRequisitions[DEPARTMENT],""),"")</f>
        <v>Finance</v>
      </c>
      <c r="U92" s="110" t="str">
        <f>IF(tblRecruitmentPipeline[[#This Row],[REQ_DEPARTMENT]]="","No","Yes")</f>
        <v>Yes</v>
      </c>
    </row>
    <row r="93" spans="1:21">
      <c r="A93" s="100" t="s">
        <v>1239</v>
      </c>
      <c r="B93" s="101" t="s">
        <v>954</v>
      </c>
      <c r="C93" s="101" t="s">
        <v>1240</v>
      </c>
      <c r="D93" s="101" t="s">
        <v>700</v>
      </c>
      <c r="E93" s="101" t="s">
        <v>412</v>
      </c>
      <c r="F93" s="102">
        <v>45957</v>
      </c>
      <c r="G93" s="83" t="s">
        <v>382</v>
      </c>
      <c r="H93" s="102">
        <v>45977</v>
      </c>
      <c r="I93" s="101" t="s">
        <v>938</v>
      </c>
      <c r="J93" s="101" t="s">
        <v>227</v>
      </c>
      <c r="K93" s="102"/>
      <c r="L93" s="83" t="s">
        <v>404</v>
      </c>
      <c r="M93" s="102"/>
      <c r="N93" s="101"/>
      <c r="O93" s="101"/>
      <c r="P93" s="83">
        <f t="shared" ca="1" si="4"/>
        <v>188</v>
      </c>
      <c r="Q93" s="83" t="str">
        <f t="shared" ca="1" si="5"/>
        <v>Stale</v>
      </c>
      <c r="R93" s="83" t="str">
        <f t="shared" ca="1" si="6"/>
        <v>Delayed</v>
      </c>
      <c r="S93" s="83" t="str">
        <f t="shared" si="7"/>
        <v/>
      </c>
      <c r="T93" s="101" t="str">
        <f>IFERROR(_xlfn.XLOOKUP(tblRecruitmentPipeline[[#This Row],[REQ_ID]],tblRequisitions[REQ_ID],tblRequisitions[DEPARTMENT],""),"")</f>
        <v>Finance</v>
      </c>
      <c r="U93" s="110" t="str">
        <f>IF(tblRecruitmentPipeline[[#This Row],[REQ_DEPARTMENT]]="","No","Yes")</f>
        <v>Yes</v>
      </c>
    </row>
    <row r="94" spans="1:21">
      <c r="A94" s="100" t="s">
        <v>1241</v>
      </c>
      <c r="B94" s="101" t="s">
        <v>955</v>
      </c>
      <c r="C94" s="101" t="s">
        <v>1242</v>
      </c>
      <c r="D94" s="101" t="s">
        <v>548</v>
      </c>
      <c r="E94" s="101" t="s">
        <v>414</v>
      </c>
      <c r="F94" s="102">
        <v>45784</v>
      </c>
      <c r="G94" s="83" t="s">
        <v>413</v>
      </c>
      <c r="H94" s="102">
        <v>45810</v>
      </c>
      <c r="I94" s="101" t="s">
        <v>192</v>
      </c>
      <c r="J94" s="101" t="s">
        <v>1030</v>
      </c>
      <c r="K94" s="102"/>
      <c r="L94" s="83" t="s">
        <v>404</v>
      </c>
      <c r="M94" s="102"/>
      <c r="N94" s="101" t="s">
        <v>1085</v>
      </c>
      <c r="O94" s="101"/>
      <c r="P94" s="83">
        <f t="shared" ca="1" si="4"/>
        <v>26</v>
      </c>
      <c r="Q94" s="83" t="str">
        <f t="shared" si="5"/>
        <v>Closed</v>
      </c>
      <c r="R94" s="83" t="str">
        <f t="shared" si="6"/>
        <v>Closed</v>
      </c>
      <c r="S94" s="83" t="str">
        <f t="shared" si="7"/>
        <v/>
      </c>
      <c r="T94" s="101" t="str">
        <f>IFERROR(_xlfn.XLOOKUP(tblRecruitmentPipeline[[#This Row],[REQ_ID]],tblRequisitions[REQ_ID],tblRequisitions[DEPARTMENT],""),"")</f>
        <v>Customer Service</v>
      </c>
      <c r="U94" s="110" t="str">
        <f>IF(tblRecruitmentPipeline[[#This Row],[REQ_DEPARTMENT]]="","No","Yes")</f>
        <v>Yes</v>
      </c>
    </row>
    <row r="95" spans="1:21">
      <c r="A95" s="100" t="s">
        <v>1243</v>
      </c>
      <c r="B95" s="101" t="s">
        <v>955</v>
      </c>
      <c r="C95" s="101" t="s">
        <v>1244</v>
      </c>
      <c r="D95" s="101" t="s">
        <v>830</v>
      </c>
      <c r="E95" s="101" t="s">
        <v>414</v>
      </c>
      <c r="F95" s="102">
        <v>45777</v>
      </c>
      <c r="G95" s="83" t="s">
        <v>393</v>
      </c>
      <c r="H95" s="102">
        <v>45818</v>
      </c>
      <c r="I95" s="101" t="s">
        <v>192</v>
      </c>
      <c r="J95" s="101" t="s">
        <v>1030</v>
      </c>
      <c r="K95" s="102"/>
      <c r="L95" s="83" t="s">
        <v>404</v>
      </c>
      <c r="M95" s="102"/>
      <c r="N95" s="101"/>
      <c r="O95" s="101"/>
      <c r="P95" s="83">
        <f t="shared" ca="1" si="4"/>
        <v>368</v>
      </c>
      <c r="Q95" s="83" t="str">
        <f t="shared" ca="1" si="5"/>
        <v>Stale</v>
      </c>
      <c r="R95" s="83" t="str">
        <f t="shared" ca="1" si="6"/>
        <v>Delayed</v>
      </c>
      <c r="S95" s="83" t="str">
        <f t="shared" si="7"/>
        <v/>
      </c>
      <c r="T95" s="101" t="str">
        <f>IFERROR(_xlfn.XLOOKUP(tblRecruitmentPipeline[[#This Row],[REQ_ID]],tblRequisitions[REQ_ID],tblRequisitions[DEPARTMENT],""),"")</f>
        <v>Customer Service</v>
      </c>
      <c r="U95" s="110" t="str">
        <f>IF(tblRecruitmentPipeline[[#This Row],[REQ_DEPARTMENT]]="","No","Yes")</f>
        <v>Yes</v>
      </c>
    </row>
    <row r="96" spans="1:21">
      <c r="A96" s="100" t="s">
        <v>1245</v>
      </c>
      <c r="B96" s="101" t="s">
        <v>955</v>
      </c>
      <c r="C96" s="101" t="s">
        <v>1246</v>
      </c>
      <c r="D96" s="101" t="s">
        <v>1247</v>
      </c>
      <c r="E96" s="101" t="s">
        <v>412</v>
      </c>
      <c r="F96" s="102">
        <v>45761</v>
      </c>
      <c r="G96" s="83" t="s">
        <v>382</v>
      </c>
      <c r="H96" s="102">
        <v>45777</v>
      </c>
      <c r="I96" s="101" t="s">
        <v>192</v>
      </c>
      <c r="J96" s="101" t="s">
        <v>36</v>
      </c>
      <c r="K96" s="102"/>
      <c r="L96" s="83" t="s">
        <v>404</v>
      </c>
      <c r="M96" s="102"/>
      <c r="N96" s="101"/>
      <c r="O96" s="101"/>
      <c r="P96" s="83">
        <f t="shared" ca="1" si="4"/>
        <v>384</v>
      </c>
      <c r="Q96" s="83" t="str">
        <f t="shared" ca="1" si="5"/>
        <v>Stale</v>
      </c>
      <c r="R96" s="83" t="str">
        <f t="shared" ca="1" si="6"/>
        <v>Delayed</v>
      </c>
      <c r="S96" s="83" t="str">
        <f t="shared" si="7"/>
        <v/>
      </c>
      <c r="T96" s="101" t="str">
        <f>IFERROR(_xlfn.XLOOKUP(tblRecruitmentPipeline[[#This Row],[REQ_ID]],tblRequisitions[REQ_ID],tblRequisitions[DEPARTMENT],""),"")</f>
        <v>Customer Service</v>
      </c>
      <c r="U96" s="110" t="str">
        <f>IF(tblRecruitmentPipeline[[#This Row],[REQ_DEPARTMENT]]="","No","Yes")</f>
        <v>Yes</v>
      </c>
    </row>
    <row r="97" spans="1:21">
      <c r="A97" s="100" t="s">
        <v>1248</v>
      </c>
      <c r="B97" s="101" t="s">
        <v>955</v>
      </c>
      <c r="C97" s="101" t="s">
        <v>1249</v>
      </c>
      <c r="D97" s="101" t="s">
        <v>713</v>
      </c>
      <c r="E97" s="101" t="s">
        <v>403</v>
      </c>
      <c r="F97" s="102">
        <v>45773</v>
      </c>
      <c r="G97" s="83" t="s">
        <v>409</v>
      </c>
      <c r="H97" s="102">
        <v>45800</v>
      </c>
      <c r="I97" s="101" t="s">
        <v>192</v>
      </c>
      <c r="J97" s="101" t="s">
        <v>1030</v>
      </c>
      <c r="K97" s="102">
        <v>45797</v>
      </c>
      <c r="L97" s="83" t="s">
        <v>385</v>
      </c>
      <c r="M97" s="102"/>
      <c r="N97" s="101"/>
      <c r="O97" s="101"/>
      <c r="P97" s="83">
        <f t="shared" ca="1" si="4"/>
        <v>372</v>
      </c>
      <c r="Q97" s="83" t="str">
        <f t="shared" ca="1" si="5"/>
        <v>Stale</v>
      </c>
      <c r="R97" s="83" t="str">
        <f t="shared" ca="1" si="6"/>
        <v>Delayed</v>
      </c>
      <c r="S97" s="83" t="str">
        <f t="shared" si="7"/>
        <v/>
      </c>
      <c r="T97" s="101" t="str">
        <f>IFERROR(_xlfn.XLOOKUP(tblRecruitmentPipeline[[#This Row],[REQ_ID]],tblRequisitions[REQ_ID],tblRequisitions[DEPARTMENT],""),"")</f>
        <v>Customer Service</v>
      </c>
      <c r="U97" s="110" t="str">
        <f>IF(tblRecruitmentPipeline[[#This Row],[REQ_DEPARTMENT]]="","No","Yes")</f>
        <v>Yes</v>
      </c>
    </row>
    <row r="98" spans="1:21">
      <c r="A98" s="100" t="s">
        <v>1250</v>
      </c>
      <c r="B98" s="101" t="s">
        <v>955</v>
      </c>
      <c r="C98" s="101" t="s">
        <v>1251</v>
      </c>
      <c r="D98" s="101" t="s">
        <v>1252</v>
      </c>
      <c r="E98" s="101" t="s">
        <v>412</v>
      </c>
      <c r="F98" s="102">
        <v>45767</v>
      </c>
      <c r="G98" s="83" t="s">
        <v>413</v>
      </c>
      <c r="H98" s="102">
        <v>45777</v>
      </c>
      <c r="I98" s="101" t="s">
        <v>192</v>
      </c>
      <c r="J98" s="101" t="s">
        <v>227</v>
      </c>
      <c r="K98" s="102"/>
      <c r="L98" s="83" t="s">
        <v>404</v>
      </c>
      <c r="M98" s="102"/>
      <c r="N98" s="101" t="s">
        <v>1075</v>
      </c>
      <c r="O98" s="101"/>
      <c r="P98" s="83">
        <f t="shared" ca="1" si="4"/>
        <v>10</v>
      </c>
      <c r="Q98" s="83" t="str">
        <f t="shared" si="5"/>
        <v>Closed</v>
      </c>
      <c r="R98" s="83" t="str">
        <f t="shared" si="6"/>
        <v>Closed</v>
      </c>
      <c r="S98" s="83" t="str">
        <f t="shared" si="7"/>
        <v/>
      </c>
      <c r="T98" s="101" t="str">
        <f>IFERROR(_xlfn.XLOOKUP(tblRecruitmentPipeline[[#This Row],[REQ_ID]],tblRequisitions[REQ_ID],tblRequisitions[DEPARTMENT],""),"")</f>
        <v>Customer Service</v>
      </c>
      <c r="U98" s="110" t="str">
        <f>IF(tblRecruitmentPipeline[[#This Row],[REQ_DEPARTMENT]]="","No","Yes")</f>
        <v>Yes</v>
      </c>
    </row>
    <row r="99" spans="1:21">
      <c r="A99" s="100" t="s">
        <v>1253</v>
      </c>
      <c r="B99" s="101" t="s">
        <v>955</v>
      </c>
      <c r="C99" s="101" t="s">
        <v>1254</v>
      </c>
      <c r="D99" s="101" t="s">
        <v>1201</v>
      </c>
      <c r="E99" s="101" t="s">
        <v>375</v>
      </c>
      <c r="F99" s="102">
        <v>45761</v>
      </c>
      <c r="G99" s="83" t="s">
        <v>382</v>
      </c>
      <c r="H99" s="102">
        <v>45788</v>
      </c>
      <c r="I99" s="101" t="s">
        <v>192</v>
      </c>
      <c r="J99" s="101" t="s">
        <v>36</v>
      </c>
      <c r="K99" s="102"/>
      <c r="L99" s="83" t="s">
        <v>404</v>
      </c>
      <c r="M99" s="102"/>
      <c r="N99" s="101"/>
      <c r="O99" s="101"/>
      <c r="P99" s="83">
        <f t="shared" ca="1" si="4"/>
        <v>384</v>
      </c>
      <c r="Q99" s="83" t="str">
        <f t="shared" ca="1" si="5"/>
        <v>Stale</v>
      </c>
      <c r="R99" s="83" t="str">
        <f t="shared" ca="1" si="6"/>
        <v>Delayed</v>
      </c>
      <c r="S99" s="83" t="str">
        <f t="shared" si="7"/>
        <v/>
      </c>
      <c r="T99" s="101" t="str">
        <f>IFERROR(_xlfn.XLOOKUP(tblRecruitmentPipeline[[#This Row],[REQ_ID]],tblRequisitions[REQ_ID],tblRequisitions[DEPARTMENT],""),"")</f>
        <v>Customer Service</v>
      </c>
      <c r="U99" s="110" t="str">
        <f>IF(tblRecruitmentPipeline[[#This Row],[REQ_DEPARTMENT]]="","No","Yes")</f>
        <v>Yes</v>
      </c>
    </row>
    <row r="100" spans="1:21">
      <c r="A100" s="100" t="s">
        <v>1255</v>
      </c>
      <c r="B100" s="101" t="s">
        <v>956</v>
      </c>
      <c r="C100" s="101" t="s">
        <v>1256</v>
      </c>
      <c r="D100" s="101" t="s">
        <v>781</v>
      </c>
      <c r="E100" s="101" t="s">
        <v>261</v>
      </c>
      <c r="F100" s="102">
        <v>45689</v>
      </c>
      <c r="G100" s="83" t="s">
        <v>219</v>
      </c>
      <c r="H100" s="102">
        <v>45716</v>
      </c>
      <c r="I100" s="101" t="s">
        <v>940</v>
      </c>
      <c r="J100" s="101" t="s">
        <v>227</v>
      </c>
      <c r="K100" s="102">
        <v>45711</v>
      </c>
      <c r="L100" s="83" t="s">
        <v>231</v>
      </c>
      <c r="M100" s="102">
        <v>45730</v>
      </c>
      <c r="N100" s="101"/>
      <c r="O100" s="101"/>
      <c r="P100" s="83">
        <f t="shared" ca="1" si="4"/>
        <v>41</v>
      </c>
      <c r="Q100" s="83" t="str">
        <f t="shared" si="5"/>
        <v>Closed</v>
      </c>
      <c r="R100" s="83" t="str">
        <f t="shared" si="6"/>
        <v>Closed</v>
      </c>
      <c r="S100" s="83">
        <f t="shared" si="7"/>
        <v>41</v>
      </c>
      <c r="T100" s="101" t="str">
        <f>IFERROR(_xlfn.XLOOKUP(tblRecruitmentPipeline[[#This Row],[REQ_ID]],tblRequisitions[REQ_ID],tblRequisitions[DEPARTMENT],""),"")</f>
        <v>Branch Operations</v>
      </c>
      <c r="U100" s="110" t="str">
        <f>IF(tblRecruitmentPipeline[[#This Row],[REQ_DEPARTMENT]]="","No","Yes")</f>
        <v>Yes</v>
      </c>
    </row>
    <row r="101" spans="1:21">
      <c r="A101" s="100" t="s">
        <v>1257</v>
      </c>
      <c r="B101" s="101" t="s">
        <v>956</v>
      </c>
      <c r="C101" s="101" t="s">
        <v>1258</v>
      </c>
      <c r="D101" s="101" t="s">
        <v>602</v>
      </c>
      <c r="E101" s="101" t="s">
        <v>403</v>
      </c>
      <c r="F101" s="102">
        <v>45695</v>
      </c>
      <c r="G101" s="83" t="s">
        <v>219</v>
      </c>
      <c r="H101" s="102">
        <v>45721</v>
      </c>
      <c r="I101" s="101" t="s">
        <v>940</v>
      </c>
      <c r="J101" s="101" t="s">
        <v>227</v>
      </c>
      <c r="K101" s="102">
        <v>45718</v>
      </c>
      <c r="L101" s="83" t="s">
        <v>231</v>
      </c>
      <c r="M101" s="102">
        <v>45728</v>
      </c>
      <c r="N101" s="101"/>
      <c r="O101" s="101"/>
      <c r="P101" s="83">
        <f t="shared" ca="1" si="4"/>
        <v>33</v>
      </c>
      <c r="Q101" s="83" t="str">
        <f t="shared" si="5"/>
        <v>Closed</v>
      </c>
      <c r="R101" s="83" t="str">
        <f t="shared" si="6"/>
        <v>Closed</v>
      </c>
      <c r="S101" s="83">
        <f t="shared" si="7"/>
        <v>33</v>
      </c>
      <c r="T101" s="101" t="str">
        <f>IFERROR(_xlfn.XLOOKUP(tblRecruitmentPipeline[[#This Row],[REQ_ID]],tblRequisitions[REQ_ID],tblRequisitions[DEPARTMENT],""),"")</f>
        <v>Branch Operations</v>
      </c>
      <c r="U101" s="110" t="str">
        <f>IF(tblRecruitmentPipeline[[#This Row],[REQ_DEPARTMENT]]="","No","Yes")</f>
        <v>Yes</v>
      </c>
    </row>
    <row r="102" spans="1:21">
      <c r="A102" s="100" t="s">
        <v>1259</v>
      </c>
      <c r="B102" s="101" t="s">
        <v>956</v>
      </c>
      <c r="C102" s="101" t="s">
        <v>1260</v>
      </c>
      <c r="D102" s="101" t="s">
        <v>1261</v>
      </c>
      <c r="E102" s="101" t="s">
        <v>412</v>
      </c>
      <c r="F102" s="102">
        <v>45694</v>
      </c>
      <c r="G102" s="83" t="s">
        <v>382</v>
      </c>
      <c r="H102" s="102">
        <v>45706</v>
      </c>
      <c r="I102" s="101" t="s">
        <v>940</v>
      </c>
      <c r="J102" s="101" t="s">
        <v>36</v>
      </c>
      <c r="K102" s="102"/>
      <c r="L102" s="83" t="s">
        <v>404</v>
      </c>
      <c r="M102" s="102"/>
      <c r="N102" s="101"/>
      <c r="O102" s="101"/>
      <c r="P102" s="83">
        <f t="shared" ca="1" si="4"/>
        <v>451</v>
      </c>
      <c r="Q102" s="83" t="str">
        <f t="shared" ca="1" si="5"/>
        <v>Stale</v>
      </c>
      <c r="R102" s="83" t="str">
        <f t="shared" ca="1" si="6"/>
        <v>Delayed</v>
      </c>
      <c r="S102" s="83" t="str">
        <f t="shared" si="7"/>
        <v/>
      </c>
      <c r="T102" s="101" t="str">
        <f>IFERROR(_xlfn.XLOOKUP(tblRecruitmentPipeline[[#This Row],[REQ_ID]],tblRequisitions[REQ_ID],tblRequisitions[DEPARTMENT],""),"")</f>
        <v>Branch Operations</v>
      </c>
      <c r="U102" s="110" t="str">
        <f>IF(tblRecruitmentPipeline[[#This Row],[REQ_DEPARTMENT]]="","No","Yes")</f>
        <v>Yes</v>
      </c>
    </row>
    <row r="103" spans="1:21">
      <c r="A103" s="100" t="s">
        <v>1262</v>
      </c>
      <c r="B103" s="101" t="s">
        <v>956</v>
      </c>
      <c r="C103" s="101" t="s">
        <v>1263</v>
      </c>
      <c r="D103" s="101" t="s">
        <v>461</v>
      </c>
      <c r="E103" s="101" t="s">
        <v>384</v>
      </c>
      <c r="F103" s="102">
        <v>45706</v>
      </c>
      <c r="G103" s="83" t="s">
        <v>413</v>
      </c>
      <c r="H103" s="102">
        <v>45737</v>
      </c>
      <c r="I103" s="101" t="s">
        <v>940</v>
      </c>
      <c r="J103" s="101" t="s">
        <v>227</v>
      </c>
      <c r="K103" s="102"/>
      <c r="L103" s="83" t="s">
        <v>404</v>
      </c>
      <c r="M103" s="102"/>
      <c r="N103" s="101" t="s">
        <v>1085</v>
      </c>
      <c r="O103" s="101"/>
      <c r="P103" s="83">
        <f t="shared" ca="1" si="4"/>
        <v>31</v>
      </c>
      <c r="Q103" s="83" t="str">
        <f t="shared" si="5"/>
        <v>Closed</v>
      </c>
      <c r="R103" s="83" t="str">
        <f t="shared" si="6"/>
        <v>Closed</v>
      </c>
      <c r="S103" s="83" t="str">
        <f t="shared" si="7"/>
        <v/>
      </c>
      <c r="T103" s="101" t="str">
        <f>IFERROR(_xlfn.XLOOKUP(tblRecruitmentPipeline[[#This Row],[REQ_ID]],tblRequisitions[REQ_ID],tblRequisitions[DEPARTMENT],""),"")</f>
        <v>Branch Operations</v>
      </c>
      <c r="U103" s="110" t="str">
        <f>IF(tblRecruitmentPipeline[[#This Row],[REQ_DEPARTMENT]]="","No","Yes")</f>
        <v>Yes</v>
      </c>
    </row>
    <row r="104" spans="1:21">
      <c r="A104" s="100" t="s">
        <v>1264</v>
      </c>
      <c r="B104" s="101" t="s">
        <v>956</v>
      </c>
      <c r="C104" s="101" t="s">
        <v>1265</v>
      </c>
      <c r="D104" s="101" t="s">
        <v>1266</v>
      </c>
      <c r="E104" s="101" t="s">
        <v>213</v>
      </c>
      <c r="F104" s="102">
        <v>45720</v>
      </c>
      <c r="G104" s="83" t="s">
        <v>382</v>
      </c>
      <c r="H104" s="102">
        <v>45760</v>
      </c>
      <c r="I104" s="101" t="s">
        <v>940</v>
      </c>
      <c r="J104" s="101" t="s">
        <v>227</v>
      </c>
      <c r="K104" s="102"/>
      <c r="L104" s="83" t="s">
        <v>404</v>
      </c>
      <c r="M104" s="102"/>
      <c r="N104" s="101"/>
      <c r="O104" s="101"/>
      <c r="P104" s="83">
        <f t="shared" ca="1" si="4"/>
        <v>425</v>
      </c>
      <c r="Q104" s="83" t="str">
        <f t="shared" ca="1" si="5"/>
        <v>Stale</v>
      </c>
      <c r="R104" s="83" t="str">
        <f t="shared" ca="1" si="6"/>
        <v>Delayed</v>
      </c>
      <c r="S104" s="83" t="str">
        <f t="shared" si="7"/>
        <v/>
      </c>
      <c r="T104" s="101" t="str">
        <f>IFERROR(_xlfn.XLOOKUP(tblRecruitmentPipeline[[#This Row],[REQ_ID]],tblRequisitions[REQ_ID],tblRequisitions[DEPARTMENT],""),"")</f>
        <v>Branch Operations</v>
      </c>
      <c r="U104" s="110" t="str">
        <f>IF(tblRecruitmentPipeline[[#This Row],[REQ_DEPARTMENT]]="","No","Yes")</f>
        <v>Yes</v>
      </c>
    </row>
    <row r="105" spans="1:21">
      <c r="A105" s="100" t="s">
        <v>1267</v>
      </c>
      <c r="B105" s="101" t="s">
        <v>956</v>
      </c>
      <c r="C105" s="101" t="s">
        <v>1268</v>
      </c>
      <c r="D105" s="101" t="s">
        <v>593</v>
      </c>
      <c r="E105" s="101" t="s">
        <v>414</v>
      </c>
      <c r="F105" s="102">
        <v>45720</v>
      </c>
      <c r="G105" s="83" t="s">
        <v>393</v>
      </c>
      <c r="H105" s="102">
        <v>45744</v>
      </c>
      <c r="I105" s="101" t="s">
        <v>940</v>
      </c>
      <c r="J105" s="101" t="s">
        <v>1030</v>
      </c>
      <c r="K105" s="102"/>
      <c r="L105" s="83" t="s">
        <v>404</v>
      </c>
      <c r="M105" s="102"/>
      <c r="N105" s="101"/>
      <c r="O105" s="101"/>
      <c r="P105" s="83">
        <f t="shared" ca="1" si="4"/>
        <v>425</v>
      </c>
      <c r="Q105" s="83" t="str">
        <f t="shared" ca="1" si="5"/>
        <v>Stale</v>
      </c>
      <c r="R105" s="83" t="str">
        <f t="shared" ca="1" si="6"/>
        <v>Delayed</v>
      </c>
      <c r="S105" s="83" t="str">
        <f t="shared" si="7"/>
        <v/>
      </c>
      <c r="T105" s="101" t="str">
        <f>IFERROR(_xlfn.XLOOKUP(tblRecruitmentPipeline[[#This Row],[REQ_ID]],tblRequisitions[REQ_ID],tblRequisitions[DEPARTMENT],""),"")</f>
        <v>Branch Operations</v>
      </c>
      <c r="U105" s="110" t="str">
        <f>IF(tblRecruitmentPipeline[[#This Row],[REQ_DEPARTMENT]]="","No","Yes")</f>
        <v>Yes</v>
      </c>
    </row>
    <row r="106" spans="1:21">
      <c r="A106" s="100" t="s">
        <v>1269</v>
      </c>
      <c r="B106" s="101" t="s">
        <v>956</v>
      </c>
      <c r="C106" s="101" t="s">
        <v>1270</v>
      </c>
      <c r="D106" s="101" t="s">
        <v>634</v>
      </c>
      <c r="E106" s="101" t="s">
        <v>261</v>
      </c>
      <c r="F106" s="102">
        <v>45714</v>
      </c>
      <c r="G106" s="83" t="s">
        <v>393</v>
      </c>
      <c r="H106" s="102">
        <v>45742</v>
      </c>
      <c r="I106" s="101" t="s">
        <v>940</v>
      </c>
      <c r="J106" s="101" t="s">
        <v>1030</v>
      </c>
      <c r="K106" s="102"/>
      <c r="L106" s="83" t="s">
        <v>404</v>
      </c>
      <c r="M106" s="102"/>
      <c r="N106" s="101"/>
      <c r="O106" s="101"/>
      <c r="P106" s="83">
        <f t="shared" ca="1" si="4"/>
        <v>431</v>
      </c>
      <c r="Q106" s="83" t="str">
        <f t="shared" ca="1" si="5"/>
        <v>Stale</v>
      </c>
      <c r="R106" s="83" t="str">
        <f t="shared" ca="1" si="6"/>
        <v>Delayed</v>
      </c>
      <c r="S106" s="83" t="str">
        <f t="shared" si="7"/>
        <v/>
      </c>
      <c r="T106" s="101" t="str">
        <f>IFERROR(_xlfn.XLOOKUP(tblRecruitmentPipeline[[#This Row],[REQ_ID]],tblRequisitions[REQ_ID],tblRequisitions[DEPARTMENT],""),"")</f>
        <v>Branch Operations</v>
      </c>
      <c r="U106" s="110" t="str">
        <f>IF(tblRecruitmentPipeline[[#This Row],[REQ_DEPARTMENT]]="","No","Yes")</f>
        <v>Yes</v>
      </c>
    </row>
    <row r="107" spans="1:21">
      <c r="A107" s="100" t="s">
        <v>1271</v>
      </c>
      <c r="B107" s="101" t="s">
        <v>957</v>
      </c>
      <c r="C107" s="101" t="s">
        <v>1272</v>
      </c>
      <c r="D107" s="101" t="s">
        <v>1273</v>
      </c>
      <c r="E107" s="101" t="s">
        <v>412</v>
      </c>
      <c r="F107" s="102">
        <v>45909</v>
      </c>
      <c r="G107" s="83" t="s">
        <v>219</v>
      </c>
      <c r="H107" s="102">
        <v>45919</v>
      </c>
      <c r="I107" s="101" t="s">
        <v>940</v>
      </c>
      <c r="J107" s="101" t="s">
        <v>36</v>
      </c>
      <c r="K107" s="102">
        <v>45916</v>
      </c>
      <c r="L107" s="83" t="s">
        <v>231</v>
      </c>
      <c r="M107" s="102">
        <v>45927</v>
      </c>
      <c r="N107" s="101"/>
      <c r="O107" s="101"/>
      <c r="P107" s="83">
        <f t="shared" ca="1" si="4"/>
        <v>18</v>
      </c>
      <c r="Q107" s="83" t="str">
        <f t="shared" si="5"/>
        <v>Closed</v>
      </c>
      <c r="R107" s="83" t="str">
        <f t="shared" si="6"/>
        <v>Closed</v>
      </c>
      <c r="S107" s="83">
        <f t="shared" si="7"/>
        <v>18</v>
      </c>
      <c r="T107" s="101" t="str">
        <f>IFERROR(_xlfn.XLOOKUP(tblRecruitmentPipeline[[#This Row],[REQ_ID]],tblRequisitions[REQ_ID],tblRequisitions[DEPARTMENT],""),"")</f>
        <v>Sales &amp; Marketing</v>
      </c>
      <c r="U107" s="110" t="str">
        <f>IF(tblRecruitmentPipeline[[#This Row],[REQ_DEPARTMENT]]="","No","Yes")</f>
        <v>Yes</v>
      </c>
    </row>
    <row r="108" spans="1:21">
      <c r="A108" s="100" t="s">
        <v>1274</v>
      </c>
      <c r="B108" s="101" t="s">
        <v>957</v>
      </c>
      <c r="C108" s="101" t="s">
        <v>1275</v>
      </c>
      <c r="D108" s="101" t="s">
        <v>1276</v>
      </c>
      <c r="E108" s="101" t="s">
        <v>414</v>
      </c>
      <c r="F108" s="102">
        <v>45906</v>
      </c>
      <c r="G108" s="83" t="s">
        <v>393</v>
      </c>
      <c r="H108" s="102">
        <v>45935</v>
      </c>
      <c r="I108" s="101" t="s">
        <v>940</v>
      </c>
      <c r="J108" s="101" t="s">
        <v>1030</v>
      </c>
      <c r="K108" s="102"/>
      <c r="L108" s="83" t="s">
        <v>404</v>
      </c>
      <c r="M108" s="102"/>
      <c r="N108" s="101"/>
      <c r="O108" s="101"/>
      <c r="P108" s="83">
        <f t="shared" ca="1" si="4"/>
        <v>239</v>
      </c>
      <c r="Q108" s="83" t="str">
        <f t="shared" ca="1" si="5"/>
        <v>Stale</v>
      </c>
      <c r="R108" s="83" t="str">
        <f t="shared" ca="1" si="6"/>
        <v>Delayed</v>
      </c>
      <c r="S108" s="83" t="str">
        <f t="shared" si="7"/>
        <v/>
      </c>
      <c r="T108" s="101" t="str">
        <f>IFERROR(_xlfn.XLOOKUP(tblRecruitmentPipeline[[#This Row],[REQ_ID]],tblRequisitions[REQ_ID],tblRequisitions[DEPARTMENT],""),"")</f>
        <v>Sales &amp; Marketing</v>
      </c>
      <c r="U108" s="110" t="str">
        <f>IF(tblRecruitmentPipeline[[#This Row],[REQ_DEPARTMENT]]="","No","Yes")</f>
        <v>Yes</v>
      </c>
    </row>
    <row r="109" spans="1:21">
      <c r="A109" s="100" t="s">
        <v>1277</v>
      </c>
      <c r="B109" s="101" t="s">
        <v>957</v>
      </c>
      <c r="C109" s="101" t="s">
        <v>1278</v>
      </c>
      <c r="D109" s="101" t="s">
        <v>800</v>
      </c>
      <c r="E109" s="101" t="s">
        <v>403</v>
      </c>
      <c r="F109" s="102">
        <v>45911</v>
      </c>
      <c r="G109" s="83" t="s">
        <v>393</v>
      </c>
      <c r="H109" s="102">
        <v>45939</v>
      </c>
      <c r="I109" s="101" t="s">
        <v>940</v>
      </c>
      <c r="J109" s="101" t="s">
        <v>1030</v>
      </c>
      <c r="K109" s="102"/>
      <c r="L109" s="83" t="s">
        <v>404</v>
      </c>
      <c r="M109" s="102"/>
      <c r="N109" s="101"/>
      <c r="O109" s="101"/>
      <c r="P109" s="83">
        <f t="shared" ca="1" si="4"/>
        <v>234</v>
      </c>
      <c r="Q109" s="83" t="str">
        <f t="shared" ca="1" si="5"/>
        <v>Stale</v>
      </c>
      <c r="R109" s="83" t="str">
        <f t="shared" ca="1" si="6"/>
        <v>Delayed</v>
      </c>
      <c r="S109" s="83" t="str">
        <f t="shared" si="7"/>
        <v/>
      </c>
      <c r="T109" s="101" t="str">
        <f>IFERROR(_xlfn.XLOOKUP(tblRecruitmentPipeline[[#This Row],[REQ_ID]],tblRequisitions[REQ_ID],tblRequisitions[DEPARTMENT],""),"")</f>
        <v>Sales &amp; Marketing</v>
      </c>
      <c r="U109" s="110" t="str">
        <f>IF(tblRecruitmentPipeline[[#This Row],[REQ_DEPARTMENT]]="","No","Yes")</f>
        <v>Yes</v>
      </c>
    </row>
    <row r="110" spans="1:21">
      <c r="A110" s="100" t="s">
        <v>1279</v>
      </c>
      <c r="B110" s="101" t="s">
        <v>958</v>
      </c>
      <c r="C110" s="101" t="s">
        <v>1280</v>
      </c>
      <c r="D110" s="101" t="s">
        <v>811</v>
      </c>
      <c r="E110" s="101" t="s">
        <v>213</v>
      </c>
      <c r="F110" s="102">
        <v>46093</v>
      </c>
      <c r="G110" s="83" t="s">
        <v>219</v>
      </c>
      <c r="H110" s="102">
        <v>46109</v>
      </c>
      <c r="I110" s="101" t="s">
        <v>938</v>
      </c>
      <c r="J110" s="101" t="s">
        <v>227</v>
      </c>
      <c r="K110" s="102">
        <v>46106</v>
      </c>
      <c r="L110" s="83" t="s">
        <v>231</v>
      </c>
      <c r="M110" s="102">
        <v>46114</v>
      </c>
      <c r="N110" s="101"/>
      <c r="O110" s="101"/>
      <c r="P110" s="83">
        <f t="shared" ca="1" si="4"/>
        <v>21</v>
      </c>
      <c r="Q110" s="83" t="str">
        <f t="shared" si="5"/>
        <v>Closed</v>
      </c>
      <c r="R110" s="83" t="str">
        <f t="shared" si="6"/>
        <v>Closed</v>
      </c>
      <c r="S110" s="83">
        <f t="shared" si="7"/>
        <v>21</v>
      </c>
      <c r="T110" s="101" t="str">
        <f>IFERROR(_xlfn.XLOOKUP(tblRecruitmentPipeline[[#This Row],[REQ_ID]],tblRequisitions[REQ_ID],tblRequisitions[DEPARTMENT],""),"")</f>
        <v>Loan Processing</v>
      </c>
      <c r="U110" s="110" t="str">
        <f>IF(tblRecruitmentPipeline[[#This Row],[REQ_DEPARTMENT]]="","No","Yes")</f>
        <v>Yes</v>
      </c>
    </row>
    <row r="111" spans="1:21">
      <c r="A111" s="100" t="s">
        <v>1281</v>
      </c>
      <c r="B111" s="101" t="s">
        <v>958</v>
      </c>
      <c r="C111" s="101" t="s">
        <v>1282</v>
      </c>
      <c r="D111" s="101" t="s">
        <v>1236</v>
      </c>
      <c r="E111" s="101" t="s">
        <v>403</v>
      </c>
      <c r="F111" s="102">
        <v>46086</v>
      </c>
      <c r="G111" s="83" t="s">
        <v>393</v>
      </c>
      <c r="H111" s="102">
        <v>46135</v>
      </c>
      <c r="I111" s="101" t="s">
        <v>938</v>
      </c>
      <c r="J111" s="101" t="s">
        <v>1030</v>
      </c>
      <c r="K111" s="102"/>
      <c r="L111" s="83" t="s">
        <v>404</v>
      </c>
      <c r="M111" s="102"/>
      <c r="N111" s="101"/>
      <c r="O111" s="101"/>
      <c r="P111" s="83">
        <f t="shared" ca="1" si="4"/>
        <v>59</v>
      </c>
      <c r="Q111" s="83" t="str">
        <f t="shared" ca="1" si="5"/>
        <v>Stale</v>
      </c>
      <c r="R111" s="83" t="str">
        <f t="shared" ca="1" si="6"/>
        <v>Delayed</v>
      </c>
      <c r="S111" s="83" t="str">
        <f t="shared" si="7"/>
        <v/>
      </c>
      <c r="T111" s="101" t="str">
        <f>IFERROR(_xlfn.XLOOKUP(tblRecruitmentPipeline[[#This Row],[REQ_ID]],tblRequisitions[REQ_ID],tblRequisitions[DEPARTMENT],""),"")</f>
        <v>Loan Processing</v>
      </c>
      <c r="U111" s="110" t="str">
        <f>IF(tblRecruitmentPipeline[[#This Row],[REQ_DEPARTMENT]]="","No","Yes")</f>
        <v>Yes</v>
      </c>
    </row>
    <row r="112" spans="1:21">
      <c r="A112" s="100" t="s">
        <v>1283</v>
      </c>
      <c r="B112" s="101" t="s">
        <v>958</v>
      </c>
      <c r="C112" s="101" t="s">
        <v>1284</v>
      </c>
      <c r="D112" s="101" t="s">
        <v>1210</v>
      </c>
      <c r="E112" s="101" t="s">
        <v>213</v>
      </c>
      <c r="F112" s="102">
        <v>46073</v>
      </c>
      <c r="G112" s="83" t="s">
        <v>382</v>
      </c>
      <c r="H112" s="102">
        <v>46093</v>
      </c>
      <c r="I112" s="101" t="s">
        <v>938</v>
      </c>
      <c r="J112" s="101" t="s">
        <v>36</v>
      </c>
      <c r="K112" s="102"/>
      <c r="L112" s="83" t="s">
        <v>404</v>
      </c>
      <c r="M112" s="102"/>
      <c r="N112" s="101"/>
      <c r="O112" s="101"/>
      <c r="P112" s="83">
        <f t="shared" ca="1" si="4"/>
        <v>72</v>
      </c>
      <c r="Q112" s="83" t="str">
        <f t="shared" ca="1" si="5"/>
        <v>Stale</v>
      </c>
      <c r="R112" s="83" t="str">
        <f t="shared" ca="1" si="6"/>
        <v>Delayed</v>
      </c>
      <c r="S112" s="83" t="str">
        <f t="shared" si="7"/>
        <v/>
      </c>
      <c r="T112" s="101" t="str">
        <f>IFERROR(_xlfn.XLOOKUP(tblRecruitmentPipeline[[#This Row],[REQ_ID]],tblRequisitions[REQ_ID],tblRequisitions[DEPARTMENT],""),"")</f>
        <v>Loan Processing</v>
      </c>
      <c r="U112" s="110" t="str">
        <f>IF(tblRecruitmentPipeline[[#This Row],[REQ_DEPARTMENT]]="","No","Yes")</f>
        <v>Yes</v>
      </c>
    </row>
    <row r="113" spans="1:21">
      <c r="A113" s="100" t="s">
        <v>1285</v>
      </c>
      <c r="B113" s="101" t="s">
        <v>958</v>
      </c>
      <c r="C113" s="101" t="s">
        <v>1286</v>
      </c>
      <c r="D113" s="101" t="s">
        <v>1287</v>
      </c>
      <c r="E113" s="101" t="s">
        <v>375</v>
      </c>
      <c r="F113" s="102">
        <v>46086</v>
      </c>
      <c r="G113" s="83" t="s">
        <v>219</v>
      </c>
      <c r="H113" s="102">
        <v>46119</v>
      </c>
      <c r="I113" s="101" t="s">
        <v>938</v>
      </c>
      <c r="J113" s="101" t="s">
        <v>227</v>
      </c>
      <c r="K113" s="102">
        <v>46117</v>
      </c>
      <c r="L113" s="83" t="s">
        <v>231</v>
      </c>
      <c r="M113" s="102">
        <v>46129</v>
      </c>
      <c r="N113" s="101"/>
      <c r="O113" s="101"/>
      <c r="P113" s="83">
        <f t="shared" ca="1" si="4"/>
        <v>43</v>
      </c>
      <c r="Q113" s="83" t="str">
        <f t="shared" si="5"/>
        <v>Closed</v>
      </c>
      <c r="R113" s="83" t="str">
        <f t="shared" si="6"/>
        <v>Closed</v>
      </c>
      <c r="S113" s="83">
        <f t="shared" si="7"/>
        <v>43</v>
      </c>
      <c r="T113" s="101" t="str">
        <f>IFERROR(_xlfn.XLOOKUP(tblRecruitmentPipeline[[#This Row],[REQ_ID]],tblRequisitions[REQ_ID],tblRequisitions[DEPARTMENT],""),"")</f>
        <v>Loan Processing</v>
      </c>
      <c r="U113" s="110" t="str">
        <f>IF(tblRecruitmentPipeline[[#This Row],[REQ_DEPARTMENT]]="","No","Yes")</f>
        <v>Yes</v>
      </c>
    </row>
    <row r="114" spans="1:21">
      <c r="A114" s="100" t="s">
        <v>1288</v>
      </c>
      <c r="B114" s="101" t="s">
        <v>959</v>
      </c>
      <c r="C114" s="101" t="s">
        <v>1289</v>
      </c>
      <c r="D114" s="101" t="s">
        <v>1290</v>
      </c>
      <c r="E114" s="101" t="s">
        <v>412</v>
      </c>
      <c r="F114" s="102">
        <v>45904</v>
      </c>
      <c r="G114" s="83" t="s">
        <v>393</v>
      </c>
      <c r="H114" s="102">
        <v>45914</v>
      </c>
      <c r="I114" s="101" t="s">
        <v>942</v>
      </c>
      <c r="J114" s="101" t="s">
        <v>1030</v>
      </c>
      <c r="K114" s="102"/>
      <c r="L114" s="83" t="s">
        <v>404</v>
      </c>
      <c r="M114" s="102"/>
      <c r="N114" s="101"/>
      <c r="O114" s="101"/>
      <c r="P114" s="83">
        <f t="shared" ca="1" si="4"/>
        <v>241</v>
      </c>
      <c r="Q114" s="83" t="str">
        <f t="shared" ca="1" si="5"/>
        <v>Stale</v>
      </c>
      <c r="R114" s="83" t="str">
        <f t="shared" ca="1" si="6"/>
        <v>Delayed</v>
      </c>
      <c r="S114" s="83" t="str">
        <f t="shared" si="7"/>
        <v/>
      </c>
      <c r="T114" s="101" t="str">
        <f>IFERROR(_xlfn.XLOOKUP(tblRecruitmentPipeline[[#This Row],[REQ_ID]],tblRequisitions[REQ_ID],tblRequisitions[DEPARTMENT],""),"")</f>
        <v>Human Resources</v>
      </c>
      <c r="U114" s="110" t="str">
        <f>IF(tblRecruitmentPipeline[[#This Row],[REQ_DEPARTMENT]]="","No","Yes")</f>
        <v>Yes</v>
      </c>
    </row>
    <row r="115" spans="1:21">
      <c r="A115" s="100" t="s">
        <v>1291</v>
      </c>
      <c r="B115" s="101" t="s">
        <v>959</v>
      </c>
      <c r="C115" s="101" t="s">
        <v>1292</v>
      </c>
      <c r="D115" s="101" t="s">
        <v>1293</v>
      </c>
      <c r="E115" s="101" t="s">
        <v>261</v>
      </c>
      <c r="F115" s="102">
        <v>45912</v>
      </c>
      <c r="G115" s="83" t="s">
        <v>372</v>
      </c>
      <c r="H115" s="102">
        <v>45914</v>
      </c>
      <c r="I115" s="101" t="s">
        <v>942</v>
      </c>
      <c r="J115" s="101" t="s">
        <v>36</v>
      </c>
      <c r="K115" s="102"/>
      <c r="L115" s="83" t="s">
        <v>404</v>
      </c>
      <c r="M115" s="102"/>
      <c r="N115" s="101"/>
      <c r="O115" s="101"/>
      <c r="P115" s="83">
        <f t="shared" ca="1" si="4"/>
        <v>233</v>
      </c>
      <c r="Q115" s="83" t="str">
        <f t="shared" ca="1" si="5"/>
        <v>Stale</v>
      </c>
      <c r="R115" s="83" t="str">
        <f t="shared" ca="1" si="6"/>
        <v>Delayed</v>
      </c>
      <c r="S115" s="83" t="str">
        <f t="shared" si="7"/>
        <v/>
      </c>
      <c r="T115" s="101" t="str">
        <f>IFERROR(_xlfn.XLOOKUP(tblRecruitmentPipeline[[#This Row],[REQ_ID]],tblRequisitions[REQ_ID],tblRequisitions[DEPARTMENT],""),"")</f>
        <v>Human Resources</v>
      </c>
      <c r="U115" s="110" t="str">
        <f>IF(tblRecruitmentPipeline[[#This Row],[REQ_DEPARTMENT]]="","No","Yes")</f>
        <v>Yes</v>
      </c>
    </row>
    <row r="116" spans="1:21">
      <c r="A116" s="100" t="s">
        <v>1294</v>
      </c>
      <c r="B116" s="101" t="s">
        <v>959</v>
      </c>
      <c r="C116" s="101" t="s">
        <v>1295</v>
      </c>
      <c r="D116" s="101" t="s">
        <v>772</v>
      </c>
      <c r="E116" s="101" t="s">
        <v>261</v>
      </c>
      <c r="F116" s="102">
        <v>45917</v>
      </c>
      <c r="G116" s="83" t="s">
        <v>413</v>
      </c>
      <c r="H116" s="102">
        <v>45950</v>
      </c>
      <c r="I116" s="101" t="s">
        <v>942</v>
      </c>
      <c r="J116" s="101" t="s">
        <v>1030</v>
      </c>
      <c r="K116" s="102"/>
      <c r="L116" s="83" t="s">
        <v>404</v>
      </c>
      <c r="M116" s="102"/>
      <c r="N116" s="101" t="s">
        <v>1085</v>
      </c>
      <c r="O116" s="101"/>
      <c r="P116" s="83">
        <f t="shared" ca="1" si="4"/>
        <v>33</v>
      </c>
      <c r="Q116" s="83" t="str">
        <f t="shared" si="5"/>
        <v>Closed</v>
      </c>
      <c r="R116" s="83" t="str">
        <f t="shared" si="6"/>
        <v>Closed</v>
      </c>
      <c r="S116" s="83" t="str">
        <f t="shared" si="7"/>
        <v/>
      </c>
      <c r="T116" s="101" t="str">
        <f>IFERROR(_xlfn.XLOOKUP(tblRecruitmentPipeline[[#This Row],[REQ_ID]],tblRequisitions[REQ_ID],tblRequisitions[DEPARTMENT],""),"")</f>
        <v>Human Resources</v>
      </c>
      <c r="U116" s="110" t="str">
        <f>IF(tblRecruitmentPipeline[[#This Row],[REQ_DEPARTMENT]]="","No","Yes")</f>
        <v>Yes</v>
      </c>
    </row>
    <row r="117" spans="1:21">
      <c r="A117" s="100" t="s">
        <v>1296</v>
      </c>
      <c r="B117" s="101" t="s">
        <v>960</v>
      </c>
      <c r="C117" s="101" t="s">
        <v>1297</v>
      </c>
      <c r="D117" s="101" t="s">
        <v>841</v>
      </c>
      <c r="E117" s="101" t="s">
        <v>384</v>
      </c>
      <c r="F117" s="102">
        <v>46012</v>
      </c>
      <c r="G117" s="83" t="s">
        <v>219</v>
      </c>
      <c r="H117" s="102">
        <v>46039</v>
      </c>
      <c r="I117" s="101" t="s">
        <v>938</v>
      </c>
      <c r="J117" s="101" t="s">
        <v>36</v>
      </c>
      <c r="K117" s="102">
        <v>46038</v>
      </c>
      <c r="L117" s="83" t="s">
        <v>231</v>
      </c>
      <c r="M117" s="102">
        <v>46053</v>
      </c>
      <c r="N117" s="101"/>
      <c r="O117" s="101"/>
      <c r="P117" s="83">
        <f t="shared" ca="1" si="4"/>
        <v>41</v>
      </c>
      <c r="Q117" s="83" t="str">
        <f t="shared" si="5"/>
        <v>Closed</v>
      </c>
      <c r="R117" s="83" t="str">
        <f t="shared" si="6"/>
        <v>Closed</v>
      </c>
      <c r="S117" s="83">
        <f t="shared" si="7"/>
        <v>41</v>
      </c>
      <c r="T117" s="101" t="str">
        <f>IFERROR(_xlfn.XLOOKUP(tblRecruitmentPipeline[[#This Row],[REQ_ID]],tblRequisitions[REQ_ID],tblRequisitions[DEPARTMENT],""),"")</f>
        <v>Branch Operations</v>
      </c>
      <c r="U117" s="110" t="str">
        <f>IF(tblRecruitmentPipeline[[#This Row],[REQ_DEPARTMENT]]="","No","Yes")</f>
        <v>Yes</v>
      </c>
    </row>
    <row r="118" spans="1:21">
      <c r="A118" s="100" t="s">
        <v>1298</v>
      </c>
      <c r="B118" s="101" t="s">
        <v>960</v>
      </c>
      <c r="C118" s="101" t="s">
        <v>1299</v>
      </c>
      <c r="D118" s="101" t="s">
        <v>1300</v>
      </c>
      <c r="E118" s="101" t="s">
        <v>384</v>
      </c>
      <c r="F118" s="102">
        <v>46027</v>
      </c>
      <c r="G118" s="83" t="s">
        <v>413</v>
      </c>
      <c r="H118" s="102">
        <v>46036</v>
      </c>
      <c r="I118" s="101" t="s">
        <v>938</v>
      </c>
      <c r="J118" s="101" t="s">
        <v>227</v>
      </c>
      <c r="K118" s="102"/>
      <c r="L118" s="83" t="s">
        <v>404</v>
      </c>
      <c r="M118" s="102"/>
      <c r="N118" s="101" t="s">
        <v>1075</v>
      </c>
      <c r="O118" s="101"/>
      <c r="P118" s="83">
        <f t="shared" ca="1" si="4"/>
        <v>9</v>
      </c>
      <c r="Q118" s="83" t="str">
        <f t="shared" si="5"/>
        <v>Closed</v>
      </c>
      <c r="R118" s="83" t="str">
        <f t="shared" si="6"/>
        <v>Closed</v>
      </c>
      <c r="S118" s="83" t="str">
        <f t="shared" si="7"/>
        <v/>
      </c>
      <c r="T118" s="101" t="str">
        <f>IFERROR(_xlfn.XLOOKUP(tblRecruitmentPipeline[[#This Row],[REQ_ID]],tblRequisitions[REQ_ID],tblRequisitions[DEPARTMENT],""),"")</f>
        <v>Branch Operations</v>
      </c>
      <c r="U118" s="110" t="str">
        <f>IF(tblRecruitmentPipeline[[#This Row],[REQ_DEPARTMENT]]="","No","Yes")</f>
        <v>Yes</v>
      </c>
    </row>
    <row r="119" spans="1:21">
      <c r="A119" s="100" t="s">
        <v>1301</v>
      </c>
      <c r="B119" s="101" t="s">
        <v>960</v>
      </c>
      <c r="C119" s="101" t="s">
        <v>1302</v>
      </c>
      <c r="D119" s="101" t="s">
        <v>539</v>
      </c>
      <c r="E119" s="101" t="s">
        <v>403</v>
      </c>
      <c r="F119" s="102">
        <v>46005</v>
      </c>
      <c r="G119" s="83" t="s">
        <v>382</v>
      </c>
      <c r="H119" s="102">
        <v>46054</v>
      </c>
      <c r="I119" s="101" t="s">
        <v>938</v>
      </c>
      <c r="J119" s="101" t="s">
        <v>36</v>
      </c>
      <c r="K119" s="102"/>
      <c r="L119" s="83" t="s">
        <v>404</v>
      </c>
      <c r="M119" s="102"/>
      <c r="N119" s="101"/>
      <c r="O119" s="101"/>
      <c r="P119" s="83">
        <f t="shared" ca="1" si="4"/>
        <v>140</v>
      </c>
      <c r="Q119" s="83" t="str">
        <f t="shared" ca="1" si="5"/>
        <v>Stale</v>
      </c>
      <c r="R119" s="83" t="str">
        <f t="shared" ca="1" si="6"/>
        <v>Delayed</v>
      </c>
      <c r="S119" s="83" t="str">
        <f t="shared" si="7"/>
        <v/>
      </c>
      <c r="T119" s="101" t="str">
        <f>IFERROR(_xlfn.XLOOKUP(tblRecruitmentPipeline[[#This Row],[REQ_ID]],tblRequisitions[REQ_ID],tblRequisitions[DEPARTMENT],""),"")</f>
        <v>Branch Operations</v>
      </c>
      <c r="U119" s="110" t="str">
        <f>IF(tblRecruitmentPipeline[[#This Row],[REQ_DEPARTMENT]]="","No","Yes")</f>
        <v>Yes</v>
      </c>
    </row>
    <row r="120" spans="1:21">
      <c r="A120" s="100" t="s">
        <v>1303</v>
      </c>
      <c r="B120" s="101" t="s">
        <v>960</v>
      </c>
      <c r="C120" s="101" t="s">
        <v>1304</v>
      </c>
      <c r="D120" s="101" t="s">
        <v>1305</v>
      </c>
      <c r="E120" s="101" t="s">
        <v>261</v>
      </c>
      <c r="F120" s="102">
        <v>46022</v>
      </c>
      <c r="G120" s="83" t="s">
        <v>413</v>
      </c>
      <c r="H120" s="102">
        <v>46034</v>
      </c>
      <c r="I120" s="101" t="s">
        <v>938</v>
      </c>
      <c r="J120" s="101" t="s">
        <v>36</v>
      </c>
      <c r="K120" s="102"/>
      <c r="L120" s="83" t="s">
        <v>404</v>
      </c>
      <c r="M120" s="102"/>
      <c r="N120" s="101" t="s">
        <v>1027</v>
      </c>
      <c r="O120" s="101"/>
      <c r="P120" s="83">
        <f t="shared" ca="1" si="4"/>
        <v>12</v>
      </c>
      <c r="Q120" s="83" t="str">
        <f t="shared" si="5"/>
        <v>Closed</v>
      </c>
      <c r="R120" s="83" t="str">
        <f t="shared" si="6"/>
        <v>Closed</v>
      </c>
      <c r="S120" s="83" t="str">
        <f t="shared" si="7"/>
        <v/>
      </c>
      <c r="T120" s="101" t="str">
        <f>IFERROR(_xlfn.XLOOKUP(tblRecruitmentPipeline[[#This Row],[REQ_ID]],tblRequisitions[REQ_ID],tblRequisitions[DEPARTMENT],""),"")</f>
        <v>Branch Operations</v>
      </c>
      <c r="U120" s="110" t="str">
        <f>IF(tblRecruitmentPipeline[[#This Row],[REQ_DEPARTMENT]]="","No","Yes")</f>
        <v>Yes</v>
      </c>
    </row>
    <row r="121" spans="1:21">
      <c r="A121" s="100" t="s">
        <v>1306</v>
      </c>
      <c r="B121" s="101" t="s">
        <v>960</v>
      </c>
      <c r="C121" s="101" t="s">
        <v>1307</v>
      </c>
      <c r="D121" s="101" t="s">
        <v>1308</v>
      </c>
      <c r="E121" s="101" t="s">
        <v>375</v>
      </c>
      <c r="F121" s="102">
        <v>46022</v>
      </c>
      <c r="G121" s="83" t="s">
        <v>382</v>
      </c>
      <c r="H121" s="102">
        <v>46027</v>
      </c>
      <c r="I121" s="101" t="s">
        <v>938</v>
      </c>
      <c r="J121" s="101" t="s">
        <v>1030</v>
      </c>
      <c r="K121" s="102"/>
      <c r="L121" s="83" t="s">
        <v>404</v>
      </c>
      <c r="M121" s="102"/>
      <c r="N121" s="101"/>
      <c r="O121" s="101"/>
      <c r="P121" s="83">
        <f t="shared" ca="1" si="4"/>
        <v>123</v>
      </c>
      <c r="Q121" s="83" t="str">
        <f t="shared" ca="1" si="5"/>
        <v>Stale</v>
      </c>
      <c r="R121" s="83" t="str">
        <f t="shared" ca="1" si="6"/>
        <v>Delayed</v>
      </c>
      <c r="S121" s="83" t="str">
        <f t="shared" si="7"/>
        <v/>
      </c>
      <c r="T121" s="101" t="str">
        <f>IFERROR(_xlfn.XLOOKUP(tblRecruitmentPipeline[[#This Row],[REQ_ID]],tblRequisitions[REQ_ID],tblRequisitions[DEPARTMENT],""),"")</f>
        <v>Branch Operations</v>
      </c>
      <c r="U121" s="110" t="str">
        <f>IF(tblRecruitmentPipeline[[#This Row],[REQ_DEPARTMENT]]="","No","Yes")</f>
        <v>Yes</v>
      </c>
    </row>
    <row r="122" spans="1:21">
      <c r="A122" s="100" t="s">
        <v>1309</v>
      </c>
      <c r="B122" s="101" t="s">
        <v>960</v>
      </c>
      <c r="C122" s="101" t="s">
        <v>1310</v>
      </c>
      <c r="D122" s="101" t="s">
        <v>852</v>
      </c>
      <c r="E122" s="101" t="s">
        <v>403</v>
      </c>
      <c r="F122" s="102">
        <v>46030</v>
      </c>
      <c r="G122" s="83" t="s">
        <v>393</v>
      </c>
      <c r="H122" s="102">
        <v>46042</v>
      </c>
      <c r="I122" s="101" t="s">
        <v>938</v>
      </c>
      <c r="J122" s="101" t="s">
        <v>1030</v>
      </c>
      <c r="K122" s="102"/>
      <c r="L122" s="83" t="s">
        <v>404</v>
      </c>
      <c r="M122" s="102"/>
      <c r="N122" s="101"/>
      <c r="O122" s="101"/>
      <c r="P122" s="83">
        <f t="shared" ca="1" si="4"/>
        <v>115</v>
      </c>
      <c r="Q122" s="83" t="str">
        <f t="shared" ca="1" si="5"/>
        <v>Stale</v>
      </c>
      <c r="R122" s="83" t="str">
        <f t="shared" ca="1" si="6"/>
        <v>Delayed</v>
      </c>
      <c r="S122" s="83" t="str">
        <f t="shared" si="7"/>
        <v/>
      </c>
      <c r="T122" s="101" t="str">
        <f>IFERROR(_xlfn.XLOOKUP(tblRecruitmentPipeline[[#This Row],[REQ_ID]],tblRequisitions[REQ_ID],tblRequisitions[DEPARTMENT],""),"")</f>
        <v>Branch Operations</v>
      </c>
      <c r="U122" s="110" t="str">
        <f>IF(tblRecruitmentPipeline[[#This Row],[REQ_DEPARTMENT]]="","No","Yes")</f>
        <v>Yes</v>
      </c>
    </row>
    <row r="123" spans="1:21">
      <c r="A123" s="100" t="s">
        <v>1311</v>
      </c>
      <c r="B123" s="101" t="s">
        <v>960</v>
      </c>
      <c r="C123" s="101" t="s">
        <v>1312</v>
      </c>
      <c r="D123" s="101" t="s">
        <v>1081</v>
      </c>
      <c r="E123" s="101" t="s">
        <v>261</v>
      </c>
      <c r="F123" s="102">
        <v>46003</v>
      </c>
      <c r="G123" s="83" t="s">
        <v>418</v>
      </c>
      <c r="H123" s="102">
        <v>46042</v>
      </c>
      <c r="I123" s="101" t="s">
        <v>938</v>
      </c>
      <c r="J123" s="101" t="s">
        <v>1030</v>
      </c>
      <c r="K123" s="102"/>
      <c r="L123" s="83" t="s">
        <v>404</v>
      </c>
      <c r="M123" s="102"/>
      <c r="N123" s="101"/>
      <c r="O123" s="101" t="s">
        <v>1183</v>
      </c>
      <c r="P123" s="83">
        <f t="shared" ca="1" si="4"/>
        <v>39</v>
      </c>
      <c r="Q123" s="83" t="str">
        <f t="shared" si="5"/>
        <v>Closed</v>
      </c>
      <c r="R123" s="83" t="str">
        <f t="shared" si="6"/>
        <v>Closed</v>
      </c>
      <c r="S123" s="83" t="str">
        <f t="shared" si="7"/>
        <v/>
      </c>
      <c r="T123" s="101" t="str">
        <f>IFERROR(_xlfn.XLOOKUP(tblRecruitmentPipeline[[#This Row],[REQ_ID]],tblRequisitions[REQ_ID],tblRequisitions[DEPARTMENT],""),"")</f>
        <v>Branch Operations</v>
      </c>
      <c r="U123" s="110" t="str">
        <f>IF(tblRecruitmentPipeline[[#This Row],[REQ_DEPARTMENT]]="","No","Yes")</f>
        <v>Yes</v>
      </c>
    </row>
    <row r="124" spans="1:21">
      <c r="A124" s="100" t="s">
        <v>1313</v>
      </c>
      <c r="B124" s="101" t="s">
        <v>960</v>
      </c>
      <c r="C124" s="101" t="s">
        <v>1314</v>
      </c>
      <c r="D124" s="101" t="s">
        <v>1193</v>
      </c>
      <c r="E124" s="101" t="s">
        <v>414</v>
      </c>
      <c r="F124" s="102">
        <v>46018</v>
      </c>
      <c r="G124" s="83" t="s">
        <v>382</v>
      </c>
      <c r="H124" s="102">
        <v>46025</v>
      </c>
      <c r="I124" s="101" t="s">
        <v>938</v>
      </c>
      <c r="J124" s="101" t="s">
        <v>227</v>
      </c>
      <c r="K124" s="102"/>
      <c r="L124" s="83" t="s">
        <v>404</v>
      </c>
      <c r="M124" s="102"/>
      <c r="N124" s="101"/>
      <c r="O124" s="101"/>
      <c r="P124" s="83">
        <f t="shared" ca="1" si="4"/>
        <v>127</v>
      </c>
      <c r="Q124" s="83" t="str">
        <f t="shared" ca="1" si="5"/>
        <v>Stale</v>
      </c>
      <c r="R124" s="83" t="str">
        <f t="shared" ca="1" si="6"/>
        <v>Delayed</v>
      </c>
      <c r="S124" s="83" t="str">
        <f t="shared" si="7"/>
        <v/>
      </c>
      <c r="T124" s="101" t="str">
        <f>IFERROR(_xlfn.XLOOKUP(tblRecruitmentPipeline[[#This Row],[REQ_ID]],tblRequisitions[REQ_ID],tblRequisitions[DEPARTMENT],""),"")</f>
        <v>Branch Operations</v>
      </c>
      <c r="U124" s="110" t="str">
        <f>IF(tblRecruitmentPipeline[[#This Row],[REQ_DEPARTMENT]]="","No","Yes")</f>
        <v>Yes</v>
      </c>
    </row>
    <row r="125" spans="1:21">
      <c r="A125" s="100" t="s">
        <v>1315</v>
      </c>
      <c r="B125" s="101" t="s">
        <v>960</v>
      </c>
      <c r="C125" s="101" t="s">
        <v>1316</v>
      </c>
      <c r="D125" s="101" t="s">
        <v>732</v>
      </c>
      <c r="E125" s="101" t="s">
        <v>384</v>
      </c>
      <c r="F125" s="102">
        <v>46006</v>
      </c>
      <c r="G125" s="83" t="s">
        <v>372</v>
      </c>
      <c r="H125" s="102">
        <v>46049</v>
      </c>
      <c r="I125" s="101" t="s">
        <v>938</v>
      </c>
      <c r="J125" s="101" t="s">
        <v>36</v>
      </c>
      <c r="K125" s="102"/>
      <c r="L125" s="83" t="s">
        <v>404</v>
      </c>
      <c r="M125" s="102"/>
      <c r="N125" s="101"/>
      <c r="O125" s="101"/>
      <c r="P125" s="83">
        <f t="shared" ca="1" si="4"/>
        <v>139</v>
      </c>
      <c r="Q125" s="83" t="str">
        <f t="shared" ca="1" si="5"/>
        <v>Stale</v>
      </c>
      <c r="R125" s="83" t="str">
        <f t="shared" ca="1" si="6"/>
        <v>Delayed</v>
      </c>
      <c r="S125" s="83" t="str">
        <f t="shared" si="7"/>
        <v/>
      </c>
      <c r="T125" s="101" t="str">
        <f>IFERROR(_xlfn.XLOOKUP(tblRecruitmentPipeline[[#This Row],[REQ_ID]],tblRequisitions[REQ_ID],tblRequisitions[DEPARTMENT],""),"")</f>
        <v>Branch Operations</v>
      </c>
      <c r="U125" s="110" t="str">
        <f>IF(tblRecruitmentPipeline[[#This Row],[REQ_DEPARTMENT]]="","No","Yes")</f>
        <v>Yes</v>
      </c>
    </row>
    <row r="126" spans="1:21">
      <c r="A126" s="100" t="s">
        <v>1317</v>
      </c>
      <c r="B126" s="101" t="s">
        <v>961</v>
      </c>
      <c r="C126" s="101" t="s">
        <v>1318</v>
      </c>
      <c r="D126" s="101" t="s">
        <v>1319</v>
      </c>
      <c r="E126" s="101" t="s">
        <v>375</v>
      </c>
      <c r="F126" s="102">
        <v>45840</v>
      </c>
      <c r="G126" s="83" t="s">
        <v>413</v>
      </c>
      <c r="H126" s="102">
        <v>45890</v>
      </c>
      <c r="I126" s="101" t="s">
        <v>940</v>
      </c>
      <c r="J126" s="101" t="s">
        <v>227</v>
      </c>
      <c r="K126" s="102"/>
      <c r="L126" s="83" t="s">
        <v>404</v>
      </c>
      <c r="M126" s="102"/>
      <c r="N126" s="101" t="s">
        <v>1085</v>
      </c>
      <c r="O126" s="101"/>
      <c r="P126" s="83">
        <f t="shared" ca="1" si="4"/>
        <v>50</v>
      </c>
      <c r="Q126" s="83" t="str">
        <f t="shared" si="5"/>
        <v>Closed</v>
      </c>
      <c r="R126" s="83" t="str">
        <f t="shared" si="6"/>
        <v>Closed</v>
      </c>
      <c r="S126" s="83" t="str">
        <f t="shared" si="7"/>
        <v/>
      </c>
      <c r="T126" s="101" t="str">
        <f>IFERROR(_xlfn.XLOOKUP(tblRecruitmentPipeline[[#This Row],[REQ_ID]],tblRequisitions[REQ_ID],tblRequisitions[DEPARTMENT],""),"")</f>
        <v>Credit Evaluation</v>
      </c>
      <c r="U126" s="110" t="str">
        <f>IF(tblRecruitmentPipeline[[#This Row],[REQ_DEPARTMENT]]="","No","Yes")</f>
        <v>Yes</v>
      </c>
    </row>
    <row r="127" spans="1:21">
      <c r="A127" s="100" t="s">
        <v>1320</v>
      </c>
      <c r="B127" s="101" t="s">
        <v>961</v>
      </c>
      <c r="C127" s="101" t="s">
        <v>1321</v>
      </c>
      <c r="D127" s="101" t="s">
        <v>636</v>
      </c>
      <c r="E127" s="101" t="s">
        <v>403</v>
      </c>
      <c r="F127" s="102">
        <v>45829</v>
      </c>
      <c r="G127" s="83" t="s">
        <v>393</v>
      </c>
      <c r="H127" s="102">
        <v>45839</v>
      </c>
      <c r="I127" s="101" t="s">
        <v>940</v>
      </c>
      <c r="J127" s="101" t="s">
        <v>227</v>
      </c>
      <c r="K127" s="102"/>
      <c r="L127" s="83" t="s">
        <v>404</v>
      </c>
      <c r="M127" s="102"/>
      <c r="N127" s="101"/>
      <c r="O127" s="101"/>
      <c r="P127" s="83">
        <f t="shared" ca="1" si="4"/>
        <v>316</v>
      </c>
      <c r="Q127" s="83" t="str">
        <f t="shared" ca="1" si="5"/>
        <v>Stale</v>
      </c>
      <c r="R127" s="83" t="str">
        <f t="shared" ca="1" si="6"/>
        <v>Delayed</v>
      </c>
      <c r="S127" s="83" t="str">
        <f t="shared" si="7"/>
        <v/>
      </c>
      <c r="T127" s="101" t="str">
        <f>IFERROR(_xlfn.XLOOKUP(tblRecruitmentPipeline[[#This Row],[REQ_ID]],tblRequisitions[REQ_ID],tblRequisitions[DEPARTMENT],""),"")</f>
        <v>Credit Evaluation</v>
      </c>
      <c r="U127" s="110" t="str">
        <f>IF(tblRecruitmentPipeline[[#This Row],[REQ_DEPARTMENT]]="","No","Yes")</f>
        <v>Yes</v>
      </c>
    </row>
    <row r="128" spans="1:21">
      <c r="A128" s="100" t="s">
        <v>1322</v>
      </c>
      <c r="B128" s="101" t="s">
        <v>961</v>
      </c>
      <c r="C128" s="101" t="s">
        <v>1323</v>
      </c>
      <c r="D128" s="101" t="s">
        <v>468</v>
      </c>
      <c r="E128" s="101" t="s">
        <v>384</v>
      </c>
      <c r="F128" s="102">
        <v>45833</v>
      </c>
      <c r="G128" s="83" t="s">
        <v>401</v>
      </c>
      <c r="H128" s="102">
        <v>45869</v>
      </c>
      <c r="I128" s="101" t="s">
        <v>940</v>
      </c>
      <c r="J128" s="101" t="s">
        <v>227</v>
      </c>
      <c r="K128" s="102"/>
      <c r="L128" s="83" t="s">
        <v>404</v>
      </c>
      <c r="M128" s="102"/>
      <c r="N128" s="101"/>
      <c r="O128" s="101"/>
      <c r="P128" s="83">
        <f t="shared" ca="1" si="4"/>
        <v>312</v>
      </c>
      <c r="Q128" s="83" t="str">
        <f t="shared" ca="1" si="5"/>
        <v>Stale</v>
      </c>
      <c r="R128" s="83" t="str">
        <f t="shared" ca="1" si="6"/>
        <v>Delayed</v>
      </c>
      <c r="S128" s="83" t="str">
        <f t="shared" si="7"/>
        <v/>
      </c>
      <c r="T128" s="101" t="str">
        <f>IFERROR(_xlfn.XLOOKUP(tblRecruitmentPipeline[[#This Row],[REQ_ID]],tblRequisitions[REQ_ID],tblRequisitions[DEPARTMENT],""),"")</f>
        <v>Credit Evaluation</v>
      </c>
      <c r="U128" s="110" t="str">
        <f>IF(tblRecruitmentPipeline[[#This Row],[REQ_DEPARTMENT]]="","No","Yes")</f>
        <v>Yes</v>
      </c>
    </row>
    <row r="129" spans="1:21">
      <c r="A129" s="100" t="s">
        <v>1324</v>
      </c>
      <c r="B129" s="101" t="s">
        <v>961</v>
      </c>
      <c r="C129" s="101" t="s">
        <v>1325</v>
      </c>
      <c r="D129" s="101" t="s">
        <v>1326</v>
      </c>
      <c r="E129" s="101" t="s">
        <v>261</v>
      </c>
      <c r="F129" s="102">
        <v>45816</v>
      </c>
      <c r="G129" s="83" t="s">
        <v>401</v>
      </c>
      <c r="H129" s="102">
        <v>45838</v>
      </c>
      <c r="I129" s="101" t="s">
        <v>940</v>
      </c>
      <c r="J129" s="101" t="s">
        <v>227</v>
      </c>
      <c r="K129" s="102"/>
      <c r="L129" s="83" t="s">
        <v>404</v>
      </c>
      <c r="M129" s="102"/>
      <c r="N129" s="101"/>
      <c r="O129" s="101"/>
      <c r="P129" s="83">
        <f t="shared" ca="1" si="4"/>
        <v>329</v>
      </c>
      <c r="Q129" s="83" t="str">
        <f t="shared" ca="1" si="5"/>
        <v>Stale</v>
      </c>
      <c r="R129" s="83" t="str">
        <f t="shared" ca="1" si="6"/>
        <v>Delayed</v>
      </c>
      <c r="S129" s="83" t="str">
        <f t="shared" si="7"/>
        <v/>
      </c>
      <c r="T129" s="101" t="str">
        <f>IFERROR(_xlfn.XLOOKUP(tblRecruitmentPipeline[[#This Row],[REQ_ID]],tblRequisitions[REQ_ID],tblRequisitions[DEPARTMENT],""),"")</f>
        <v>Credit Evaluation</v>
      </c>
      <c r="U129" s="110" t="str">
        <f>IF(tblRecruitmentPipeline[[#This Row],[REQ_DEPARTMENT]]="","No","Yes")</f>
        <v>Yes</v>
      </c>
    </row>
    <row r="130" spans="1:21">
      <c r="A130" s="100" t="s">
        <v>1327</v>
      </c>
      <c r="B130" s="101" t="s">
        <v>962</v>
      </c>
      <c r="C130" s="101" t="s">
        <v>1328</v>
      </c>
      <c r="D130" s="101" t="s">
        <v>819</v>
      </c>
      <c r="E130" s="101" t="s">
        <v>213</v>
      </c>
      <c r="F130" s="102">
        <v>46088</v>
      </c>
      <c r="G130" s="83" t="s">
        <v>219</v>
      </c>
      <c r="H130" s="102">
        <v>46123</v>
      </c>
      <c r="I130" s="101" t="s">
        <v>940</v>
      </c>
      <c r="J130" s="101" t="s">
        <v>36</v>
      </c>
      <c r="K130" s="102">
        <v>46121</v>
      </c>
      <c r="L130" s="83" t="s">
        <v>231</v>
      </c>
      <c r="M130" s="102">
        <v>46135</v>
      </c>
      <c r="N130" s="101"/>
      <c r="O130" s="101"/>
      <c r="P130" s="83">
        <f t="shared" ca="1" si="4"/>
        <v>47</v>
      </c>
      <c r="Q130" s="83" t="str">
        <f t="shared" si="5"/>
        <v>Closed</v>
      </c>
      <c r="R130" s="83" t="str">
        <f t="shared" si="6"/>
        <v>Closed</v>
      </c>
      <c r="S130" s="83">
        <f t="shared" si="7"/>
        <v>47</v>
      </c>
      <c r="T130" s="101" t="str">
        <f>IFERROR(_xlfn.XLOOKUP(tblRecruitmentPipeline[[#This Row],[REQ_ID]],tblRequisitions[REQ_ID],tblRequisitions[DEPARTMENT],""),"")</f>
        <v>Loan Processing</v>
      </c>
      <c r="U130" s="110" t="str">
        <f>IF(tblRecruitmentPipeline[[#This Row],[REQ_DEPARTMENT]]="","No","Yes")</f>
        <v>Yes</v>
      </c>
    </row>
    <row r="131" spans="1:21">
      <c r="A131" s="100" t="s">
        <v>1329</v>
      </c>
      <c r="B131" s="101" t="s">
        <v>962</v>
      </c>
      <c r="C131" s="101" t="s">
        <v>1330</v>
      </c>
      <c r="D131" s="101" t="s">
        <v>1331</v>
      </c>
      <c r="E131" s="101" t="s">
        <v>375</v>
      </c>
      <c r="F131" s="102">
        <v>46082</v>
      </c>
      <c r="G131" s="83" t="s">
        <v>219</v>
      </c>
      <c r="H131" s="102">
        <v>46124</v>
      </c>
      <c r="I131" s="101" t="s">
        <v>940</v>
      </c>
      <c r="J131" s="101" t="s">
        <v>227</v>
      </c>
      <c r="K131" s="102">
        <v>46119</v>
      </c>
      <c r="L131" s="83" t="s">
        <v>231</v>
      </c>
      <c r="M131" s="102">
        <v>46132</v>
      </c>
      <c r="N131" s="101"/>
      <c r="O131" s="101"/>
      <c r="P131" s="83">
        <f t="shared" ca="1" si="4"/>
        <v>50</v>
      </c>
      <c r="Q131" s="83" t="str">
        <f t="shared" si="5"/>
        <v>Closed</v>
      </c>
      <c r="R131" s="83" t="str">
        <f t="shared" si="6"/>
        <v>Closed</v>
      </c>
      <c r="S131" s="83">
        <f t="shared" si="7"/>
        <v>50</v>
      </c>
      <c r="T131" s="101" t="str">
        <f>IFERROR(_xlfn.XLOOKUP(tblRecruitmentPipeline[[#This Row],[REQ_ID]],tblRequisitions[REQ_ID],tblRequisitions[DEPARTMENT],""),"")</f>
        <v>Loan Processing</v>
      </c>
      <c r="U131" s="110" t="str">
        <f>IF(tblRecruitmentPipeline[[#This Row],[REQ_DEPARTMENT]]="","No","Yes")</f>
        <v>Yes</v>
      </c>
    </row>
    <row r="132" spans="1:21">
      <c r="A132" s="100" t="s">
        <v>1332</v>
      </c>
      <c r="B132" s="101" t="s">
        <v>962</v>
      </c>
      <c r="C132" s="101" t="s">
        <v>1333</v>
      </c>
      <c r="D132" s="101" t="s">
        <v>1334</v>
      </c>
      <c r="E132" s="101" t="s">
        <v>412</v>
      </c>
      <c r="F132" s="102">
        <v>46076</v>
      </c>
      <c r="G132" s="83" t="s">
        <v>413</v>
      </c>
      <c r="H132" s="102">
        <v>46093</v>
      </c>
      <c r="I132" s="101" t="s">
        <v>940</v>
      </c>
      <c r="J132" s="101" t="s">
        <v>227</v>
      </c>
      <c r="K132" s="102"/>
      <c r="L132" s="83" t="s">
        <v>404</v>
      </c>
      <c r="M132" s="102"/>
      <c r="N132" s="101" t="s">
        <v>1085</v>
      </c>
      <c r="O132" s="101"/>
      <c r="P132" s="83">
        <f t="shared" ca="1" si="4"/>
        <v>17</v>
      </c>
      <c r="Q132" s="83" t="str">
        <f t="shared" si="5"/>
        <v>Closed</v>
      </c>
      <c r="R132" s="83" t="str">
        <f t="shared" si="6"/>
        <v>Closed</v>
      </c>
      <c r="S132" s="83" t="str">
        <f t="shared" si="7"/>
        <v/>
      </c>
      <c r="T132" s="101" t="str">
        <f>IFERROR(_xlfn.XLOOKUP(tblRecruitmentPipeline[[#This Row],[REQ_ID]],tblRequisitions[REQ_ID],tblRequisitions[DEPARTMENT],""),"")</f>
        <v>Loan Processing</v>
      </c>
      <c r="U132" s="110" t="str">
        <f>IF(tblRecruitmentPipeline[[#This Row],[REQ_DEPARTMENT]]="","No","Yes")</f>
        <v>Yes</v>
      </c>
    </row>
    <row r="133" spans="1:21">
      <c r="A133" s="100" t="s">
        <v>1335</v>
      </c>
      <c r="B133" s="101" t="s">
        <v>962</v>
      </c>
      <c r="C133" s="101" t="s">
        <v>1336</v>
      </c>
      <c r="D133" s="101" t="s">
        <v>1081</v>
      </c>
      <c r="E133" s="101" t="s">
        <v>213</v>
      </c>
      <c r="F133" s="102">
        <v>46077</v>
      </c>
      <c r="G133" s="83" t="s">
        <v>382</v>
      </c>
      <c r="H133" s="102">
        <v>46122</v>
      </c>
      <c r="I133" s="101" t="s">
        <v>940</v>
      </c>
      <c r="J133" s="101" t="s">
        <v>36</v>
      </c>
      <c r="K133" s="102"/>
      <c r="L133" s="83" t="s">
        <v>404</v>
      </c>
      <c r="M133" s="102"/>
      <c r="N133" s="101"/>
      <c r="O133" s="101"/>
      <c r="P133" s="83">
        <f t="shared" ref="P133:P196" ca="1" si="8">IF($A133="","",IF($G133="Hired",$M133-$F133,IF(OR($G133="Rejected",$G133="Withdrawn"),$H133-$F133,TODAY()-$F133)))</f>
        <v>68</v>
      </c>
      <c r="Q133" s="83" t="str">
        <f t="shared" ref="Q133:Q196" ca="1" si="9">IF($A133="","",IF(OR($G133="Hired",$G133="Rejected",$G133="Withdrawn"),"Closed",IF($P133&gt;30,"Stale","Active")))</f>
        <v>Stale</v>
      </c>
      <c r="R133" s="83" t="str">
        <f t="shared" ref="R133:R196" ca="1" si="10">IF($A133="","",IF($Q133="Closed","Closed",IF($P133&lt;=14,"On Track",IF($P133&lt;=30,"At Risk","Delayed"))))</f>
        <v>Delayed</v>
      </c>
      <c r="S133" s="83" t="str">
        <f t="shared" ref="S133:S196" si="11">IF($A133="","",IF($G133="Hired",$M133-$F133,""))</f>
        <v/>
      </c>
      <c r="T133" s="101" t="str">
        <f>IFERROR(_xlfn.XLOOKUP(tblRecruitmentPipeline[[#This Row],[REQ_ID]],tblRequisitions[REQ_ID],tblRequisitions[DEPARTMENT],""),"")</f>
        <v>Loan Processing</v>
      </c>
      <c r="U133" s="110" t="str">
        <f>IF(tblRecruitmentPipeline[[#This Row],[REQ_DEPARTMENT]]="","No","Yes")</f>
        <v>Yes</v>
      </c>
    </row>
    <row r="134" spans="1:21">
      <c r="A134" s="100" t="s">
        <v>1337</v>
      </c>
      <c r="B134" s="101" t="s">
        <v>962</v>
      </c>
      <c r="C134" s="101" t="s">
        <v>1338</v>
      </c>
      <c r="D134" s="101" t="s">
        <v>1201</v>
      </c>
      <c r="E134" s="101" t="s">
        <v>213</v>
      </c>
      <c r="F134" s="102">
        <v>46073</v>
      </c>
      <c r="G134" s="83" t="s">
        <v>393</v>
      </c>
      <c r="H134" s="102">
        <v>46095</v>
      </c>
      <c r="I134" s="101" t="s">
        <v>940</v>
      </c>
      <c r="J134" s="101" t="s">
        <v>227</v>
      </c>
      <c r="K134" s="102"/>
      <c r="L134" s="83" t="s">
        <v>404</v>
      </c>
      <c r="M134" s="102"/>
      <c r="N134" s="101"/>
      <c r="O134" s="101"/>
      <c r="P134" s="83">
        <f t="shared" ca="1" si="8"/>
        <v>72</v>
      </c>
      <c r="Q134" s="83" t="str">
        <f t="shared" ca="1" si="9"/>
        <v>Stale</v>
      </c>
      <c r="R134" s="83" t="str">
        <f t="shared" ca="1" si="10"/>
        <v>Delayed</v>
      </c>
      <c r="S134" s="83" t="str">
        <f t="shared" si="11"/>
        <v/>
      </c>
      <c r="T134" s="101" t="str">
        <f>IFERROR(_xlfn.XLOOKUP(tblRecruitmentPipeline[[#This Row],[REQ_ID]],tblRequisitions[REQ_ID],tblRequisitions[DEPARTMENT],""),"")</f>
        <v>Loan Processing</v>
      </c>
      <c r="U134" s="110" t="str">
        <f>IF(tblRecruitmentPipeline[[#This Row],[REQ_DEPARTMENT]]="","No","Yes")</f>
        <v>Yes</v>
      </c>
    </row>
    <row r="135" spans="1:21">
      <c r="A135" s="100" t="s">
        <v>1339</v>
      </c>
      <c r="B135" s="101" t="s">
        <v>962</v>
      </c>
      <c r="C135" s="101" t="s">
        <v>1340</v>
      </c>
      <c r="D135" s="101" t="s">
        <v>472</v>
      </c>
      <c r="E135" s="101" t="s">
        <v>384</v>
      </c>
      <c r="F135" s="102">
        <v>46057</v>
      </c>
      <c r="G135" s="83" t="s">
        <v>372</v>
      </c>
      <c r="H135" s="102">
        <v>46067</v>
      </c>
      <c r="I135" s="101" t="s">
        <v>940</v>
      </c>
      <c r="J135" s="101" t="s">
        <v>1030</v>
      </c>
      <c r="K135" s="102"/>
      <c r="L135" s="83" t="s">
        <v>404</v>
      </c>
      <c r="M135" s="102"/>
      <c r="N135" s="101"/>
      <c r="O135" s="101"/>
      <c r="P135" s="83">
        <f t="shared" ca="1" si="8"/>
        <v>88</v>
      </c>
      <c r="Q135" s="83" t="str">
        <f t="shared" ca="1" si="9"/>
        <v>Stale</v>
      </c>
      <c r="R135" s="83" t="str">
        <f t="shared" ca="1" si="10"/>
        <v>Delayed</v>
      </c>
      <c r="S135" s="83" t="str">
        <f t="shared" si="11"/>
        <v/>
      </c>
      <c r="T135" s="101" t="str">
        <f>IFERROR(_xlfn.XLOOKUP(tblRecruitmentPipeline[[#This Row],[REQ_ID]],tblRequisitions[REQ_ID],tblRequisitions[DEPARTMENT],""),"")</f>
        <v>Loan Processing</v>
      </c>
      <c r="U135" s="110" t="str">
        <f>IF(tblRecruitmentPipeline[[#This Row],[REQ_DEPARTMENT]]="","No","Yes")</f>
        <v>Yes</v>
      </c>
    </row>
    <row r="136" spans="1:21">
      <c r="A136" s="100" t="s">
        <v>1341</v>
      </c>
      <c r="B136" s="101" t="s">
        <v>962</v>
      </c>
      <c r="C136" s="101" t="s">
        <v>1342</v>
      </c>
      <c r="D136" s="101" t="s">
        <v>830</v>
      </c>
      <c r="E136" s="101" t="s">
        <v>412</v>
      </c>
      <c r="F136" s="102">
        <v>46084</v>
      </c>
      <c r="G136" s="83" t="s">
        <v>382</v>
      </c>
      <c r="H136" s="102">
        <v>46088</v>
      </c>
      <c r="I136" s="101" t="s">
        <v>940</v>
      </c>
      <c r="J136" s="101" t="s">
        <v>36</v>
      </c>
      <c r="K136" s="102"/>
      <c r="L136" s="83" t="s">
        <v>404</v>
      </c>
      <c r="M136" s="102"/>
      <c r="N136" s="101"/>
      <c r="O136" s="101"/>
      <c r="P136" s="83">
        <f t="shared" ca="1" si="8"/>
        <v>61</v>
      </c>
      <c r="Q136" s="83" t="str">
        <f t="shared" ca="1" si="9"/>
        <v>Stale</v>
      </c>
      <c r="R136" s="83" t="str">
        <f t="shared" ca="1" si="10"/>
        <v>Delayed</v>
      </c>
      <c r="S136" s="83" t="str">
        <f t="shared" si="11"/>
        <v/>
      </c>
      <c r="T136" s="101" t="str">
        <f>IFERROR(_xlfn.XLOOKUP(tblRecruitmentPipeline[[#This Row],[REQ_ID]],tblRequisitions[REQ_ID],tblRequisitions[DEPARTMENT],""),"")</f>
        <v>Loan Processing</v>
      </c>
      <c r="U136" s="110" t="str">
        <f>IF(tblRecruitmentPipeline[[#This Row],[REQ_DEPARTMENT]]="","No","Yes")</f>
        <v>Yes</v>
      </c>
    </row>
    <row r="137" spans="1:21">
      <c r="A137" s="100" t="s">
        <v>1343</v>
      </c>
      <c r="B137" s="101" t="s">
        <v>962</v>
      </c>
      <c r="C137" s="101" t="s">
        <v>1344</v>
      </c>
      <c r="D137" s="101" t="s">
        <v>1345</v>
      </c>
      <c r="E137" s="101" t="s">
        <v>213</v>
      </c>
      <c r="F137" s="102">
        <v>46086</v>
      </c>
      <c r="G137" s="83" t="s">
        <v>409</v>
      </c>
      <c r="H137" s="102">
        <v>46125</v>
      </c>
      <c r="I137" s="101" t="s">
        <v>940</v>
      </c>
      <c r="J137" s="101" t="s">
        <v>227</v>
      </c>
      <c r="K137" s="102">
        <v>46122</v>
      </c>
      <c r="L137" s="83" t="s">
        <v>323</v>
      </c>
      <c r="M137" s="102"/>
      <c r="N137" s="101"/>
      <c r="O137" s="101"/>
      <c r="P137" s="83">
        <f t="shared" ca="1" si="8"/>
        <v>59</v>
      </c>
      <c r="Q137" s="83" t="str">
        <f t="shared" ca="1" si="9"/>
        <v>Stale</v>
      </c>
      <c r="R137" s="83" t="str">
        <f t="shared" ca="1" si="10"/>
        <v>Delayed</v>
      </c>
      <c r="S137" s="83" t="str">
        <f t="shared" si="11"/>
        <v/>
      </c>
      <c r="T137" s="101" t="str">
        <f>IFERROR(_xlfn.XLOOKUP(tblRecruitmentPipeline[[#This Row],[REQ_ID]],tblRequisitions[REQ_ID],tblRequisitions[DEPARTMENT],""),"")</f>
        <v>Loan Processing</v>
      </c>
      <c r="U137" s="110" t="str">
        <f>IF(tblRecruitmentPipeline[[#This Row],[REQ_DEPARTMENT]]="","No","Yes")</f>
        <v>Yes</v>
      </c>
    </row>
    <row r="138" spans="1:21">
      <c r="A138" s="100" t="s">
        <v>1346</v>
      </c>
      <c r="B138" s="101" t="s">
        <v>962</v>
      </c>
      <c r="C138" s="101" t="s">
        <v>1347</v>
      </c>
      <c r="D138" s="101" t="s">
        <v>821</v>
      </c>
      <c r="E138" s="101" t="s">
        <v>414</v>
      </c>
      <c r="F138" s="102">
        <v>46057</v>
      </c>
      <c r="G138" s="83" t="s">
        <v>372</v>
      </c>
      <c r="H138" s="102">
        <v>46072</v>
      </c>
      <c r="I138" s="101" t="s">
        <v>940</v>
      </c>
      <c r="J138" s="101" t="s">
        <v>1030</v>
      </c>
      <c r="K138" s="102"/>
      <c r="L138" s="83" t="s">
        <v>404</v>
      </c>
      <c r="M138" s="102"/>
      <c r="N138" s="101"/>
      <c r="O138" s="101"/>
      <c r="P138" s="83">
        <f t="shared" ca="1" si="8"/>
        <v>88</v>
      </c>
      <c r="Q138" s="83" t="str">
        <f t="shared" ca="1" si="9"/>
        <v>Stale</v>
      </c>
      <c r="R138" s="83" t="str">
        <f t="shared" ca="1" si="10"/>
        <v>Delayed</v>
      </c>
      <c r="S138" s="83" t="str">
        <f t="shared" si="11"/>
        <v/>
      </c>
      <c r="T138" s="101" t="str">
        <f>IFERROR(_xlfn.XLOOKUP(tblRecruitmentPipeline[[#This Row],[REQ_ID]],tblRequisitions[REQ_ID],tblRequisitions[DEPARTMENT],""),"")</f>
        <v>Loan Processing</v>
      </c>
      <c r="U138" s="110" t="str">
        <f>IF(tblRecruitmentPipeline[[#This Row],[REQ_DEPARTMENT]]="","No","Yes")</f>
        <v>Yes</v>
      </c>
    </row>
    <row r="139" spans="1:21">
      <c r="A139" s="100" t="s">
        <v>1348</v>
      </c>
      <c r="B139" s="101" t="s">
        <v>963</v>
      </c>
      <c r="C139" s="101" t="s">
        <v>1349</v>
      </c>
      <c r="D139" s="101" t="s">
        <v>846</v>
      </c>
      <c r="E139" s="101" t="s">
        <v>414</v>
      </c>
      <c r="F139" s="102">
        <v>45920</v>
      </c>
      <c r="G139" s="83" t="s">
        <v>219</v>
      </c>
      <c r="H139" s="102">
        <v>45969</v>
      </c>
      <c r="I139" s="101" t="s">
        <v>940</v>
      </c>
      <c r="J139" s="101" t="s">
        <v>227</v>
      </c>
      <c r="K139" s="102">
        <v>45965</v>
      </c>
      <c r="L139" s="83" t="s">
        <v>231</v>
      </c>
      <c r="M139" s="102">
        <v>45985</v>
      </c>
      <c r="N139" s="101"/>
      <c r="O139" s="101"/>
      <c r="P139" s="83">
        <f t="shared" ca="1" si="8"/>
        <v>65</v>
      </c>
      <c r="Q139" s="83" t="str">
        <f t="shared" si="9"/>
        <v>Closed</v>
      </c>
      <c r="R139" s="83" t="str">
        <f t="shared" si="10"/>
        <v>Closed</v>
      </c>
      <c r="S139" s="83">
        <f t="shared" si="11"/>
        <v>65</v>
      </c>
      <c r="T139" s="101" t="str">
        <f>IFERROR(_xlfn.XLOOKUP(tblRecruitmentPipeline[[#This Row],[REQ_ID]],tblRequisitions[REQ_ID],tblRequisitions[DEPARTMENT],""),"")</f>
        <v>Branch Operations</v>
      </c>
      <c r="U139" s="110" t="str">
        <f>IF(tblRecruitmentPipeline[[#This Row],[REQ_DEPARTMENT]]="","No","Yes")</f>
        <v>Yes</v>
      </c>
    </row>
    <row r="140" spans="1:21">
      <c r="A140" s="100" t="s">
        <v>1350</v>
      </c>
      <c r="B140" s="101" t="s">
        <v>963</v>
      </c>
      <c r="C140" s="101" t="s">
        <v>1351</v>
      </c>
      <c r="D140" s="101" t="s">
        <v>721</v>
      </c>
      <c r="E140" s="101" t="s">
        <v>375</v>
      </c>
      <c r="F140" s="102">
        <v>45934</v>
      </c>
      <c r="G140" s="83" t="s">
        <v>401</v>
      </c>
      <c r="H140" s="102">
        <v>45982</v>
      </c>
      <c r="I140" s="101" t="s">
        <v>940</v>
      </c>
      <c r="J140" s="101" t="s">
        <v>1030</v>
      </c>
      <c r="K140" s="102"/>
      <c r="L140" s="83" t="s">
        <v>404</v>
      </c>
      <c r="M140" s="102"/>
      <c r="N140" s="101"/>
      <c r="O140" s="101"/>
      <c r="P140" s="83">
        <f t="shared" ca="1" si="8"/>
        <v>211</v>
      </c>
      <c r="Q140" s="83" t="str">
        <f t="shared" ca="1" si="9"/>
        <v>Stale</v>
      </c>
      <c r="R140" s="83" t="str">
        <f t="shared" ca="1" si="10"/>
        <v>Delayed</v>
      </c>
      <c r="S140" s="83" t="str">
        <f t="shared" si="11"/>
        <v/>
      </c>
      <c r="T140" s="101" t="str">
        <f>IFERROR(_xlfn.XLOOKUP(tblRecruitmentPipeline[[#This Row],[REQ_ID]],tblRequisitions[REQ_ID],tblRequisitions[DEPARTMENT],""),"")</f>
        <v>Branch Operations</v>
      </c>
      <c r="U140" s="110" t="str">
        <f>IF(tblRecruitmentPipeline[[#This Row],[REQ_DEPARTMENT]]="","No","Yes")</f>
        <v>Yes</v>
      </c>
    </row>
    <row r="141" spans="1:21">
      <c r="A141" s="100" t="s">
        <v>1352</v>
      </c>
      <c r="B141" s="101" t="s">
        <v>963</v>
      </c>
      <c r="C141" s="101" t="s">
        <v>1353</v>
      </c>
      <c r="D141" s="101" t="s">
        <v>596</v>
      </c>
      <c r="E141" s="101" t="s">
        <v>384</v>
      </c>
      <c r="F141" s="102">
        <v>45950</v>
      </c>
      <c r="G141" s="83" t="s">
        <v>372</v>
      </c>
      <c r="H141" s="102">
        <v>45998</v>
      </c>
      <c r="I141" s="101" t="s">
        <v>940</v>
      </c>
      <c r="J141" s="101" t="s">
        <v>1030</v>
      </c>
      <c r="K141" s="102"/>
      <c r="L141" s="83" t="s">
        <v>404</v>
      </c>
      <c r="M141" s="102"/>
      <c r="N141" s="101"/>
      <c r="O141" s="101"/>
      <c r="P141" s="83">
        <f t="shared" ca="1" si="8"/>
        <v>195</v>
      </c>
      <c r="Q141" s="83" t="str">
        <f t="shared" ca="1" si="9"/>
        <v>Stale</v>
      </c>
      <c r="R141" s="83" t="str">
        <f t="shared" ca="1" si="10"/>
        <v>Delayed</v>
      </c>
      <c r="S141" s="83" t="str">
        <f t="shared" si="11"/>
        <v/>
      </c>
      <c r="T141" s="101" t="str">
        <f>IFERROR(_xlfn.XLOOKUP(tblRecruitmentPipeline[[#This Row],[REQ_ID]],tblRequisitions[REQ_ID],tblRequisitions[DEPARTMENT],""),"")</f>
        <v>Branch Operations</v>
      </c>
      <c r="U141" s="110" t="str">
        <f>IF(tblRecruitmentPipeline[[#This Row],[REQ_DEPARTMENT]]="","No","Yes")</f>
        <v>Yes</v>
      </c>
    </row>
    <row r="142" spans="1:21">
      <c r="A142" s="100" t="s">
        <v>1354</v>
      </c>
      <c r="B142" s="101" t="s">
        <v>963</v>
      </c>
      <c r="C142" s="101" t="s">
        <v>1355</v>
      </c>
      <c r="D142" s="101" t="s">
        <v>1356</v>
      </c>
      <c r="E142" s="101" t="s">
        <v>412</v>
      </c>
      <c r="F142" s="102">
        <v>45950</v>
      </c>
      <c r="G142" s="83" t="s">
        <v>219</v>
      </c>
      <c r="H142" s="102">
        <v>45988</v>
      </c>
      <c r="I142" s="101" t="s">
        <v>940</v>
      </c>
      <c r="J142" s="101" t="s">
        <v>1030</v>
      </c>
      <c r="K142" s="102">
        <v>45986</v>
      </c>
      <c r="L142" s="83" t="s">
        <v>231</v>
      </c>
      <c r="M142" s="102">
        <v>46001</v>
      </c>
      <c r="N142" s="101"/>
      <c r="O142" s="101"/>
      <c r="P142" s="83">
        <f t="shared" ca="1" si="8"/>
        <v>51</v>
      </c>
      <c r="Q142" s="83" t="str">
        <f t="shared" si="9"/>
        <v>Closed</v>
      </c>
      <c r="R142" s="83" t="str">
        <f t="shared" si="10"/>
        <v>Closed</v>
      </c>
      <c r="S142" s="83">
        <f t="shared" si="11"/>
        <v>51</v>
      </c>
      <c r="T142" s="101" t="str">
        <f>IFERROR(_xlfn.XLOOKUP(tblRecruitmentPipeline[[#This Row],[REQ_ID]],tblRequisitions[REQ_ID],tblRequisitions[DEPARTMENT],""),"")</f>
        <v>Branch Operations</v>
      </c>
      <c r="U142" s="110" t="str">
        <f>IF(tblRecruitmentPipeline[[#This Row],[REQ_DEPARTMENT]]="","No","Yes")</f>
        <v>Yes</v>
      </c>
    </row>
    <row r="143" spans="1:21">
      <c r="A143" s="100" t="s">
        <v>1357</v>
      </c>
      <c r="B143" s="101" t="s">
        <v>963</v>
      </c>
      <c r="C143" s="101" t="s">
        <v>1358</v>
      </c>
      <c r="D143" s="101" t="s">
        <v>684</v>
      </c>
      <c r="E143" s="101" t="s">
        <v>213</v>
      </c>
      <c r="F143" s="102">
        <v>45939</v>
      </c>
      <c r="G143" s="83" t="s">
        <v>219</v>
      </c>
      <c r="H143" s="102">
        <v>45985</v>
      </c>
      <c r="I143" s="101" t="s">
        <v>940</v>
      </c>
      <c r="J143" s="101" t="s">
        <v>36</v>
      </c>
      <c r="K143" s="102">
        <v>45981</v>
      </c>
      <c r="L143" s="83" t="s">
        <v>231</v>
      </c>
      <c r="M143" s="102">
        <v>45989</v>
      </c>
      <c r="N143" s="101"/>
      <c r="O143" s="101"/>
      <c r="P143" s="83">
        <f t="shared" ca="1" si="8"/>
        <v>50</v>
      </c>
      <c r="Q143" s="83" t="str">
        <f t="shared" si="9"/>
        <v>Closed</v>
      </c>
      <c r="R143" s="83" t="str">
        <f t="shared" si="10"/>
        <v>Closed</v>
      </c>
      <c r="S143" s="83">
        <f t="shared" si="11"/>
        <v>50</v>
      </c>
      <c r="T143" s="101" t="str">
        <f>IFERROR(_xlfn.XLOOKUP(tblRecruitmentPipeline[[#This Row],[REQ_ID]],tblRequisitions[REQ_ID],tblRequisitions[DEPARTMENT],""),"")</f>
        <v>Branch Operations</v>
      </c>
      <c r="U143" s="110" t="str">
        <f>IF(tblRecruitmentPipeline[[#This Row],[REQ_DEPARTMENT]]="","No","Yes")</f>
        <v>Yes</v>
      </c>
    </row>
    <row r="144" spans="1:21">
      <c r="A144" s="100" t="s">
        <v>1359</v>
      </c>
      <c r="B144" s="101" t="s">
        <v>963</v>
      </c>
      <c r="C144" s="101" t="s">
        <v>1360</v>
      </c>
      <c r="D144" s="101" t="s">
        <v>461</v>
      </c>
      <c r="E144" s="101" t="s">
        <v>261</v>
      </c>
      <c r="F144" s="102">
        <v>45949</v>
      </c>
      <c r="G144" s="83" t="s">
        <v>393</v>
      </c>
      <c r="H144" s="102">
        <v>45961</v>
      </c>
      <c r="I144" s="101" t="s">
        <v>940</v>
      </c>
      <c r="J144" s="101" t="s">
        <v>36</v>
      </c>
      <c r="K144" s="102"/>
      <c r="L144" s="83" t="s">
        <v>404</v>
      </c>
      <c r="M144" s="102"/>
      <c r="N144" s="101"/>
      <c r="O144" s="101"/>
      <c r="P144" s="83">
        <f t="shared" ca="1" si="8"/>
        <v>196</v>
      </c>
      <c r="Q144" s="83" t="str">
        <f t="shared" ca="1" si="9"/>
        <v>Stale</v>
      </c>
      <c r="R144" s="83" t="str">
        <f t="shared" ca="1" si="10"/>
        <v>Delayed</v>
      </c>
      <c r="S144" s="83" t="str">
        <f t="shared" si="11"/>
        <v/>
      </c>
      <c r="T144" s="101" t="str">
        <f>IFERROR(_xlfn.XLOOKUP(tblRecruitmentPipeline[[#This Row],[REQ_ID]],tblRequisitions[REQ_ID],tblRequisitions[DEPARTMENT],""),"")</f>
        <v>Branch Operations</v>
      </c>
      <c r="U144" s="110" t="str">
        <f>IF(tblRecruitmentPipeline[[#This Row],[REQ_DEPARTMENT]]="","No","Yes")</f>
        <v>Yes</v>
      </c>
    </row>
    <row r="145" spans="1:21">
      <c r="A145" s="100" t="s">
        <v>1361</v>
      </c>
      <c r="B145" s="101" t="s">
        <v>964</v>
      </c>
      <c r="C145" s="101" t="s">
        <v>1362</v>
      </c>
      <c r="D145" s="101" t="s">
        <v>619</v>
      </c>
      <c r="E145" s="101" t="s">
        <v>213</v>
      </c>
      <c r="F145" s="102">
        <v>46047</v>
      </c>
      <c r="G145" s="83" t="s">
        <v>219</v>
      </c>
      <c r="H145" s="102">
        <v>46075</v>
      </c>
      <c r="I145" s="101" t="s">
        <v>192</v>
      </c>
      <c r="J145" s="101" t="s">
        <v>1030</v>
      </c>
      <c r="K145" s="102">
        <v>46071</v>
      </c>
      <c r="L145" s="83" t="s">
        <v>231</v>
      </c>
      <c r="M145" s="102">
        <v>46091</v>
      </c>
      <c r="N145" s="101"/>
      <c r="O145" s="101"/>
      <c r="P145" s="83">
        <f t="shared" ca="1" si="8"/>
        <v>44</v>
      </c>
      <c r="Q145" s="83" t="str">
        <f t="shared" si="9"/>
        <v>Closed</v>
      </c>
      <c r="R145" s="83" t="str">
        <f t="shared" si="10"/>
        <v>Closed</v>
      </c>
      <c r="S145" s="83">
        <f t="shared" si="11"/>
        <v>44</v>
      </c>
      <c r="T145" s="101" t="str">
        <f>IFERROR(_xlfn.XLOOKUP(tblRecruitmentPipeline[[#This Row],[REQ_ID]],tblRequisitions[REQ_ID],tblRequisitions[DEPARTMENT],""),"")</f>
        <v>Finance</v>
      </c>
      <c r="U145" s="110" t="str">
        <f>IF(tblRecruitmentPipeline[[#This Row],[REQ_DEPARTMENT]]="","No","Yes")</f>
        <v>Yes</v>
      </c>
    </row>
    <row r="146" spans="1:21">
      <c r="A146" s="100" t="s">
        <v>1363</v>
      </c>
      <c r="B146" s="101" t="s">
        <v>964</v>
      </c>
      <c r="C146" s="101" t="s">
        <v>1364</v>
      </c>
      <c r="D146" s="101" t="s">
        <v>425</v>
      </c>
      <c r="E146" s="101" t="s">
        <v>261</v>
      </c>
      <c r="F146" s="102">
        <v>46061</v>
      </c>
      <c r="G146" s="83" t="s">
        <v>382</v>
      </c>
      <c r="H146" s="102">
        <v>46098</v>
      </c>
      <c r="I146" s="101" t="s">
        <v>192</v>
      </c>
      <c r="J146" s="101" t="s">
        <v>36</v>
      </c>
      <c r="K146" s="102"/>
      <c r="L146" s="83" t="s">
        <v>404</v>
      </c>
      <c r="M146" s="102"/>
      <c r="N146" s="101"/>
      <c r="O146" s="101"/>
      <c r="P146" s="83">
        <f t="shared" ca="1" si="8"/>
        <v>84</v>
      </c>
      <c r="Q146" s="83" t="str">
        <f t="shared" ca="1" si="9"/>
        <v>Stale</v>
      </c>
      <c r="R146" s="83" t="str">
        <f t="shared" ca="1" si="10"/>
        <v>Delayed</v>
      </c>
      <c r="S146" s="83" t="str">
        <f t="shared" si="11"/>
        <v/>
      </c>
      <c r="T146" s="101" t="str">
        <f>IFERROR(_xlfn.XLOOKUP(tblRecruitmentPipeline[[#This Row],[REQ_ID]],tblRequisitions[REQ_ID],tblRequisitions[DEPARTMENT],""),"")</f>
        <v>Finance</v>
      </c>
      <c r="U146" s="110" t="str">
        <f>IF(tblRecruitmentPipeline[[#This Row],[REQ_DEPARTMENT]]="","No","Yes")</f>
        <v>Yes</v>
      </c>
    </row>
    <row r="147" spans="1:21">
      <c r="A147" s="100" t="s">
        <v>1365</v>
      </c>
      <c r="B147" s="101" t="s">
        <v>964</v>
      </c>
      <c r="C147" s="101" t="s">
        <v>1366</v>
      </c>
      <c r="D147" s="101" t="s">
        <v>753</v>
      </c>
      <c r="E147" s="101" t="s">
        <v>213</v>
      </c>
      <c r="F147" s="102">
        <v>46055</v>
      </c>
      <c r="G147" s="83" t="s">
        <v>418</v>
      </c>
      <c r="H147" s="102">
        <v>46057</v>
      </c>
      <c r="I147" s="101" t="s">
        <v>192</v>
      </c>
      <c r="J147" s="101" t="s">
        <v>1030</v>
      </c>
      <c r="K147" s="102"/>
      <c r="L147" s="83" t="s">
        <v>404</v>
      </c>
      <c r="M147" s="102"/>
      <c r="N147" s="101"/>
      <c r="O147" s="101" t="s">
        <v>1183</v>
      </c>
      <c r="P147" s="83">
        <f t="shared" ca="1" si="8"/>
        <v>2</v>
      </c>
      <c r="Q147" s="83" t="str">
        <f t="shared" si="9"/>
        <v>Closed</v>
      </c>
      <c r="R147" s="83" t="str">
        <f t="shared" si="10"/>
        <v>Closed</v>
      </c>
      <c r="S147" s="83" t="str">
        <f t="shared" si="11"/>
        <v/>
      </c>
      <c r="T147" s="101" t="str">
        <f>IFERROR(_xlfn.XLOOKUP(tblRecruitmentPipeline[[#This Row],[REQ_ID]],tblRequisitions[REQ_ID],tblRequisitions[DEPARTMENT],""),"")</f>
        <v>Finance</v>
      </c>
      <c r="U147" s="110" t="str">
        <f>IF(tblRecruitmentPipeline[[#This Row],[REQ_DEPARTMENT]]="","No","Yes")</f>
        <v>Yes</v>
      </c>
    </row>
    <row r="148" spans="1:21">
      <c r="A148" s="100" t="s">
        <v>1367</v>
      </c>
      <c r="B148" s="101" t="s">
        <v>964</v>
      </c>
      <c r="C148" s="101" t="s">
        <v>1368</v>
      </c>
      <c r="D148" s="101" t="s">
        <v>543</v>
      </c>
      <c r="E148" s="101" t="s">
        <v>384</v>
      </c>
      <c r="F148" s="102">
        <v>46060</v>
      </c>
      <c r="G148" s="83" t="s">
        <v>382</v>
      </c>
      <c r="H148" s="102">
        <v>46081</v>
      </c>
      <c r="I148" s="101" t="s">
        <v>192</v>
      </c>
      <c r="J148" s="101" t="s">
        <v>1030</v>
      </c>
      <c r="K148" s="102"/>
      <c r="L148" s="83" t="s">
        <v>404</v>
      </c>
      <c r="M148" s="102"/>
      <c r="N148" s="101"/>
      <c r="O148" s="101"/>
      <c r="P148" s="83">
        <f t="shared" ca="1" si="8"/>
        <v>85</v>
      </c>
      <c r="Q148" s="83" t="str">
        <f t="shared" ca="1" si="9"/>
        <v>Stale</v>
      </c>
      <c r="R148" s="83" t="str">
        <f t="shared" ca="1" si="10"/>
        <v>Delayed</v>
      </c>
      <c r="S148" s="83" t="str">
        <f t="shared" si="11"/>
        <v/>
      </c>
      <c r="T148" s="101" t="str">
        <f>IFERROR(_xlfn.XLOOKUP(tblRecruitmentPipeline[[#This Row],[REQ_ID]],tblRequisitions[REQ_ID],tblRequisitions[DEPARTMENT],""),"")</f>
        <v>Finance</v>
      </c>
      <c r="U148" s="110" t="str">
        <f>IF(tblRecruitmentPipeline[[#This Row],[REQ_DEPARTMENT]]="","No","Yes")</f>
        <v>Yes</v>
      </c>
    </row>
    <row r="149" spans="1:21">
      <c r="A149" s="100" t="s">
        <v>1369</v>
      </c>
      <c r="B149" s="101" t="s">
        <v>964</v>
      </c>
      <c r="C149" s="101" t="s">
        <v>1370</v>
      </c>
      <c r="D149" s="101" t="s">
        <v>634</v>
      </c>
      <c r="E149" s="101" t="s">
        <v>375</v>
      </c>
      <c r="F149" s="102">
        <v>46047</v>
      </c>
      <c r="G149" s="83" t="s">
        <v>372</v>
      </c>
      <c r="H149" s="102">
        <v>46093</v>
      </c>
      <c r="I149" s="101" t="s">
        <v>192</v>
      </c>
      <c r="J149" s="101" t="s">
        <v>1030</v>
      </c>
      <c r="K149" s="102"/>
      <c r="L149" s="83" t="s">
        <v>404</v>
      </c>
      <c r="M149" s="102"/>
      <c r="N149" s="101"/>
      <c r="O149" s="101"/>
      <c r="P149" s="83">
        <f t="shared" ca="1" si="8"/>
        <v>98</v>
      </c>
      <c r="Q149" s="83" t="str">
        <f t="shared" ca="1" si="9"/>
        <v>Stale</v>
      </c>
      <c r="R149" s="83" t="str">
        <f t="shared" ca="1" si="10"/>
        <v>Delayed</v>
      </c>
      <c r="S149" s="83" t="str">
        <f t="shared" si="11"/>
        <v/>
      </c>
      <c r="T149" s="101" t="str">
        <f>IFERROR(_xlfn.XLOOKUP(tblRecruitmentPipeline[[#This Row],[REQ_ID]],tblRequisitions[REQ_ID],tblRequisitions[DEPARTMENT],""),"")</f>
        <v>Finance</v>
      </c>
      <c r="U149" s="110" t="str">
        <f>IF(tblRecruitmentPipeline[[#This Row],[REQ_DEPARTMENT]]="","No","Yes")</f>
        <v>Yes</v>
      </c>
    </row>
    <row r="150" spans="1:21">
      <c r="A150" s="100" t="s">
        <v>1371</v>
      </c>
      <c r="B150" s="101" t="s">
        <v>964</v>
      </c>
      <c r="C150" s="101" t="s">
        <v>1372</v>
      </c>
      <c r="D150" s="101" t="s">
        <v>643</v>
      </c>
      <c r="E150" s="101" t="s">
        <v>213</v>
      </c>
      <c r="F150" s="102">
        <v>46056</v>
      </c>
      <c r="G150" s="83" t="s">
        <v>393</v>
      </c>
      <c r="H150" s="102">
        <v>46066</v>
      </c>
      <c r="I150" s="101" t="s">
        <v>192</v>
      </c>
      <c r="J150" s="101" t="s">
        <v>1030</v>
      </c>
      <c r="K150" s="102"/>
      <c r="L150" s="83" t="s">
        <v>404</v>
      </c>
      <c r="M150" s="102"/>
      <c r="N150" s="101"/>
      <c r="O150" s="101"/>
      <c r="P150" s="83">
        <f t="shared" ca="1" si="8"/>
        <v>89</v>
      </c>
      <c r="Q150" s="83" t="str">
        <f t="shared" ca="1" si="9"/>
        <v>Stale</v>
      </c>
      <c r="R150" s="83" t="str">
        <f t="shared" ca="1" si="10"/>
        <v>Delayed</v>
      </c>
      <c r="S150" s="83" t="str">
        <f t="shared" si="11"/>
        <v/>
      </c>
      <c r="T150" s="101" t="str">
        <f>IFERROR(_xlfn.XLOOKUP(tblRecruitmentPipeline[[#This Row],[REQ_ID]],tblRequisitions[REQ_ID],tblRequisitions[DEPARTMENT],""),"")</f>
        <v>Finance</v>
      </c>
      <c r="U150" s="110" t="str">
        <f>IF(tblRecruitmentPipeline[[#This Row],[REQ_DEPARTMENT]]="","No","Yes")</f>
        <v>Yes</v>
      </c>
    </row>
    <row r="151" spans="1:21">
      <c r="A151" s="100" t="s">
        <v>1373</v>
      </c>
      <c r="B151" s="101" t="s">
        <v>964</v>
      </c>
      <c r="C151" s="101" t="s">
        <v>1374</v>
      </c>
      <c r="D151" s="101" t="s">
        <v>1375</v>
      </c>
      <c r="E151" s="101" t="s">
        <v>213</v>
      </c>
      <c r="F151" s="102">
        <v>46041</v>
      </c>
      <c r="G151" s="83" t="s">
        <v>382</v>
      </c>
      <c r="H151" s="102">
        <v>46062</v>
      </c>
      <c r="I151" s="101" t="s">
        <v>192</v>
      </c>
      <c r="J151" s="101" t="s">
        <v>1030</v>
      </c>
      <c r="K151" s="102"/>
      <c r="L151" s="83" t="s">
        <v>404</v>
      </c>
      <c r="M151" s="102"/>
      <c r="N151" s="101"/>
      <c r="O151" s="101"/>
      <c r="P151" s="83">
        <f t="shared" ca="1" si="8"/>
        <v>104</v>
      </c>
      <c r="Q151" s="83" t="str">
        <f t="shared" ca="1" si="9"/>
        <v>Stale</v>
      </c>
      <c r="R151" s="83" t="str">
        <f t="shared" ca="1" si="10"/>
        <v>Delayed</v>
      </c>
      <c r="S151" s="83" t="str">
        <f t="shared" si="11"/>
        <v/>
      </c>
      <c r="T151" s="101" t="str">
        <f>IFERROR(_xlfn.XLOOKUP(tblRecruitmentPipeline[[#This Row],[REQ_ID]],tblRequisitions[REQ_ID],tblRequisitions[DEPARTMENT],""),"")</f>
        <v>Finance</v>
      </c>
      <c r="U151" s="110" t="str">
        <f>IF(tblRecruitmentPipeline[[#This Row],[REQ_DEPARTMENT]]="","No","Yes")</f>
        <v>Yes</v>
      </c>
    </row>
    <row r="152" spans="1:21">
      <c r="A152" s="100" t="s">
        <v>1376</v>
      </c>
      <c r="B152" s="101" t="s">
        <v>965</v>
      </c>
      <c r="C152" s="101" t="s">
        <v>1377</v>
      </c>
      <c r="D152" s="101" t="s">
        <v>500</v>
      </c>
      <c r="E152" s="101" t="s">
        <v>213</v>
      </c>
      <c r="F152" s="102">
        <v>46135</v>
      </c>
      <c r="G152" s="83" t="s">
        <v>413</v>
      </c>
      <c r="H152" s="102">
        <v>46148</v>
      </c>
      <c r="I152" s="101" t="s">
        <v>940</v>
      </c>
      <c r="J152" s="101" t="s">
        <v>227</v>
      </c>
      <c r="K152" s="102"/>
      <c r="L152" s="83" t="s">
        <v>404</v>
      </c>
      <c r="M152" s="102"/>
      <c r="N152" s="101" t="s">
        <v>1078</v>
      </c>
      <c r="O152" s="101"/>
      <c r="P152" s="83">
        <f t="shared" ca="1" si="8"/>
        <v>13</v>
      </c>
      <c r="Q152" s="83" t="str">
        <f t="shared" si="9"/>
        <v>Closed</v>
      </c>
      <c r="R152" s="83" t="str">
        <f t="shared" si="10"/>
        <v>Closed</v>
      </c>
      <c r="S152" s="83" t="str">
        <f t="shared" si="11"/>
        <v/>
      </c>
      <c r="T152" s="101" t="str">
        <f>IFERROR(_xlfn.XLOOKUP(tblRecruitmentPipeline[[#This Row],[REQ_ID]],tblRequisitions[REQ_ID],tblRequisitions[DEPARTMENT],""),"")</f>
        <v>Loan Processing</v>
      </c>
      <c r="U152" s="110" t="str">
        <f>IF(tblRecruitmentPipeline[[#This Row],[REQ_DEPARTMENT]]="","No","Yes")</f>
        <v>Yes</v>
      </c>
    </row>
    <row r="153" spans="1:21">
      <c r="A153" s="100" t="s">
        <v>1378</v>
      </c>
      <c r="B153" s="101" t="s">
        <v>965</v>
      </c>
      <c r="C153" s="101" t="s">
        <v>1379</v>
      </c>
      <c r="D153" s="101" t="s">
        <v>1380</v>
      </c>
      <c r="E153" s="101" t="s">
        <v>414</v>
      </c>
      <c r="F153" s="102">
        <v>46134</v>
      </c>
      <c r="G153" s="83" t="s">
        <v>372</v>
      </c>
      <c r="H153" s="102">
        <v>46172</v>
      </c>
      <c r="I153" s="101" t="s">
        <v>940</v>
      </c>
      <c r="J153" s="101" t="s">
        <v>1030</v>
      </c>
      <c r="K153" s="102"/>
      <c r="L153" s="83" t="s">
        <v>404</v>
      </c>
      <c r="M153" s="102"/>
      <c r="N153" s="101"/>
      <c r="O153" s="101"/>
      <c r="P153" s="83">
        <f t="shared" ca="1" si="8"/>
        <v>11</v>
      </c>
      <c r="Q153" s="83" t="str">
        <f t="shared" ca="1" si="9"/>
        <v>Active</v>
      </c>
      <c r="R153" s="83" t="str">
        <f t="shared" ca="1" si="10"/>
        <v>On Track</v>
      </c>
      <c r="S153" s="83" t="str">
        <f t="shared" si="11"/>
        <v/>
      </c>
      <c r="T153" s="101" t="str">
        <f>IFERROR(_xlfn.XLOOKUP(tblRecruitmentPipeline[[#This Row],[REQ_ID]],tblRequisitions[REQ_ID],tblRequisitions[DEPARTMENT],""),"")</f>
        <v>Loan Processing</v>
      </c>
      <c r="U153" s="110" t="str">
        <f>IF(tblRecruitmentPipeline[[#This Row],[REQ_DEPARTMENT]]="","No","Yes")</f>
        <v>Yes</v>
      </c>
    </row>
    <row r="154" spans="1:21">
      <c r="A154" s="100" t="s">
        <v>1381</v>
      </c>
      <c r="B154" s="101" t="s">
        <v>965</v>
      </c>
      <c r="C154" s="101" t="s">
        <v>1382</v>
      </c>
      <c r="D154" s="101" t="s">
        <v>875</v>
      </c>
      <c r="E154" s="101" t="s">
        <v>414</v>
      </c>
      <c r="F154" s="102">
        <v>46136</v>
      </c>
      <c r="G154" s="83" t="s">
        <v>393</v>
      </c>
      <c r="H154" s="102">
        <v>46165</v>
      </c>
      <c r="I154" s="101" t="s">
        <v>940</v>
      </c>
      <c r="J154" s="101" t="s">
        <v>1030</v>
      </c>
      <c r="K154" s="102"/>
      <c r="L154" s="83" t="s">
        <v>404</v>
      </c>
      <c r="M154" s="102"/>
      <c r="N154" s="101"/>
      <c r="O154" s="101"/>
      <c r="P154" s="83">
        <f t="shared" ca="1" si="8"/>
        <v>9</v>
      </c>
      <c r="Q154" s="83" t="str">
        <f t="shared" ca="1" si="9"/>
        <v>Active</v>
      </c>
      <c r="R154" s="83" t="str">
        <f t="shared" ca="1" si="10"/>
        <v>On Track</v>
      </c>
      <c r="S154" s="83" t="str">
        <f t="shared" si="11"/>
        <v/>
      </c>
      <c r="T154" s="101" t="str">
        <f>IFERROR(_xlfn.XLOOKUP(tblRecruitmentPipeline[[#This Row],[REQ_ID]],tblRequisitions[REQ_ID],tblRequisitions[DEPARTMENT],""),"")</f>
        <v>Loan Processing</v>
      </c>
      <c r="U154" s="110" t="str">
        <f>IF(tblRecruitmentPipeline[[#This Row],[REQ_DEPARTMENT]]="","No","Yes")</f>
        <v>Yes</v>
      </c>
    </row>
    <row r="155" spans="1:21">
      <c r="A155" s="100" t="s">
        <v>1383</v>
      </c>
      <c r="B155" s="101" t="s">
        <v>965</v>
      </c>
      <c r="C155" s="101" t="s">
        <v>1384</v>
      </c>
      <c r="D155" s="101" t="s">
        <v>659</v>
      </c>
      <c r="E155" s="101" t="s">
        <v>261</v>
      </c>
      <c r="F155" s="102">
        <v>46115</v>
      </c>
      <c r="G155" s="83" t="s">
        <v>409</v>
      </c>
      <c r="H155" s="102">
        <v>46157</v>
      </c>
      <c r="I155" s="101" t="s">
        <v>940</v>
      </c>
      <c r="J155" s="101" t="s">
        <v>227</v>
      </c>
      <c r="K155" s="102">
        <v>46153</v>
      </c>
      <c r="L155" s="83" t="s">
        <v>323</v>
      </c>
      <c r="M155" s="102"/>
      <c r="N155" s="101"/>
      <c r="O155" s="101"/>
      <c r="P155" s="83">
        <f t="shared" ca="1" si="8"/>
        <v>30</v>
      </c>
      <c r="Q155" s="83" t="str">
        <f t="shared" ca="1" si="9"/>
        <v>Active</v>
      </c>
      <c r="R155" s="83" t="str">
        <f t="shared" ca="1" si="10"/>
        <v>At Risk</v>
      </c>
      <c r="S155" s="83" t="str">
        <f t="shared" si="11"/>
        <v/>
      </c>
      <c r="T155" s="101" t="str">
        <f>IFERROR(_xlfn.XLOOKUP(tblRecruitmentPipeline[[#This Row],[REQ_ID]],tblRequisitions[REQ_ID],tblRequisitions[DEPARTMENT],""),"")</f>
        <v>Loan Processing</v>
      </c>
      <c r="U155" s="110" t="str">
        <f>IF(tblRecruitmentPipeline[[#This Row],[REQ_DEPARTMENT]]="","No","Yes")</f>
        <v>Yes</v>
      </c>
    </row>
    <row r="156" spans="1:21">
      <c r="A156" s="100" t="s">
        <v>1385</v>
      </c>
      <c r="B156" s="101" t="s">
        <v>965</v>
      </c>
      <c r="C156" s="101" t="s">
        <v>1386</v>
      </c>
      <c r="D156" s="101" t="s">
        <v>795</v>
      </c>
      <c r="E156" s="101" t="s">
        <v>375</v>
      </c>
      <c r="F156" s="102">
        <v>46124</v>
      </c>
      <c r="G156" s="83" t="s">
        <v>393</v>
      </c>
      <c r="H156" s="102">
        <v>46170</v>
      </c>
      <c r="I156" s="101" t="s">
        <v>940</v>
      </c>
      <c r="J156" s="101" t="s">
        <v>227</v>
      </c>
      <c r="K156" s="102"/>
      <c r="L156" s="83" t="s">
        <v>404</v>
      </c>
      <c r="M156" s="102"/>
      <c r="N156" s="101"/>
      <c r="O156" s="101"/>
      <c r="P156" s="83">
        <f t="shared" ca="1" si="8"/>
        <v>21</v>
      </c>
      <c r="Q156" s="83" t="str">
        <f t="shared" ca="1" si="9"/>
        <v>Active</v>
      </c>
      <c r="R156" s="83" t="str">
        <f t="shared" ca="1" si="10"/>
        <v>At Risk</v>
      </c>
      <c r="S156" s="83" t="str">
        <f t="shared" si="11"/>
        <v/>
      </c>
      <c r="T156" s="101" t="str">
        <f>IFERROR(_xlfn.XLOOKUP(tblRecruitmentPipeline[[#This Row],[REQ_ID]],tblRequisitions[REQ_ID],tblRequisitions[DEPARTMENT],""),"")</f>
        <v>Loan Processing</v>
      </c>
      <c r="U156" s="110" t="str">
        <f>IF(tblRecruitmentPipeline[[#This Row],[REQ_DEPARTMENT]]="","No","Yes")</f>
        <v>Yes</v>
      </c>
    </row>
    <row r="157" spans="1:21">
      <c r="A157" s="100" t="s">
        <v>1387</v>
      </c>
      <c r="B157" s="101" t="s">
        <v>965</v>
      </c>
      <c r="C157" s="101" t="s">
        <v>1388</v>
      </c>
      <c r="D157" s="101" t="s">
        <v>878</v>
      </c>
      <c r="E157" s="101" t="s">
        <v>384</v>
      </c>
      <c r="F157" s="102">
        <v>46140</v>
      </c>
      <c r="G157" s="83" t="s">
        <v>418</v>
      </c>
      <c r="H157" s="102">
        <v>46190</v>
      </c>
      <c r="I157" s="101" t="s">
        <v>940</v>
      </c>
      <c r="J157" s="101" t="s">
        <v>36</v>
      </c>
      <c r="K157" s="102"/>
      <c r="L157" s="83" t="s">
        <v>404</v>
      </c>
      <c r="M157" s="102"/>
      <c r="N157" s="101"/>
      <c r="O157" s="101" t="s">
        <v>1183</v>
      </c>
      <c r="P157" s="83">
        <f t="shared" ca="1" si="8"/>
        <v>50</v>
      </c>
      <c r="Q157" s="83" t="str">
        <f t="shared" si="9"/>
        <v>Closed</v>
      </c>
      <c r="R157" s="83" t="str">
        <f t="shared" si="10"/>
        <v>Closed</v>
      </c>
      <c r="S157" s="83" t="str">
        <f t="shared" si="11"/>
        <v/>
      </c>
      <c r="T157" s="101" t="str">
        <f>IFERROR(_xlfn.XLOOKUP(tblRecruitmentPipeline[[#This Row],[REQ_ID]],tblRequisitions[REQ_ID],tblRequisitions[DEPARTMENT],""),"")</f>
        <v>Loan Processing</v>
      </c>
      <c r="U157" s="110" t="str">
        <f>IF(tblRecruitmentPipeline[[#This Row],[REQ_DEPARTMENT]]="","No","Yes")</f>
        <v>Yes</v>
      </c>
    </row>
    <row r="158" spans="1:21">
      <c r="A158" s="100" t="s">
        <v>1389</v>
      </c>
      <c r="B158" s="101" t="s">
        <v>965</v>
      </c>
      <c r="C158" s="101" t="s">
        <v>1390</v>
      </c>
      <c r="D158" s="101" t="s">
        <v>763</v>
      </c>
      <c r="E158" s="101" t="s">
        <v>403</v>
      </c>
      <c r="F158" s="102">
        <v>46133</v>
      </c>
      <c r="G158" s="83" t="s">
        <v>413</v>
      </c>
      <c r="H158" s="102">
        <v>46144</v>
      </c>
      <c r="I158" s="101" t="s">
        <v>940</v>
      </c>
      <c r="J158" s="101" t="s">
        <v>227</v>
      </c>
      <c r="K158" s="102"/>
      <c r="L158" s="83" t="s">
        <v>404</v>
      </c>
      <c r="M158" s="102"/>
      <c r="N158" s="101" t="s">
        <v>1075</v>
      </c>
      <c r="O158" s="101"/>
      <c r="P158" s="83">
        <f t="shared" ca="1" si="8"/>
        <v>11</v>
      </c>
      <c r="Q158" s="83" t="str">
        <f t="shared" si="9"/>
        <v>Closed</v>
      </c>
      <c r="R158" s="83" t="str">
        <f t="shared" si="10"/>
        <v>Closed</v>
      </c>
      <c r="S158" s="83" t="str">
        <f t="shared" si="11"/>
        <v/>
      </c>
      <c r="T158" s="101" t="str">
        <f>IFERROR(_xlfn.XLOOKUP(tblRecruitmentPipeline[[#This Row],[REQ_ID]],tblRequisitions[REQ_ID],tblRequisitions[DEPARTMENT],""),"")</f>
        <v>Loan Processing</v>
      </c>
      <c r="U158" s="110" t="str">
        <f>IF(tblRecruitmentPipeline[[#This Row],[REQ_DEPARTMENT]]="","No","Yes")</f>
        <v>Yes</v>
      </c>
    </row>
    <row r="159" spans="1:21">
      <c r="A159" s="100" t="s">
        <v>1391</v>
      </c>
      <c r="B159" s="101" t="s">
        <v>965</v>
      </c>
      <c r="C159" s="101" t="s">
        <v>1392</v>
      </c>
      <c r="D159" s="101" t="s">
        <v>1375</v>
      </c>
      <c r="E159" s="101" t="s">
        <v>213</v>
      </c>
      <c r="F159" s="102">
        <v>46118</v>
      </c>
      <c r="G159" s="83" t="s">
        <v>401</v>
      </c>
      <c r="H159" s="102">
        <v>46136</v>
      </c>
      <c r="I159" s="101" t="s">
        <v>940</v>
      </c>
      <c r="J159" s="101" t="s">
        <v>36</v>
      </c>
      <c r="K159" s="102"/>
      <c r="L159" s="83" t="s">
        <v>404</v>
      </c>
      <c r="M159" s="102"/>
      <c r="N159" s="101"/>
      <c r="O159" s="101"/>
      <c r="P159" s="83">
        <f t="shared" ca="1" si="8"/>
        <v>27</v>
      </c>
      <c r="Q159" s="83" t="str">
        <f t="shared" ca="1" si="9"/>
        <v>Active</v>
      </c>
      <c r="R159" s="83" t="str">
        <f t="shared" ca="1" si="10"/>
        <v>At Risk</v>
      </c>
      <c r="S159" s="83" t="str">
        <f t="shared" si="11"/>
        <v/>
      </c>
      <c r="T159" s="101" t="str">
        <f>IFERROR(_xlfn.XLOOKUP(tblRecruitmentPipeline[[#This Row],[REQ_ID]],tblRequisitions[REQ_ID],tblRequisitions[DEPARTMENT],""),"")</f>
        <v>Loan Processing</v>
      </c>
      <c r="U159" s="110" t="str">
        <f>IF(tblRecruitmentPipeline[[#This Row],[REQ_DEPARTMENT]]="","No","Yes")</f>
        <v>Yes</v>
      </c>
    </row>
    <row r="160" spans="1:21">
      <c r="A160" s="100" t="s">
        <v>1393</v>
      </c>
      <c r="B160" s="101" t="s">
        <v>966</v>
      </c>
      <c r="C160" s="101" t="s">
        <v>1394</v>
      </c>
      <c r="D160" s="101" t="s">
        <v>1395</v>
      </c>
      <c r="E160" s="101" t="s">
        <v>412</v>
      </c>
      <c r="F160" s="102">
        <v>45715</v>
      </c>
      <c r="G160" s="83" t="s">
        <v>219</v>
      </c>
      <c r="H160" s="102">
        <v>45747</v>
      </c>
      <c r="I160" s="101" t="s">
        <v>192</v>
      </c>
      <c r="J160" s="101" t="s">
        <v>227</v>
      </c>
      <c r="K160" s="102">
        <v>45742</v>
      </c>
      <c r="L160" s="83" t="s">
        <v>231</v>
      </c>
      <c r="M160" s="102">
        <v>45752</v>
      </c>
      <c r="N160" s="101"/>
      <c r="O160" s="101"/>
      <c r="P160" s="83">
        <f t="shared" ca="1" si="8"/>
        <v>37</v>
      </c>
      <c r="Q160" s="83" t="str">
        <f t="shared" si="9"/>
        <v>Closed</v>
      </c>
      <c r="R160" s="83" t="str">
        <f t="shared" si="10"/>
        <v>Closed</v>
      </c>
      <c r="S160" s="83">
        <f t="shared" si="11"/>
        <v>37</v>
      </c>
      <c r="T160" s="101" t="str">
        <f>IFERROR(_xlfn.XLOOKUP(tblRecruitmentPipeline[[#This Row],[REQ_ID]],tblRequisitions[REQ_ID],tblRequisitions[DEPARTMENT],""),"")</f>
        <v>Finance</v>
      </c>
      <c r="U160" s="110" t="str">
        <f>IF(tblRecruitmentPipeline[[#This Row],[REQ_DEPARTMENT]]="","No","Yes")</f>
        <v>Yes</v>
      </c>
    </row>
    <row r="161" spans="1:21">
      <c r="A161" s="100" t="s">
        <v>1396</v>
      </c>
      <c r="B161" s="101" t="s">
        <v>966</v>
      </c>
      <c r="C161" s="101" t="s">
        <v>1397</v>
      </c>
      <c r="D161" s="101" t="s">
        <v>719</v>
      </c>
      <c r="E161" s="101" t="s">
        <v>384</v>
      </c>
      <c r="F161" s="102">
        <v>45719</v>
      </c>
      <c r="G161" s="83" t="s">
        <v>401</v>
      </c>
      <c r="H161" s="102">
        <v>45768</v>
      </c>
      <c r="I161" s="101" t="s">
        <v>192</v>
      </c>
      <c r="J161" s="101" t="s">
        <v>1030</v>
      </c>
      <c r="K161" s="102"/>
      <c r="L161" s="83" t="s">
        <v>404</v>
      </c>
      <c r="M161" s="102"/>
      <c r="N161" s="101"/>
      <c r="O161" s="101"/>
      <c r="P161" s="83">
        <f t="shared" ca="1" si="8"/>
        <v>426</v>
      </c>
      <c r="Q161" s="83" t="str">
        <f t="shared" ca="1" si="9"/>
        <v>Stale</v>
      </c>
      <c r="R161" s="83" t="str">
        <f t="shared" ca="1" si="10"/>
        <v>Delayed</v>
      </c>
      <c r="S161" s="83" t="str">
        <f t="shared" si="11"/>
        <v/>
      </c>
      <c r="T161" s="101" t="str">
        <f>IFERROR(_xlfn.XLOOKUP(tblRecruitmentPipeline[[#This Row],[REQ_ID]],tblRequisitions[REQ_ID],tblRequisitions[DEPARTMENT],""),"")</f>
        <v>Finance</v>
      </c>
      <c r="U161" s="110" t="str">
        <f>IF(tblRecruitmentPipeline[[#This Row],[REQ_DEPARTMENT]]="","No","Yes")</f>
        <v>Yes</v>
      </c>
    </row>
    <row r="162" spans="1:21">
      <c r="A162" s="100" t="s">
        <v>1398</v>
      </c>
      <c r="B162" s="101" t="s">
        <v>966</v>
      </c>
      <c r="C162" s="101" t="s">
        <v>1399</v>
      </c>
      <c r="D162" s="101" t="s">
        <v>1400</v>
      </c>
      <c r="E162" s="101" t="s">
        <v>403</v>
      </c>
      <c r="F162" s="102">
        <v>45724</v>
      </c>
      <c r="G162" s="83" t="s">
        <v>413</v>
      </c>
      <c r="H162" s="102">
        <v>45746</v>
      </c>
      <c r="I162" s="101" t="s">
        <v>192</v>
      </c>
      <c r="J162" s="101" t="s">
        <v>36</v>
      </c>
      <c r="K162" s="102"/>
      <c r="L162" s="83" t="s">
        <v>404</v>
      </c>
      <c r="M162" s="102"/>
      <c r="N162" s="101" t="s">
        <v>1027</v>
      </c>
      <c r="O162" s="101"/>
      <c r="P162" s="83">
        <f t="shared" ca="1" si="8"/>
        <v>22</v>
      </c>
      <c r="Q162" s="83" t="str">
        <f t="shared" si="9"/>
        <v>Closed</v>
      </c>
      <c r="R162" s="83" t="str">
        <f t="shared" si="10"/>
        <v>Closed</v>
      </c>
      <c r="S162" s="83" t="str">
        <f t="shared" si="11"/>
        <v/>
      </c>
      <c r="T162" s="101" t="str">
        <f>IFERROR(_xlfn.XLOOKUP(tblRecruitmentPipeline[[#This Row],[REQ_ID]],tblRequisitions[REQ_ID],tblRequisitions[DEPARTMENT],""),"")</f>
        <v>Finance</v>
      </c>
      <c r="U162" s="110" t="str">
        <f>IF(tblRecruitmentPipeline[[#This Row],[REQ_DEPARTMENT]]="","No","Yes")</f>
        <v>Yes</v>
      </c>
    </row>
    <row r="163" spans="1:21">
      <c r="A163" s="100" t="s">
        <v>1401</v>
      </c>
      <c r="B163" s="101" t="s">
        <v>966</v>
      </c>
      <c r="C163" s="101" t="s">
        <v>1402</v>
      </c>
      <c r="D163" s="101" t="s">
        <v>1403</v>
      </c>
      <c r="E163" s="101" t="s">
        <v>414</v>
      </c>
      <c r="F163" s="102">
        <v>45729</v>
      </c>
      <c r="G163" s="83" t="s">
        <v>382</v>
      </c>
      <c r="H163" s="102">
        <v>45753</v>
      </c>
      <c r="I163" s="101" t="s">
        <v>192</v>
      </c>
      <c r="J163" s="101" t="s">
        <v>36</v>
      </c>
      <c r="K163" s="102"/>
      <c r="L163" s="83" t="s">
        <v>404</v>
      </c>
      <c r="M163" s="102"/>
      <c r="N163" s="101"/>
      <c r="O163" s="101"/>
      <c r="P163" s="83">
        <f t="shared" ca="1" si="8"/>
        <v>416</v>
      </c>
      <c r="Q163" s="83" t="str">
        <f t="shared" ca="1" si="9"/>
        <v>Stale</v>
      </c>
      <c r="R163" s="83" t="str">
        <f t="shared" ca="1" si="10"/>
        <v>Delayed</v>
      </c>
      <c r="S163" s="83" t="str">
        <f t="shared" si="11"/>
        <v/>
      </c>
      <c r="T163" s="101" t="str">
        <f>IFERROR(_xlfn.XLOOKUP(tblRecruitmentPipeline[[#This Row],[REQ_ID]],tblRequisitions[REQ_ID],tblRequisitions[DEPARTMENT],""),"")</f>
        <v>Finance</v>
      </c>
      <c r="U163" s="110" t="str">
        <f>IF(tblRecruitmentPipeline[[#This Row],[REQ_DEPARTMENT]]="","No","Yes")</f>
        <v>Yes</v>
      </c>
    </row>
    <row r="164" spans="1:21">
      <c r="A164" s="100" t="s">
        <v>1404</v>
      </c>
      <c r="B164" s="101" t="s">
        <v>966</v>
      </c>
      <c r="C164" s="101" t="s">
        <v>1405</v>
      </c>
      <c r="D164" s="101" t="s">
        <v>498</v>
      </c>
      <c r="E164" s="101" t="s">
        <v>403</v>
      </c>
      <c r="F164" s="102">
        <v>45717</v>
      </c>
      <c r="G164" s="83" t="s">
        <v>418</v>
      </c>
      <c r="H164" s="102">
        <v>45758</v>
      </c>
      <c r="I164" s="101" t="s">
        <v>192</v>
      </c>
      <c r="J164" s="101" t="s">
        <v>1030</v>
      </c>
      <c r="K164" s="102"/>
      <c r="L164" s="83" t="s">
        <v>404</v>
      </c>
      <c r="M164" s="102"/>
      <c r="N164" s="101"/>
      <c r="O164" s="101" t="s">
        <v>1406</v>
      </c>
      <c r="P164" s="83">
        <f t="shared" ca="1" si="8"/>
        <v>41</v>
      </c>
      <c r="Q164" s="83" t="str">
        <f t="shared" si="9"/>
        <v>Closed</v>
      </c>
      <c r="R164" s="83" t="str">
        <f t="shared" si="10"/>
        <v>Closed</v>
      </c>
      <c r="S164" s="83" t="str">
        <f t="shared" si="11"/>
        <v/>
      </c>
      <c r="T164" s="101" t="str">
        <f>IFERROR(_xlfn.XLOOKUP(tblRecruitmentPipeline[[#This Row],[REQ_ID]],tblRequisitions[REQ_ID],tblRequisitions[DEPARTMENT],""),"")</f>
        <v>Finance</v>
      </c>
      <c r="U164" s="110" t="str">
        <f>IF(tblRecruitmentPipeline[[#This Row],[REQ_DEPARTMENT]]="","No","Yes")</f>
        <v>Yes</v>
      </c>
    </row>
    <row r="165" spans="1:21">
      <c r="A165" s="100" t="s">
        <v>1407</v>
      </c>
      <c r="B165" s="101" t="s">
        <v>966</v>
      </c>
      <c r="C165" s="101" t="s">
        <v>1408</v>
      </c>
      <c r="D165" s="101" t="s">
        <v>682</v>
      </c>
      <c r="E165" s="101" t="s">
        <v>375</v>
      </c>
      <c r="F165" s="102">
        <v>45721</v>
      </c>
      <c r="G165" s="83" t="s">
        <v>382</v>
      </c>
      <c r="H165" s="102">
        <v>45746</v>
      </c>
      <c r="I165" s="101" t="s">
        <v>192</v>
      </c>
      <c r="J165" s="101" t="s">
        <v>227</v>
      </c>
      <c r="K165" s="102"/>
      <c r="L165" s="83" t="s">
        <v>404</v>
      </c>
      <c r="M165" s="102"/>
      <c r="N165" s="101"/>
      <c r="O165" s="101"/>
      <c r="P165" s="83">
        <f t="shared" ca="1" si="8"/>
        <v>424</v>
      </c>
      <c r="Q165" s="83" t="str">
        <f t="shared" ca="1" si="9"/>
        <v>Stale</v>
      </c>
      <c r="R165" s="83" t="str">
        <f t="shared" ca="1" si="10"/>
        <v>Delayed</v>
      </c>
      <c r="S165" s="83" t="str">
        <f t="shared" si="11"/>
        <v/>
      </c>
      <c r="T165" s="101" t="str">
        <f>IFERROR(_xlfn.XLOOKUP(tblRecruitmentPipeline[[#This Row],[REQ_ID]],tblRequisitions[REQ_ID],tblRequisitions[DEPARTMENT],""),"")</f>
        <v>Finance</v>
      </c>
      <c r="U165" s="110" t="str">
        <f>IF(tblRecruitmentPipeline[[#This Row],[REQ_DEPARTMENT]]="","No","Yes")</f>
        <v>Yes</v>
      </c>
    </row>
    <row r="166" spans="1:21">
      <c r="A166" s="100" t="s">
        <v>1409</v>
      </c>
      <c r="B166" s="101" t="s">
        <v>966</v>
      </c>
      <c r="C166" s="101" t="s">
        <v>1410</v>
      </c>
      <c r="D166" s="101" t="s">
        <v>1411</v>
      </c>
      <c r="E166" s="101" t="s">
        <v>375</v>
      </c>
      <c r="F166" s="102">
        <v>45710</v>
      </c>
      <c r="G166" s="83" t="s">
        <v>382</v>
      </c>
      <c r="H166" s="102">
        <v>45751</v>
      </c>
      <c r="I166" s="101" t="s">
        <v>192</v>
      </c>
      <c r="J166" s="101" t="s">
        <v>36</v>
      </c>
      <c r="K166" s="102"/>
      <c r="L166" s="83" t="s">
        <v>404</v>
      </c>
      <c r="M166" s="102"/>
      <c r="N166" s="101"/>
      <c r="O166" s="101"/>
      <c r="P166" s="83">
        <f t="shared" ca="1" si="8"/>
        <v>435</v>
      </c>
      <c r="Q166" s="83" t="str">
        <f t="shared" ca="1" si="9"/>
        <v>Stale</v>
      </c>
      <c r="R166" s="83" t="str">
        <f t="shared" ca="1" si="10"/>
        <v>Delayed</v>
      </c>
      <c r="S166" s="83" t="str">
        <f t="shared" si="11"/>
        <v/>
      </c>
      <c r="T166" s="101" t="str">
        <f>IFERROR(_xlfn.XLOOKUP(tblRecruitmentPipeline[[#This Row],[REQ_ID]],tblRequisitions[REQ_ID],tblRequisitions[DEPARTMENT],""),"")</f>
        <v>Finance</v>
      </c>
      <c r="U166" s="110" t="str">
        <f>IF(tblRecruitmentPipeline[[#This Row],[REQ_DEPARTMENT]]="","No","Yes")</f>
        <v>Yes</v>
      </c>
    </row>
    <row r="167" spans="1:21">
      <c r="A167" s="100" t="s">
        <v>1412</v>
      </c>
      <c r="B167" s="101" t="s">
        <v>966</v>
      </c>
      <c r="C167" s="101" t="s">
        <v>1413</v>
      </c>
      <c r="D167" s="101" t="s">
        <v>1414</v>
      </c>
      <c r="E167" s="101" t="s">
        <v>384</v>
      </c>
      <c r="F167" s="102">
        <v>45714</v>
      </c>
      <c r="G167" s="83" t="s">
        <v>393</v>
      </c>
      <c r="H167" s="102">
        <v>45746</v>
      </c>
      <c r="I167" s="101" t="s">
        <v>192</v>
      </c>
      <c r="J167" s="101" t="s">
        <v>227</v>
      </c>
      <c r="K167" s="102"/>
      <c r="L167" s="83" t="s">
        <v>404</v>
      </c>
      <c r="M167" s="102"/>
      <c r="N167" s="101"/>
      <c r="O167" s="101"/>
      <c r="P167" s="83">
        <f t="shared" ca="1" si="8"/>
        <v>431</v>
      </c>
      <c r="Q167" s="83" t="str">
        <f t="shared" ca="1" si="9"/>
        <v>Stale</v>
      </c>
      <c r="R167" s="83" t="str">
        <f t="shared" ca="1" si="10"/>
        <v>Delayed</v>
      </c>
      <c r="S167" s="83" t="str">
        <f t="shared" si="11"/>
        <v/>
      </c>
      <c r="T167" s="101" t="str">
        <f>IFERROR(_xlfn.XLOOKUP(tblRecruitmentPipeline[[#This Row],[REQ_ID]],tblRequisitions[REQ_ID],tblRequisitions[DEPARTMENT],""),"")</f>
        <v>Finance</v>
      </c>
      <c r="U167" s="110" t="str">
        <f>IF(tblRecruitmentPipeline[[#This Row],[REQ_DEPARTMENT]]="","No","Yes")</f>
        <v>Yes</v>
      </c>
    </row>
    <row r="168" spans="1:21">
      <c r="A168" s="100" t="s">
        <v>1415</v>
      </c>
      <c r="B168" s="101" t="s">
        <v>966</v>
      </c>
      <c r="C168" s="101" t="s">
        <v>1416</v>
      </c>
      <c r="D168" s="101" t="s">
        <v>855</v>
      </c>
      <c r="E168" s="101" t="s">
        <v>213</v>
      </c>
      <c r="F168" s="102">
        <v>45741</v>
      </c>
      <c r="G168" s="83" t="s">
        <v>382</v>
      </c>
      <c r="H168" s="102">
        <v>45777</v>
      </c>
      <c r="I168" s="101" t="s">
        <v>192</v>
      </c>
      <c r="J168" s="101" t="s">
        <v>36</v>
      </c>
      <c r="K168" s="102"/>
      <c r="L168" s="83" t="s">
        <v>404</v>
      </c>
      <c r="M168" s="102"/>
      <c r="N168" s="101"/>
      <c r="O168" s="101"/>
      <c r="P168" s="83">
        <f t="shared" ca="1" si="8"/>
        <v>404</v>
      </c>
      <c r="Q168" s="83" t="str">
        <f t="shared" ca="1" si="9"/>
        <v>Stale</v>
      </c>
      <c r="R168" s="83" t="str">
        <f t="shared" ca="1" si="10"/>
        <v>Delayed</v>
      </c>
      <c r="S168" s="83" t="str">
        <f t="shared" si="11"/>
        <v/>
      </c>
      <c r="T168" s="101" t="str">
        <f>IFERROR(_xlfn.XLOOKUP(tblRecruitmentPipeline[[#This Row],[REQ_ID]],tblRequisitions[REQ_ID],tblRequisitions[DEPARTMENT],""),"")</f>
        <v>Finance</v>
      </c>
      <c r="U168" s="110" t="str">
        <f>IF(tblRecruitmentPipeline[[#This Row],[REQ_DEPARTMENT]]="","No","Yes")</f>
        <v>Yes</v>
      </c>
    </row>
    <row r="169" spans="1:21">
      <c r="A169" s="100" t="s">
        <v>1417</v>
      </c>
      <c r="B169" s="101" t="s">
        <v>967</v>
      </c>
      <c r="C169" s="101" t="s">
        <v>1418</v>
      </c>
      <c r="D169" s="101" t="s">
        <v>477</v>
      </c>
      <c r="E169" s="101" t="s">
        <v>261</v>
      </c>
      <c r="F169" s="102">
        <v>45825</v>
      </c>
      <c r="G169" s="83" t="s">
        <v>219</v>
      </c>
      <c r="H169" s="102">
        <v>45869</v>
      </c>
      <c r="I169" s="101" t="s">
        <v>938</v>
      </c>
      <c r="J169" s="101" t="s">
        <v>1030</v>
      </c>
      <c r="K169" s="102">
        <v>45868</v>
      </c>
      <c r="L169" s="83" t="s">
        <v>231</v>
      </c>
      <c r="M169" s="102">
        <v>45881</v>
      </c>
      <c r="N169" s="101"/>
      <c r="O169" s="101"/>
      <c r="P169" s="83">
        <f t="shared" ca="1" si="8"/>
        <v>56</v>
      </c>
      <c r="Q169" s="83" t="str">
        <f t="shared" si="9"/>
        <v>Closed</v>
      </c>
      <c r="R169" s="83" t="str">
        <f t="shared" si="10"/>
        <v>Closed</v>
      </c>
      <c r="S169" s="83">
        <f t="shared" si="11"/>
        <v>56</v>
      </c>
      <c r="T169" s="101" t="str">
        <f>IFERROR(_xlfn.XLOOKUP(tblRecruitmentPipeline[[#This Row],[REQ_ID]],tblRequisitions[REQ_ID],tblRequisitions[DEPARTMENT],""),"")</f>
        <v>Sales &amp; Marketing</v>
      </c>
      <c r="U169" s="110" t="str">
        <f>IF(tblRecruitmentPipeline[[#This Row],[REQ_DEPARTMENT]]="","No","Yes")</f>
        <v>Yes</v>
      </c>
    </row>
    <row r="170" spans="1:21">
      <c r="A170" s="100" t="s">
        <v>1419</v>
      </c>
      <c r="B170" s="101" t="s">
        <v>967</v>
      </c>
      <c r="C170" s="101" t="s">
        <v>1420</v>
      </c>
      <c r="D170" s="101" t="s">
        <v>675</v>
      </c>
      <c r="E170" s="101" t="s">
        <v>412</v>
      </c>
      <c r="F170" s="102">
        <v>45819</v>
      </c>
      <c r="G170" s="83" t="s">
        <v>219</v>
      </c>
      <c r="H170" s="102">
        <v>45865</v>
      </c>
      <c r="I170" s="101" t="s">
        <v>938</v>
      </c>
      <c r="J170" s="101" t="s">
        <v>1030</v>
      </c>
      <c r="K170" s="102">
        <v>45860</v>
      </c>
      <c r="L170" s="83" t="s">
        <v>231</v>
      </c>
      <c r="M170" s="102">
        <v>45871</v>
      </c>
      <c r="N170" s="101"/>
      <c r="O170" s="101"/>
      <c r="P170" s="83">
        <f t="shared" ca="1" si="8"/>
        <v>52</v>
      </c>
      <c r="Q170" s="83" t="str">
        <f t="shared" si="9"/>
        <v>Closed</v>
      </c>
      <c r="R170" s="83" t="str">
        <f t="shared" si="10"/>
        <v>Closed</v>
      </c>
      <c r="S170" s="83">
        <f t="shared" si="11"/>
        <v>52</v>
      </c>
      <c r="T170" s="101" t="str">
        <f>IFERROR(_xlfn.XLOOKUP(tblRecruitmentPipeline[[#This Row],[REQ_ID]],tblRequisitions[REQ_ID],tblRequisitions[DEPARTMENT],""),"")</f>
        <v>Sales &amp; Marketing</v>
      </c>
      <c r="U170" s="110" t="str">
        <f>IF(tblRecruitmentPipeline[[#This Row],[REQ_DEPARTMENT]]="","No","Yes")</f>
        <v>Yes</v>
      </c>
    </row>
    <row r="171" spans="1:21">
      <c r="A171" s="100" t="s">
        <v>1421</v>
      </c>
      <c r="B171" s="101" t="s">
        <v>967</v>
      </c>
      <c r="C171" s="101" t="s">
        <v>1422</v>
      </c>
      <c r="D171" s="101" t="s">
        <v>1423</v>
      </c>
      <c r="E171" s="101" t="s">
        <v>414</v>
      </c>
      <c r="F171" s="102">
        <v>45820</v>
      </c>
      <c r="G171" s="83" t="s">
        <v>393</v>
      </c>
      <c r="H171" s="102">
        <v>45839</v>
      </c>
      <c r="I171" s="101" t="s">
        <v>938</v>
      </c>
      <c r="J171" s="101" t="s">
        <v>1030</v>
      </c>
      <c r="K171" s="102"/>
      <c r="L171" s="83" t="s">
        <v>404</v>
      </c>
      <c r="M171" s="102"/>
      <c r="N171" s="101"/>
      <c r="O171" s="101"/>
      <c r="P171" s="83">
        <f t="shared" ca="1" si="8"/>
        <v>325</v>
      </c>
      <c r="Q171" s="83" t="str">
        <f t="shared" ca="1" si="9"/>
        <v>Stale</v>
      </c>
      <c r="R171" s="83" t="str">
        <f t="shared" ca="1" si="10"/>
        <v>Delayed</v>
      </c>
      <c r="S171" s="83" t="str">
        <f t="shared" si="11"/>
        <v/>
      </c>
      <c r="T171" s="101" t="str">
        <f>IFERROR(_xlfn.XLOOKUP(tblRecruitmentPipeline[[#This Row],[REQ_ID]],tblRequisitions[REQ_ID],tblRequisitions[DEPARTMENT],""),"")</f>
        <v>Sales &amp; Marketing</v>
      </c>
      <c r="U171" s="110" t="str">
        <f>IF(tblRecruitmentPipeline[[#This Row],[REQ_DEPARTMENT]]="","No","Yes")</f>
        <v>Yes</v>
      </c>
    </row>
    <row r="172" spans="1:21">
      <c r="A172" s="100" t="s">
        <v>1424</v>
      </c>
      <c r="B172" s="101" t="s">
        <v>967</v>
      </c>
      <c r="C172" s="101" t="s">
        <v>1425</v>
      </c>
      <c r="D172" s="101" t="s">
        <v>1188</v>
      </c>
      <c r="E172" s="101" t="s">
        <v>403</v>
      </c>
      <c r="F172" s="102">
        <v>45817</v>
      </c>
      <c r="G172" s="83" t="s">
        <v>393</v>
      </c>
      <c r="H172" s="102">
        <v>45860</v>
      </c>
      <c r="I172" s="101" t="s">
        <v>938</v>
      </c>
      <c r="J172" s="101" t="s">
        <v>227</v>
      </c>
      <c r="K172" s="102"/>
      <c r="L172" s="83" t="s">
        <v>404</v>
      </c>
      <c r="M172" s="102"/>
      <c r="N172" s="101"/>
      <c r="O172" s="101"/>
      <c r="P172" s="83">
        <f t="shared" ca="1" si="8"/>
        <v>328</v>
      </c>
      <c r="Q172" s="83" t="str">
        <f t="shared" ca="1" si="9"/>
        <v>Stale</v>
      </c>
      <c r="R172" s="83" t="str">
        <f t="shared" ca="1" si="10"/>
        <v>Delayed</v>
      </c>
      <c r="S172" s="83" t="str">
        <f t="shared" si="11"/>
        <v/>
      </c>
      <c r="T172" s="101" t="str">
        <f>IFERROR(_xlfn.XLOOKUP(tblRecruitmentPipeline[[#This Row],[REQ_ID]],tblRequisitions[REQ_ID],tblRequisitions[DEPARTMENT],""),"")</f>
        <v>Sales &amp; Marketing</v>
      </c>
      <c r="U172" s="110" t="str">
        <f>IF(tblRecruitmentPipeline[[#This Row],[REQ_DEPARTMENT]]="","No","Yes")</f>
        <v>Yes</v>
      </c>
    </row>
    <row r="173" spans="1:21">
      <c r="A173" s="100" t="s">
        <v>1426</v>
      </c>
      <c r="B173" s="101" t="s">
        <v>967</v>
      </c>
      <c r="C173" s="101" t="s">
        <v>1427</v>
      </c>
      <c r="D173" s="101" t="s">
        <v>1196</v>
      </c>
      <c r="E173" s="101" t="s">
        <v>213</v>
      </c>
      <c r="F173" s="102">
        <v>45822</v>
      </c>
      <c r="G173" s="83" t="s">
        <v>413</v>
      </c>
      <c r="H173" s="102">
        <v>45855</v>
      </c>
      <c r="I173" s="101" t="s">
        <v>938</v>
      </c>
      <c r="J173" s="101" t="s">
        <v>36</v>
      </c>
      <c r="K173" s="102"/>
      <c r="L173" s="83" t="s">
        <v>404</v>
      </c>
      <c r="M173" s="102"/>
      <c r="N173" s="101" t="s">
        <v>1027</v>
      </c>
      <c r="O173" s="101"/>
      <c r="P173" s="83">
        <f t="shared" ca="1" si="8"/>
        <v>33</v>
      </c>
      <c r="Q173" s="83" t="str">
        <f t="shared" si="9"/>
        <v>Closed</v>
      </c>
      <c r="R173" s="83" t="str">
        <f t="shared" si="10"/>
        <v>Closed</v>
      </c>
      <c r="S173" s="83" t="str">
        <f t="shared" si="11"/>
        <v/>
      </c>
      <c r="T173" s="101" t="str">
        <f>IFERROR(_xlfn.XLOOKUP(tblRecruitmentPipeline[[#This Row],[REQ_ID]],tblRequisitions[REQ_ID],tblRequisitions[DEPARTMENT],""),"")</f>
        <v>Sales &amp; Marketing</v>
      </c>
      <c r="U173" s="110" t="str">
        <f>IF(tblRecruitmentPipeline[[#This Row],[REQ_DEPARTMENT]]="","No","Yes")</f>
        <v>Yes</v>
      </c>
    </row>
    <row r="174" spans="1:21">
      <c r="A174" s="100" t="s">
        <v>1428</v>
      </c>
      <c r="B174" s="101" t="s">
        <v>967</v>
      </c>
      <c r="C174" s="101" t="s">
        <v>1429</v>
      </c>
      <c r="D174" s="101" t="s">
        <v>602</v>
      </c>
      <c r="E174" s="101" t="s">
        <v>261</v>
      </c>
      <c r="F174" s="102">
        <v>45851</v>
      </c>
      <c r="G174" s="83" t="s">
        <v>413</v>
      </c>
      <c r="H174" s="102">
        <v>45854</v>
      </c>
      <c r="I174" s="101" t="s">
        <v>938</v>
      </c>
      <c r="J174" s="101" t="s">
        <v>36</v>
      </c>
      <c r="K174" s="102"/>
      <c r="L174" s="83" t="s">
        <v>404</v>
      </c>
      <c r="M174" s="102"/>
      <c r="N174" s="101" t="s">
        <v>1027</v>
      </c>
      <c r="O174" s="101"/>
      <c r="P174" s="83">
        <f t="shared" ca="1" si="8"/>
        <v>3</v>
      </c>
      <c r="Q174" s="83" t="str">
        <f t="shared" si="9"/>
        <v>Closed</v>
      </c>
      <c r="R174" s="83" t="str">
        <f t="shared" si="10"/>
        <v>Closed</v>
      </c>
      <c r="S174" s="83" t="str">
        <f t="shared" si="11"/>
        <v/>
      </c>
      <c r="T174" s="101" t="str">
        <f>IFERROR(_xlfn.XLOOKUP(tblRecruitmentPipeline[[#This Row],[REQ_ID]],tblRequisitions[REQ_ID],tblRequisitions[DEPARTMENT],""),"")</f>
        <v>Sales &amp; Marketing</v>
      </c>
      <c r="U174" s="110" t="str">
        <f>IF(tblRecruitmentPipeline[[#This Row],[REQ_DEPARTMENT]]="","No","Yes")</f>
        <v>Yes</v>
      </c>
    </row>
    <row r="175" spans="1:21">
      <c r="A175" s="100" t="s">
        <v>1430</v>
      </c>
      <c r="B175" s="101" t="s">
        <v>967</v>
      </c>
      <c r="C175" s="101" t="s">
        <v>1431</v>
      </c>
      <c r="D175" s="101" t="s">
        <v>1432</v>
      </c>
      <c r="E175" s="101" t="s">
        <v>412</v>
      </c>
      <c r="F175" s="102">
        <v>45841</v>
      </c>
      <c r="G175" s="83" t="s">
        <v>219</v>
      </c>
      <c r="H175" s="102">
        <v>45844</v>
      </c>
      <c r="I175" s="101" t="s">
        <v>938</v>
      </c>
      <c r="J175" s="101" t="s">
        <v>36</v>
      </c>
      <c r="K175" s="102">
        <v>45841</v>
      </c>
      <c r="L175" s="83" t="s">
        <v>231</v>
      </c>
      <c r="M175" s="102">
        <v>45858</v>
      </c>
      <c r="N175" s="101"/>
      <c r="O175" s="101"/>
      <c r="P175" s="83">
        <f t="shared" ca="1" si="8"/>
        <v>17</v>
      </c>
      <c r="Q175" s="83" t="str">
        <f t="shared" si="9"/>
        <v>Closed</v>
      </c>
      <c r="R175" s="83" t="str">
        <f t="shared" si="10"/>
        <v>Closed</v>
      </c>
      <c r="S175" s="83">
        <f t="shared" si="11"/>
        <v>17</v>
      </c>
      <c r="T175" s="101" t="str">
        <f>IFERROR(_xlfn.XLOOKUP(tblRecruitmentPipeline[[#This Row],[REQ_ID]],tblRequisitions[REQ_ID],tblRequisitions[DEPARTMENT],""),"")</f>
        <v>Sales &amp; Marketing</v>
      </c>
      <c r="U175" s="110" t="str">
        <f>IF(tblRecruitmentPipeline[[#This Row],[REQ_DEPARTMENT]]="","No","Yes")</f>
        <v>Yes</v>
      </c>
    </row>
    <row r="176" spans="1:21">
      <c r="A176" s="100" t="s">
        <v>1433</v>
      </c>
      <c r="B176" s="101" t="s">
        <v>968</v>
      </c>
      <c r="C176" s="101" t="s">
        <v>1434</v>
      </c>
      <c r="D176" s="101" t="s">
        <v>1435</v>
      </c>
      <c r="E176" s="101" t="s">
        <v>384</v>
      </c>
      <c r="F176" s="102">
        <v>45758</v>
      </c>
      <c r="G176" s="83" t="s">
        <v>219</v>
      </c>
      <c r="H176" s="102">
        <v>45763</v>
      </c>
      <c r="I176" s="101" t="s">
        <v>192</v>
      </c>
      <c r="J176" s="101" t="s">
        <v>1030</v>
      </c>
      <c r="K176" s="102">
        <v>45760</v>
      </c>
      <c r="L176" s="83" t="s">
        <v>231</v>
      </c>
      <c r="M176" s="102">
        <v>45773</v>
      </c>
      <c r="N176" s="101"/>
      <c r="O176" s="101"/>
      <c r="P176" s="83">
        <f t="shared" ca="1" si="8"/>
        <v>15</v>
      </c>
      <c r="Q176" s="83" t="str">
        <f t="shared" si="9"/>
        <v>Closed</v>
      </c>
      <c r="R176" s="83" t="str">
        <f t="shared" si="10"/>
        <v>Closed</v>
      </c>
      <c r="S176" s="83">
        <f t="shared" si="11"/>
        <v>15</v>
      </c>
      <c r="T176" s="101" t="str">
        <f>IFERROR(_xlfn.XLOOKUP(tblRecruitmentPipeline[[#This Row],[REQ_ID]],tblRequisitions[REQ_ID],tblRequisitions[DEPARTMENT],""),"")</f>
        <v>Collections</v>
      </c>
      <c r="U176" s="110" t="str">
        <f>IF(tblRecruitmentPipeline[[#This Row],[REQ_DEPARTMENT]]="","No","Yes")</f>
        <v>Yes</v>
      </c>
    </row>
    <row r="177" spans="1:21">
      <c r="A177" s="100" t="s">
        <v>1436</v>
      </c>
      <c r="B177" s="101" t="s">
        <v>968</v>
      </c>
      <c r="C177" s="101" t="s">
        <v>1437</v>
      </c>
      <c r="D177" s="101" t="s">
        <v>1375</v>
      </c>
      <c r="E177" s="101" t="s">
        <v>213</v>
      </c>
      <c r="F177" s="102">
        <v>45747</v>
      </c>
      <c r="G177" s="83" t="s">
        <v>413</v>
      </c>
      <c r="H177" s="102">
        <v>45791</v>
      </c>
      <c r="I177" s="101" t="s">
        <v>192</v>
      </c>
      <c r="J177" s="101" t="s">
        <v>227</v>
      </c>
      <c r="K177" s="102"/>
      <c r="L177" s="83" t="s">
        <v>404</v>
      </c>
      <c r="M177" s="102"/>
      <c r="N177" s="101" t="s">
        <v>1075</v>
      </c>
      <c r="O177" s="101"/>
      <c r="P177" s="83">
        <f t="shared" ca="1" si="8"/>
        <v>44</v>
      </c>
      <c r="Q177" s="83" t="str">
        <f t="shared" si="9"/>
        <v>Closed</v>
      </c>
      <c r="R177" s="83" t="str">
        <f t="shared" si="10"/>
        <v>Closed</v>
      </c>
      <c r="S177" s="83" t="str">
        <f t="shared" si="11"/>
        <v/>
      </c>
      <c r="T177" s="101" t="str">
        <f>IFERROR(_xlfn.XLOOKUP(tblRecruitmentPipeline[[#This Row],[REQ_ID]],tblRequisitions[REQ_ID],tblRequisitions[DEPARTMENT],""),"")</f>
        <v>Collections</v>
      </c>
      <c r="U177" s="110" t="str">
        <f>IF(tblRecruitmentPipeline[[#This Row],[REQ_DEPARTMENT]]="","No","Yes")</f>
        <v>Yes</v>
      </c>
    </row>
    <row r="178" spans="1:21">
      <c r="A178" s="100" t="s">
        <v>1438</v>
      </c>
      <c r="B178" s="101" t="s">
        <v>968</v>
      </c>
      <c r="C178" s="101" t="s">
        <v>1439</v>
      </c>
      <c r="D178" s="101" t="s">
        <v>1440</v>
      </c>
      <c r="E178" s="101" t="s">
        <v>261</v>
      </c>
      <c r="F178" s="102">
        <v>45740</v>
      </c>
      <c r="G178" s="83" t="s">
        <v>393</v>
      </c>
      <c r="H178" s="102">
        <v>45778</v>
      </c>
      <c r="I178" s="101" t="s">
        <v>192</v>
      </c>
      <c r="J178" s="101" t="s">
        <v>227</v>
      </c>
      <c r="K178" s="102"/>
      <c r="L178" s="83" t="s">
        <v>404</v>
      </c>
      <c r="M178" s="102"/>
      <c r="N178" s="101"/>
      <c r="O178" s="101"/>
      <c r="P178" s="83">
        <f t="shared" ca="1" si="8"/>
        <v>405</v>
      </c>
      <c r="Q178" s="83" t="str">
        <f t="shared" ca="1" si="9"/>
        <v>Stale</v>
      </c>
      <c r="R178" s="83" t="str">
        <f t="shared" ca="1" si="10"/>
        <v>Delayed</v>
      </c>
      <c r="S178" s="83" t="str">
        <f t="shared" si="11"/>
        <v/>
      </c>
      <c r="T178" s="101" t="str">
        <f>IFERROR(_xlfn.XLOOKUP(tblRecruitmentPipeline[[#This Row],[REQ_ID]],tblRequisitions[REQ_ID],tblRequisitions[DEPARTMENT],""),"")</f>
        <v>Collections</v>
      </c>
      <c r="U178" s="110" t="str">
        <f>IF(tblRecruitmentPipeline[[#This Row],[REQ_DEPARTMENT]]="","No","Yes")</f>
        <v>Yes</v>
      </c>
    </row>
    <row r="179" spans="1:21">
      <c r="A179" s="100" t="s">
        <v>1441</v>
      </c>
      <c r="B179" s="101" t="s">
        <v>968</v>
      </c>
      <c r="C179" s="101" t="s">
        <v>1442</v>
      </c>
      <c r="D179" s="101" t="s">
        <v>861</v>
      </c>
      <c r="E179" s="101" t="s">
        <v>213</v>
      </c>
      <c r="F179" s="102">
        <v>45747</v>
      </c>
      <c r="G179" s="83" t="s">
        <v>393</v>
      </c>
      <c r="H179" s="102">
        <v>45757</v>
      </c>
      <c r="I179" s="101" t="s">
        <v>192</v>
      </c>
      <c r="J179" s="101" t="s">
        <v>227</v>
      </c>
      <c r="K179" s="102"/>
      <c r="L179" s="83" t="s">
        <v>404</v>
      </c>
      <c r="M179" s="102"/>
      <c r="N179" s="101"/>
      <c r="O179" s="101"/>
      <c r="P179" s="83">
        <f t="shared" ca="1" si="8"/>
        <v>398</v>
      </c>
      <c r="Q179" s="83" t="str">
        <f t="shared" ca="1" si="9"/>
        <v>Stale</v>
      </c>
      <c r="R179" s="83" t="str">
        <f t="shared" ca="1" si="10"/>
        <v>Delayed</v>
      </c>
      <c r="S179" s="83" t="str">
        <f t="shared" si="11"/>
        <v/>
      </c>
      <c r="T179" s="101" t="str">
        <f>IFERROR(_xlfn.XLOOKUP(tblRecruitmentPipeline[[#This Row],[REQ_ID]],tblRequisitions[REQ_ID],tblRequisitions[DEPARTMENT],""),"")</f>
        <v>Collections</v>
      </c>
      <c r="U179" s="110" t="str">
        <f>IF(tblRecruitmentPipeline[[#This Row],[REQ_DEPARTMENT]]="","No","Yes")</f>
        <v>Yes</v>
      </c>
    </row>
    <row r="180" spans="1:21">
      <c r="A180" s="100" t="s">
        <v>1443</v>
      </c>
      <c r="B180" s="101" t="s">
        <v>969</v>
      </c>
      <c r="C180" s="101" t="s">
        <v>1444</v>
      </c>
      <c r="D180" s="101" t="s">
        <v>1445</v>
      </c>
      <c r="E180" s="101" t="s">
        <v>412</v>
      </c>
      <c r="F180" s="102">
        <v>45907</v>
      </c>
      <c r="G180" s="83" t="s">
        <v>219</v>
      </c>
      <c r="H180" s="102">
        <v>45928</v>
      </c>
      <c r="I180" s="101" t="s">
        <v>940</v>
      </c>
      <c r="J180" s="101" t="s">
        <v>227</v>
      </c>
      <c r="K180" s="102">
        <v>45923</v>
      </c>
      <c r="L180" s="83" t="s">
        <v>231</v>
      </c>
      <c r="M180" s="102">
        <v>45932</v>
      </c>
      <c r="N180" s="101"/>
      <c r="O180" s="101"/>
      <c r="P180" s="83">
        <f t="shared" ca="1" si="8"/>
        <v>25</v>
      </c>
      <c r="Q180" s="83" t="str">
        <f t="shared" si="9"/>
        <v>Closed</v>
      </c>
      <c r="R180" s="83" t="str">
        <f t="shared" si="10"/>
        <v>Closed</v>
      </c>
      <c r="S180" s="83">
        <f t="shared" si="11"/>
        <v>25</v>
      </c>
      <c r="T180" s="101" t="str">
        <f>IFERROR(_xlfn.XLOOKUP(tblRecruitmentPipeline[[#This Row],[REQ_ID]],tblRequisitions[REQ_ID],tblRequisitions[DEPARTMENT],""),"")</f>
        <v>Human Resources</v>
      </c>
      <c r="U180" s="110" t="str">
        <f>IF(tblRecruitmentPipeline[[#This Row],[REQ_DEPARTMENT]]="","No","Yes")</f>
        <v>Yes</v>
      </c>
    </row>
    <row r="181" spans="1:21">
      <c r="A181" s="100" t="s">
        <v>1446</v>
      </c>
      <c r="B181" s="101" t="s">
        <v>969</v>
      </c>
      <c r="C181" s="101" t="s">
        <v>1447</v>
      </c>
      <c r="D181" s="101" t="s">
        <v>621</v>
      </c>
      <c r="E181" s="101" t="s">
        <v>384</v>
      </c>
      <c r="F181" s="102">
        <v>45905</v>
      </c>
      <c r="G181" s="83" t="s">
        <v>393</v>
      </c>
      <c r="H181" s="102">
        <v>45942</v>
      </c>
      <c r="I181" s="101" t="s">
        <v>940</v>
      </c>
      <c r="J181" s="101" t="s">
        <v>36</v>
      </c>
      <c r="K181" s="102"/>
      <c r="L181" s="83" t="s">
        <v>404</v>
      </c>
      <c r="M181" s="102"/>
      <c r="N181" s="101"/>
      <c r="O181" s="101"/>
      <c r="P181" s="83">
        <f t="shared" ca="1" si="8"/>
        <v>240</v>
      </c>
      <c r="Q181" s="83" t="str">
        <f t="shared" ca="1" si="9"/>
        <v>Stale</v>
      </c>
      <c r="R181" s="83" t="str">
        <f t="shared" ca="1" si="10"/>
        <v>Delayed</v>
      </c>
      <c r="S181" s="83" t="str">
        <f t="shared" si="11"/>
        <v/>
      </c>
      <c r="T181" s="101" t="str">
        <f>IFERROR(_xlfn.XLOOKUP(tblRecruitmentPipeline[[#This Row],[REQ_ID]],tblRequisitions[REQ_ID],tblRequisitions[DEPARTMENT],""),"")</f>
        <v>Human Resources</v>
      </c>
      <c r="U181" s="110" t="str">
        <f>IF(tblRecruitmentPipeline[[#This Row],[REQ_DEPARTMENT]]="","No","Yes")</f>
        <v>Yes</v>
      </c>
    </row>
    <row r="182" spans="1:21">
      <c r="A182" s="100" t="s">
        <v>1448</v>
      </c>
      <c r="B182" s="101" t="s">
        <v>969</v>
      </c>
      <c r="C182" s="101" t="s">
        <v>1449</v>
      </c>
      <c r="D182" s="101" t="s">
        <v>1450</v>
      </c>
      <c r="E182" s="101" t="s">
        <v>403</v>
      </c>
      <c r="F182" s="102">
        <v>45904</v>
      </c>
      <c r="G182" s="83" t="s">
        <v>219</v>
      </c>
      <c r="H182" s="102">
        <v>45954</v>
      </c>
      <c r="I182" s="101" t="s">
        <v>940</v>
      </c>
      <c r="J182" s="101" t="s">
        <v>227</v>
      </c>
      <c r="K182" s="102">
        <v>45951</v>
      </c>
      <c r="L182" s="83" t="s">
        <v>231</v>
      </c>
      <c r="M182" s="102">
        <v>45964</v>
      </c>
      <c r="N182" s="101"/>
      <c r="O182" s="101"/>
      <c r="P182" s="83">
        <f t="shared" ca="1" si="8"/>
        <v>60</v>
      </c>
      <c r="Q182" s="83" t="str">
        <f t="shared" si="9"/>
        <v>Closed</v>
      </c>
      <c r="R182" s="83" t="str">
        <f t="shared" si="10"/>
        <v>Closed</v>
      </c>
      <c r="S182" s="83">
        <f t="shared" si="11"/>
        <v>60</v>
      </c>
      <c r="T182" s="101" t="str">
        <f>IFERROR(_xlfn.XLOOKUP(tblRecruitmentPipeline[[#This Row],[REQ_ID]],tblRequisitions[REQ_ID],tblRequisitions[DEPARTMENT],""),"")</f>
        <v>Human Resources</v>
      </c>
      <c r="U182" s="110" t="str">
        <f>IF(tblRecruitmentPipeline[[#This Row],[REQ_DEPARTMENT]]="","No","Yes")</f>
        <v>Yes</v>
      </c>
    </row>
    <row r="183" spans="1:21">
      <c r="A183" s="100" t="s">
        <v>1451</v>
      </c>
      <c r="B183" s="101" t="s">
        <v>969</v>
      </c>
      <c r="C183" s="101" t="s">
        <v>1452</v>
      </c>
      <c r="D183" s="101" t="s">
        <v>816</v>
      </c>
      <c r="E183" s="101" t="s">
        <v>384</v>
      </c>
      <c r="F183" s="102">
        <v>45912</v>
      </c>
      <c r="G183" s="83" t="s">
        <v>382</v>
      </c>
      <c r="H183" s="102">
        <v>45926</v>
      </c>
      <c r="I183" s="101" t="s">
        <v>940</v>
      </c>
      <c r="J183" s="101" t="s">
        <v>1030</v>
      </c>
      <c r="K183" s="102"/>
      <c r="L183" s="83" t="s">
        <v>404</v>
      </c>
      <c r="M183" s="102"/>
      <c r="N183" s="101"/>
      <c r="O183" s="101"/>
      <c r="P183" s="83">
        <f t="shared" ca="1" si="8"/>
        <v>233</v>
      </c>
      <c r="Q183" s="83" t="str">
        <f t="shared" ca="1" si="9"/>
        <v>Stale</v>
      </c>
      <c r="R183" s="83" t="str">
        <f t="shared" ca="1" si="10"/>
        <v>Delayed</v>
      </c>
      <c r="S183" s="83" t="str">
        <f t="shared" si="11"/>
        <v/>
      </c>
      <c r="T183" s="101" t="str">
        <f>IFERROR(_xlfn.XLOOKUP(tblRecruitmentPipeline[[#This Row],[REQ_ID]],tblRequisitions[REQ_ID],tblRequisitions[DEPARTMENT],""),"")</f>
        <v>Human Resources</v>
      </c>
      <c r="U183" s="110" t="str">
        <f>IF(tblRecruitmentPipeline[[#This Row],[REQ_DEPARTMENT]]="","No","Yes")</f>
        <v>Yes</v>
      </c>
    </row>
    <row r="184" spans="1:21">
      <c r="A184" s="100" t="s">
        <v>1453</v>
      </c>
      <c r="B184" s="101" t="s">
        <v>969</v>
      </c>
      <c r="C184" s="101" t="s">
        <v>1454</v>
      </c>
      <c r="D184" s="101" t="s">
        <v>690</v>
      </c>
      <c r="E184" s="101" t="s">
        <v>261</v>
      </c>
      <c r="F184" s="102">
        <v>45912</v>
      </c>
      <c r="G184" s="83" t="s">
        <v>409</v>
      </c>
      <c r="H184" s="102">
        <v>45953</v>
      </c>
      <c r="I184" s="101" t="s">
        <v>940</v>
      </c>
      <c r="J184" s="101" t="s">
        <v>1030</v>
      </c>
      <c r="K184" s="102">
        <v>45951</v>
      </c>
      <c r="L184" s="83" t="s">
        <v>323</v>
      </c>
      <c r="M184" s="102"/>
      <c r="N184" s="101"/>
      <c r="O184" s="101"/>
      <c r="P184" s="83">
        <f t="shared" ca="1" si="8"/>
        <v>233</v>
      </c>
      <c r="Q184" s="83" t="str">
        <f t="shared" ca="1" si="9"/>
        <v>Stale</v>
      </c>
      <c r="R184" s="83" t="str">
        <f t="shared" ca="1" si="10"/>
        <v>Delayed</v>
      </c>
      <c r="S184" s="83" t="str">
        <f t="shared" si="11"/>
        <v/>
      </c>
      <c r="T184" s="101" t="str">
        <f>IFERROR(_xlfn.XLOOKUP(tblRecruitmentPipeline[[#This Row],[REQ_ID]],tblRequisitions[REQ_ID],tblRequisitions[DEPARTMENT],""),"")</f>
        <v>Human Resources</v>
      </c>
      <c r="U184" s="110" t="str">
        <f>IF(tblRecruitmentPipeline[[#This Row],[REQ_DEPARTMENT]]="","No","Yes")</f>
        <v>Yes</v>
      </c>
    </row>
    <row r="185" spans="1:21">
      <c r="A185" s="100" t="s">
        <v>1455</v>
      </c>
      <c r="B185" s="101" t="s">
        <v>969</v>
      </c>
      <c r="C185" s="101" t="s">
        <v>1456</v>
      </c>
      <c r="D185" s="101" t="s">
        <v>705</v>
      </c>
      <c r="E185" s="101" t="s">
        <v>384</v>
      </c>
      <c r="F185" s="102">
        <v>45925</v>
      </c>
      <c r="G185" s="83" t="s">
        <v>382</v>
      </c>
      <c r="H185" s="102">
        <v>45965</v>
      </c>
      <c r="I185" s="101" t="s">
        <v>940</v>
      </c>
      <c r="J185" s="101" t="s">
        <v>36</v>
      </c>
      <c r="K185" s="102"/>
      <c r="L185" s="83" t="s">
        <v>404</v>
      </c>
      <c r="M185" s="102"/>
      <c r="N185" s="101"/>
      <c r="O185" s="101"/>
      <c r="P185" s="83">
        <f t="shared" ca="1" si="8"/>
        <v>220</v>
      </c>
      <c r="Q185" s="83" t="str">
        <f t="shared" ca="1" si="9"/>
        <v>Stale</v>
      </c>
      <c r="R185" s="83" t="str">
        <f t="shared" ca="1" si="10"/>
        <v>Delayed</v>
      </c>
      <c r="S185" s="83" t="str">
        <f t="shared" si="11"/>
        <v/>
      </c>
      <c r="T185" s="101" t="str">
        <f>IFERROR(_xlfn.XLOOKUP(tblRecruitmentPipeline[[#This Row],[REQ_ID]],tblRequisitions[REQ_ID],tblRequisitions[DEPARTMENT],""),"")</f>
        <v>Human Resources</v>
      </c>
      <c r="U185" s="110" t="str">
        <f>IF(tblRecruitmentPipeline[[#This Row],[REQ_DEPARTMENT]]="","No","Yes")</f>
        <v>Yes</v>
      </c>
    </row>
    <row r="186" spans="1:21">
      <c r="A186" s="100" t="s">
        <v>1457</v>
      </c>
      <c r="B186" s="101" t="s">
        <v>969</v>
      </c>
      <c r="C186" s="101" t="s">
        <v>1458</v>
      </c>
      <c r="D186" s="101" t="s">
        <v>1459</v>
      </c>
      <c r="E186" s="101" t="s">
        <v>375</v>
      </c>
      <c r="F186" s="102">
        <v>45926</v>
      </c>
      <c r="G186" s="83" t="s">
        <v>401</v>
      </c>
      <c r="H186" s="102">
        <v>45938</v>
      </c>
      <c r="I186" s="101" t="s">
        <v>940</v>
      </c>
      <c r="J186" s="101" t="s">
        <v>36</v>
      </c>
      <c r="K186" s="102"/>
      <c r="L186" s="83" t="s">
        <v>404</v>
      </c>
      <c r="M186" s="102"/>
      <c r="N186" s="101"/>
      <c r="O186" s="101"/>
      <c r="P186" s="83">
        <f t="shared" ca="1" si="8"/>
        <v>219</v>
      </c>
      <c r="Q186" s="83" t="str">
        <f t="shared" ca="1" si="9"/>
        <v>Stale</v>
      </c>
      <c r="R186" s="83" t="str">
        <f t="shared" ca="1" si="10"/>
        <v>Delayed</v>
      </c>
      <c r="S186" s="83" t="str">
        <f t="shared" si="11"/>
        <v/>
      </c>
      <c r="T186" s="101" t="str">
        <f>IFERROR(_xlfn.XLOOKUP(tblRecruitmentPipeline[[#This Row],[REQ_ID]],tblRequisitions[REQ_ID],tblRequisitions[DEPARTMENT],""),"")</f>
        <v>Human Resources</v>
      </c>
      <c r="U186" s="110" t="str">
        <f>IF(tblRecruitmentPipeline[[#This Row],[REQ_DEPARTMENT]]="","No","Yes")</f>
        <v>Yes</v>
      </c>
    </row>
    <row r="187" spans="1:21">
      <c r="A187" s="100" t="s">
        <v>1460</v>
      </c>
      <c r="B187" s="101" t="s">
        <v>969</v>
      </c>
      <c r="C187" s="101" t="s">
        <v>1461</v>
      </c>
      <c r="D187" s="101" t="s">
        <v>562</v>
      </c>
      <c r="E187" s="101" t="s">
        <v>414</v>
      </c>
      <c r="F187" s="102">
        <v>45895</v>
      </c>
      <c r="G187" s="83" t="s">
        <v>413</v>
      </c>
      <c r="H187" s="102">
        <v>45923</v>
      </c>
      <c r="I187" s="101" t="s">
        <v>940</v>
      </c>
      <c r="J187" s="101" t="s">
        <v>1030</v>
      </c>
      <c r="K187" s="102"/>
      <c r="L187" s="83" t="s">
        <v>404</v>
      </c>
      <c r="M187" s="102"/>
      <c r="N187" s="101" t="s">
        <v>1075</v>
      </c>
      <c r="O187" s="101"/>
      <c r="P187" s="83">
        <f t="shared" ca="1" si="8"/>
        <v>28</v>
      </c>
      <c r="Q187" s="83" t="str">
        <f t="shared" si="9"/>
        <v>Closed</v>
      </c>
      <c r="R187" s="83" t="str">
        <f t="shared" si="10"/>
        <v>Closed</v>
      </c>
      <c r="S187" s="83" t="str">
        <f t="shared" si="11"/>
        <v/>
      </c>
      <c r="T187" s="101" t="str">
        <f>IFERROR(_xlfn.XLOOKUP(tblRecruitmentPipeline[[#This Row],[REQ_ID]],tblRequisitions[REQ_ID],tblRequisitions[DEPARTMENT],""),"")</f>
        <v>Human Resources</v>
      </c>
      <c r="U187" s="110" t="str">
        <f>IF(tblRecruitmentPipeline[[#This Row],[REQ_DEPARTMENT]]="","No","Yes")</f>
        <v>Yes</v>
      </c>
    </row>
    <row r="188" spans="1:21">
      <c r="A188" s="100" t="s">
        <v>1462</v>
      </c>
      <c r="B188" s="101" t="s">
        <v>970</v>
      </c>
      <c r="C188" s="101" t="s">
        <v>1463</v>
      </c>
      <c r="D188" s="101" t="s">
        <v>1464</v>
      </c>
      <c r="E188" s="101" t="s">
        <v>403</v>
      </c>
      <c r="F188" s="102">
        <v>45716</v>
      </c>
      <c r="G188" s="83" t="s">
        <v>413</v>
      </c>
      <c r="H188" s="102">
        <v>45749</v>
      </c>
      <c r="I188" s="101" t="s">
        <v>938</v>
      </c>
      <c r="J188" s="101" t="s">
        <v>36</v>
      </c>
      <c r="K188" s="102"/>
      <c r="L188" s="83" t="s">
        <v>404</v>
      </c>
      <c r="M188" s="102"/>
      <c r="N188" s="101" t="s">
        <v>1085</v>
      </c>
      <c r="O188" s="101"/>
      <c r="P188" s="83">
        <f t="shared" ca="1" si="8"/>
        <v>33</v>
      </c>
      <c r="Q188" s="83" t="str">
        <f t="shared" si="9"/>
        <v>Closed</v>
      </c>
      <c r="R188" s="83" t="str">
        <f t="shared" si="10"/>
        <v>Closed</v>
      </c>
      <c r="S188" s="83" t="str">
        <f t="shared" si="11"/>
        <v/>
      </c>
      <c r="T188" s="101" t="str">
        <f>IFERROR(_xlfn.XLOOKUP(tblRecruitmentPipeline[[#This Row],[REQ_ID]],tblRequisitions[REQ_ID],tblRequisitions[DEPARTMENT],""),"")</f>
        <v>Finance</v>
      </c>
      <c r="U188" s="110" t="str">
        <f>IF(tblRecruitmentPipeline[[#This Row],[REQ_DEPARTMENT]]="","No","Yes")</f>
        <v>Yes</v>
      </c>
    </row>
    <row r="189" spans="1:21">
      <c r="A189" s="100" t="s">
        <v>1465</v>
      </c>
      <c r="B189" s="101" t="s">
        <v>970</v>
      </c>
      <c r="C189" s="101" t="s">
        <v>1466</v>
      </c>
      <c r="D189" s="101" t="s">
        <v>580</v>
      </c>
      <c r="E189" s="101" t="s">
        <v>213</v>
      </c>
      <c r="F189" s="102">
        <v>45690</v>
      </c>
      <c r="G189" s="83" t="s">
        <v>409</v>
      </c>
      <c r="H189" s="102">
        <v>45716</v>
      </c>
      <c r="I189" s="101" t="s">
        <v>938</v>
      </c>
      <c r="J189" s="101" t="s">
        <v>1030</v>
      </c>
      <c r="K189" s="102">
        <v>45713</v>
      </c>
      <c r="L189" s="83" t="s">
        <v>385</v>
      </c>
      <c r="M189" s="102"/>
      <c r="N189" s="101"/>
      <c r="O189" s="101"/>
      <c r="P189" s="83">
        <f t="shared" ca="1" si="8"/>
        <v>455</v>
      </c>
      <c r="Q189" s="83" t="str">
        <f t="shared" ca="1" si="9"/>
        <v>Stale</v>
      </c>
      <c r="R189" s="83" t="str">
        <f t="shared" ca="1" si="10"/>
        <v>Delayed</v>
      </c>
      <c r="S189" s="83" t="str">
        <f t="shared" si="11"/>
        <v/>
      </c>
      <c r="T189" s="101" t="str">
        <f>IFERROR(_xlfn.XLOOKUP(tblRecruitmentPipeline[[#This Row],[REQ_ID]],tblRequisitions[REQ_ID],tblRequisitions[DEPARTMENT],""),"")</f>
        <v>Finance</v>
      </c>
      <c r="U189" s="110" t="str">
        <f>IF(tblRecruitmentPipeline[[#This Row],[REQ_DEPARTMENT]]="","No","Yes")</f>
        <v>Yes</v>
      </c>
    </row>
    <row r="190" spans="1:21">
      <c r="A190" s="100" t="s">
        <v>1467</v>
      </c>
      <c r="B190" s="101" t="s">
        <v>970</v>
      </c>
      <c r="C190" s="101" t="s">
        <v>1468</v>
      </c>
      <c r="D190" s="101" t="s">
        <v>596</v>
      </c>
      <c r="E190" s="101" t="s">
        <v>412</v>
      </c>
      <c r="F190" s="102">
        <v>45716</v>
      </c>
      <c r="G190" s="83" t="s">
        <v>401</v>
      </c>
      <c r="H190" s="102">
        <v>45720</v>
      </c>
      <c r="I190" s="101" t="s">
        <v>938</v>
      </c>
      <c r="J190" s="101" t="s">
        <v>1030</v>
      </c>
      <c r="K190" s="102"/>
      <c r="L190" s="83" t="s">
        <v>404</v>
      </c>
      <c r="M190" s="102"/>
      <c r="N190" s="101"/>
      <c r="O190" s="101"/>
      <c r="P190" s="83">
        <f t="shared" ca="1" si="8"/>
        <v>429</v>
      </c>
      <c r="Q190" s="83" t="str">
        <f t="shared" ca="1" si="9"/>
        <v>Stale</v>
      </c>
      <c r="R190" s="83" t="str">
        <f t="shared" ca="1" si="10"/>
        <v>Delayed</v>
      </c>
      <c r="S190" s="83" t="str">
        <f t="shared" si="11"/>
        <v/>
      </c>
      <c r="T190" s="101" t="str">
        <f>IFERROR(_xlfn.XLOOKUP(tblRecruitmentPipeline[[#This Row],[REQ_ID]],tblRequisitions[REQ_ID],tblRequisitions[DEPARTMENT],""),"")</f>
        <v>Finance</v>
      </c>
      <c r="U190" s="110" t="str">
        <f>IF(tblRecruitmentPipeline[[#This Row],[REQ_DEPARTMENT]]="","No","Yes")</f>
        <v>Yes</v>
      </c>
    </row>
    <row r="191" spans="1:21">
      <c r="A191" s="100" t="s">
        <v>1469</v>
      </c>
      <c r="B191" s="101" t="s">
        <v>971</v>
      </c>
      <c r="C191" s="101" t="s">
        <v>1470</v>
      </c>
      <c r="D191" s="101" t="s">
        <v>1471</v>
      </c>
      <c r="E191" s="101" t="s">
        <v>403</v>
      </c>
      <c r="F191" s="102">
        <v>46003</v>
      </c>
      <c r="G191" s="83" t="s">
        <v>219</v>
      </c>
      <c r="H191" s="102">
        <v>46045</v>
      </c>
      <c r="I191" s="101" t="s">
        <v>942</v>
      </c>
      <c r="J191" s="101" t="s">
        <v>36</v>
      </c>
      <c r="K191" s="102">
        <v>46044</v>
      </c>
      <c r="L191" s="83" t="s">
        <v>231</v>
      </c>
      <c r="M191" s="102">
        <v>46054</v>
      </c>
      <c r="N191" s="101"/>
      <c r="O191" s="101"/>
      <c r="P191" s="83">
        <f t="shared" ca="1" si="8"/>
        <v>51</v>
      </c>
      <c r="Q191" s="83" t="str">
        <f t="shared" si="9"/>
        <v>Closed</v>
      </c>
      <c r="R191" s="83" t="str">
        <f t="shared" si="10"/>
        <v>Closed</v>
      </c>
      <c r="S191" s="83">
        <f t="shared" si="11"/>
        <v>51</v>
      </c>
      <c r="T191" s="101" t="str">
        <f>IFERROR(_xlfn.XLOOKUP(tblRecruitmentPipeline[[#This Row],[REQ_ID]],tblRequisitions[REQ_ID],tblRequisitions[DEPARTMENT],""),"")</f>
        <v>Credit Evaluation</v>
      </c>
      <c r="U191" s="110" t="str">
        <f>IF(tblRecruitmentPipeline[[#This Row],[REQ_DEPARTMENT]]="","No","Yes")</f>
        <v>Yes</v>
      </c>
    </row>
    <row r="192" spans="1:21">
      <c r="A192" s="100" t="s">
        <v>1472</v>
      </c>
      <c r="B192" s="101" t="s">
        <v>971</v>
      </c>
      <c r="C192" s="101" t="s">
        <v>1473</v>
      </c>
      <c r="D192" s="101" t="s">
        <v>659</v>
      </c>
      <c r="E192" s="101" t="s">
        <v>412</v>
      </c>
      <c r="F192" s="102">
        <v>45997</v>
      </c>
      <c r="G192" s="83" t="s">
        <v>401</v>
      </c>
      <c r="H192" s="102">
        <v>46026</v>
      </c>
      <c r="I192" s="101" t="s">
        <v>942</v>
      </c>
      <c r="J192" s="101" t="s">
        <v>227</v>
      </c>
      <c r="K192" s="102"/>
      <c r="L192" s="83" t="s">
        <v>404</v>
      </c>
      <c r="M192" s="102"/>
      <c r="N192" s="101"/>
      <c r="O192" s="101"/>
      <c r="P192" s="83">
        <f t="shared" ca="1" si="8"/>
        <v>148</v>
      </c>
      <c r="Q192" s="83" t="str">
        <f t="shared" ca="1" si="9"/>
        <v>Stale</v>
      </c>
      <c r="R192" s="83" t="str">
        <f t="shared" ca="1" si="10"/>
        <v>Delayed</v>
      </c>
      <c r="S192" s="83" t="str">
        <f t="shared" si="11"/>
        <v/>
      </c>
      <c r="T192" s="101" t="str">
        <f>IFERROR(_xlfn.XLOOKUP(tblRecruitmentPipeline[[#This Row],[REQ_ID]],tblRequisitions[REQ_ID],tblRequisitions[DEPARTMENT],""),"")</f>
        <v>Credit Evaluation</v>
      </c>
      <c r="U192" s="110" t="str">
        <f>IF(tblRecruitmentPipeline[[#This Row],[REQ_DEPARTMENT]]="","No","Yes")</f>
        <v>Yes</v>
      </c>
    </row>
    <row r="193" spans="1:21">
      <c r="A193" s="100" t="s">
        <v>1474</v>
      </c>
      <c r="B193" s="101" t="s">
        <v>971</v>
      </c>
      <c r="C193" s="101" t="s">
        <v>1475</v>
      </c>
      <c r="D193" s="101" t="s">
        <v>1476</v>
      </c>
      <c r="E193" s="101" t="s">
        <v>412</v>
      </c>
      <c r="F193" s="102">
        <v>45988</v>
      </c>
      <c r="G193" s="83" t="s">
        <v>401</v>
      </c>
      <c r="H193" s="102">
        <v>46031</v>
      </c>
      <c r="I193" s="101" t="s">
        <v>942</v>
      </c>
      <c r="J193" s="101" t="s">
        <v>227</v>
      </c>
      <c r="K193" s="102"/>
      <c r="L193" s="83" t="s">
        <v>404</v>
      </c>
      <c r="M193" s="102"/>
      <c r="N193" s="101"/>
      <c r="O193" s="101"/>
      <c r="P193" s="83">
        <f t="shared" ca="1" si="8"/>
        <v>157</v>
      </c>
      <c r="Q193" s="83" t="str">
        <f t="shared" ca="1" si="9"/>
        <v>Stale</v>
      </c>
      <c r="R193" s="83" t="str">
        <f t="shared" ca="1" si="10"/>
        <v>Delayed</v>
      </c>
      <c r="S193" s="83" t="str">
        <f t="shared" si="11"/>
        <v/>
      </c>
      <c r="T193" s="101" t="str">
        <f>IFERROR(_xlfn.XLOOKUP(tblRecruitmentPipeline[[#This Row],[REQ_ID]],tblRequisitions[REQ_ID],tblRequisitions[DEPARTMENT],""),"")</f>
        <v>Credit Evaluation</v>
      </c>
      <c r="U193" s="110" t="str">
        <f>IF(tblRecruitmentPipeline[[#This Row],[REQ_DEPARTMENT]]="","No","Yes")</f>
        <v>Yes</v>
      </c>
    </row>
    <row r="194" spans="1:21">
      <c r="A194" s="100" t="s">
        <v>1477</v>
      </c>
      <c r="B194" s="101" t="s">
        <v>971</v>
      </c>
      <c r="C194" s="101" t="s">
        <v>1478</v>
      </c>
      <c r="D194" s="101" t="s">
        <v>1479</v>
      </c>
      <c r="E194" s="101" t="s">
        <v>403</v>
      </c>
      <c r="F194" s="102">
        <v>45986</v>
      </c>
      <c r="G194" s="83" t="s">
        <v>382</v>
      </c>
      <c r="H194" s="102">
        <v>46025</v>
      </c>
      <c r="I194" s="101" t="s">
        <v>942</v>
      </c>
      <c r="J194" s="101" t="s">
        <v>36</v>
      </c>
      <c r="K194" s="102"/>
      <c r="L194" s="83" t="s">
        <v>404</v>
      </c>
      <c r="M194" s="102"/>
      <c r="N194" s="101"/>
      <c r="O194" s="101"/>
      <c r="P194" s="83">
        <f t="shared" ca="1" si="8"/>
        <v>159</v>
      </c>
      <c r="Q194" s="83" t="str">
        <f t="shared" ca="1" si="9"/>
        <v>Stale</v>
      </c>
      <c r="R194" s="83" t="str">
        <f t="shared" ca="1" si="10"/>
        <v>Delayed</v>
      </c>
      <c r="S194" s="83" t="str">
        <f t="shared" si="11"/>
        <v/>
      </c>
      <c r="T194" s="101" t="str">
        <f>IFERROR(_xlfn.XLOOKUP(tblRecruitmentPipeline[[#This Row],[REQ_ID]],tblRequisitions[REQ_ID],tblRequisitions[DEPARTMENT],""),"")</f>
        <v>Credit Evaluation</v>
      </c>
      <c r="U194" s="110" t="str">
        <f>IF(tblRecruitmentPipeline[[#This Row],[REQ_DEPARTMENT]]="","No","Yes")</f>
        <v>Yes</v>
      </c>
    </row>
    <row r="195" spans="1:21">
      <c r="A195" s="100" t="s">
        <v>1480</v>
      </c>
      <c r="B195" s="101" t="s">
        <v>971</v>
      </c>
      <c r="C195" s="101" t="s">
        <v>1481</v>
      </c>
      <c r="D195" s="101" t="s">
        <v>1319</v>
      </c>
      <c r="E195" s="101" t="s">
        <v>403</v>
      </c>
      <c r="F195" s="102">
        <v>45999</v>
      </c>
      <c r="G195" s="83" t="s">
        <v>401</v>
      </c>
      <c r="H195" s="102">
        <v>46012</v>
      </c>
      <c r="I195" s="101" t="s">
        <v>942</v>
      </c>
      <c r="J195" s="101" t="s">
        <v>1030</v>
      </c>
      <c r="K195" s="102"/>
      <c r="L195" s="83" t="s">
        <v>404</v>
      </c>
      <c r="M195" s="102"/>
      <c r="N195" s="101"/>
      <c r="O195" s="101"/>
      <c r="P195" s="83">
        <f t="shared" ca="1" si="8"/>
        <v>146</v>
      </c>
      <c r="Q195" s="83" t="str">
        <f t="shared" ca="1" si="9"/>
        <v>Stale</v>
      </c>
      <c r="R195" s="83" t="str">
        <f t="shared" ca="1" si="10"/>
        <v>Delayed</v>
      </c>
      <c r="S195" s="83" t="str">
        <f t="shared" si="11"/>
        <v/>
      </c>
      <c r="T195" s="101" t="str">
        <f>IFERROR(_xlfn.XLOOKUP(tblRecruitmentPipeline[[#This Row],[REQ_ID]],tblRequisitions[REQ_ID],tblRequisitions[DEPARTMENT],""),"")</f>
        <v>Credit Evaluation</v>
      </c>
      <c r="U195" s="110" t="str">
        <f>IF(tblRecruitmentPipeline[[#This Row],[REQ_DEPARTMENT]]="","No","Yes")</f>
        <v>Yes</v>
      </c>
    </row>
    <row r="196" spans="1:21">
      <c r="A196" s="100" t="s">
        <v>1482</v>
      </c>
      <c r="B196" s="101" t="s">
        <v>971</v>
      </c>
      <c r="C196" s="101" t="s">
        <v>1483</v>
      </c>
      <c r="D196" s="101" t="s">
        <v>1484</v>
      </c>
      <c r="E196" s="101" t="s">
        <v>412</v>
      </c>
      <c r="F196" s="102">
        <v>45995</v>
      </c>
      <c r="G196" s="83" t="s">
        <v>393</v>
      </c>
      <c r="H196" s="102">
        <v>46038</v>
      </c>
      <c r="I196" s="101" t="s">
        <v>942</v>
      </c>
      <c r="J196" s="101" t="s">
        <v>227</v>
      </c>
      <c r="K196" s="102"/>
      <c r="L196" s="83" t="s">
        <v>404</v>
      </c>
      <c r="M196" s="102"/>
      <c r="N196" s="101"/>
      <c r="O196" s="101"/>
      <c r="P196" s="83">
        <f t="shared" ca="1" si="8"/>
        <v>150</v>
      </c>
      <c r="Q196" s="83" t="str">
        <f t="shared" ca="1" si="9"/>
        <v>Stale</v>
      </c>
      <c r="R196" s="83" t="str">
        <f t="shared" ca="1" si="10"/>
        <v>Delayed</v>
      </c>
      <c r="S196" s="83" t="str">
        <f t="shared" si="11"/>
        <v/>
      </c>
      <c r="T196" s="101" t="str">
        <f>IFERROR(_xlfn.XLOOKUP(tblRecruitmentPipeline[[#This Row],[REQ_ID]],tblRequisitions[REQ_ID],tblRequisitions[DEPARTMENT],""),"")</f>
        <v>Credit Evaluation</v>
      </c>
      <c r="U196" s="110" t="str">
        <f>IF(tblRecruitmentPipeline[[#This Row],[REQ_DEPARTMENT]]="","No","Yes")</f>
        <v>Yes</v>
      </c>
    </row>
    <row r="197" spans="1:21">
      <c r="A197" s="100" t="s">
        <v>1485</v>
      </c>
      <c r="B197" s="101" t="s">
        <v>971</v>
      </c>
      <c r="C197" s="101" t="s">
        <v>1486</v>
      </c>
      <c r="D197" s="101" t="s">
        <v>723</v>
      </c>
      <c r="E197" s="101" t="s">
        <v>375</v>
      </c>
      <c r="F197" s="102">
        <v>45986</v>
      </c>
      <c r="G197" s="83" t="s">
        <v>372</v>
      </c>
      <c r="H197" s="102">
        <v>46033</v>
      </c>
      <c r="I197" s="101" t="s">
        <v>942</v>
      </c>
      <c r="J197" s="101" t="s">
        <v>227</v>
      </c>
      <c r="K197" s="102"/>
      <c r="L197" s="83" t="s">
        <v>404</v>
      </c>
      <c r="M197" s="102"/>
      <c r="N197" s="101"/>
      <c r="O197" s="101"/>
      <c r="P197" s="83">
        <f t="shared" ref="P197:P260" ca="1" si="12">IF($A197="","",IF($G197="Hired",$M197-$F197,IF(OR($G197="Rejected",$G197="Withdrawn"),$H197-$F197,TODAY()-$F197)))</f>
        <v>159</v>
      </c>
      <c r="Q197" s="83" t="str">
        <f t="shared" ref="Q197:Q260" ca="1" si="13">IF($A197="","",IF(OR($G197="Hired",$G197="Rejected",$G197="Withdrawn"),"Closed",IF($P197&gt;30,"Stale","Active")))</f>
        <v>Stale</v>
      </c>
      <c r="R197" s="83" t="str">
        <f t="shared" ref="R197:R260" ca="1" si="14">IF($A197="","",IF($Q197="Closed","Closed",IF($P197&lt;=14,"On Track",IF($P197&lt;=30,"At Risk","Delayed"))))</f>
        <v>Delayed</v>
      </c>
      <c r="S197" s="83" t="str">
        <f t="shared" ref="S197:S260" si="15">IF($A197="","",IF($G197="Hired",$M197-$F197,""))</f>
        <v/>
      </c>
      <c r="T197" s="101" t="str">
        <f>IFERROR(_xlfn.XLOOKUP(tblRecruitmentPipeline[[#This Row],[REQ_ID]],tblRequisitions[REQ_ID],tblRequisitions[DEPARTMENT],""),"")</f>
        <v>Credit Evaluation</v>
      </c>
      <c r="U197" s="110" t="str">
        <f>IF(tblRecruitmentPipeline[[#This Row],[REQ_DEPARTMENT]]="","No","Yes")</f>
        <v>Yes</v>
      </c>
    </row>
    <row r="198" spans="1:21">
      <c r="A198" s="100" t="s">
        <v>1487</v>
      </c>
      <c r="B198" s="101" t="s">
        <v>972</v>
      </c>
      <c r="C198" s="101" t="s">
        <v>1488</v>
      </c>
      <c r="D198" s="101" t="s">
        <v>576</v>
      </c>
      <c r="E198" s="101" t="s">
        <v>261</v>
      </c>
      <c r="F198" s="102">
        <v>46070</v>
      </c>
      <c r="G198" s="83" t="s">
        <v>409</v>
      </c>
      <c r="H198" s="102">
        <v>46082</v>
      </c>
      <c r="I198" s="101" t="s">
        <v>942</v>
      </c>
      <c r="J198" s="101" t="s">
        <v>227</v>
      </c>
      <c r="K198" s="102">
        <v>46078</v>
      </c>
      <c r="L198" s="83" t="s">
        <v>385</v>
      </c>
      <c r="M198" s="102"/>
      <c r="N198" s="101"/>
      <c r="O198" s="101"/>
      <c r="P198" s="83">
        <f t="shared" ca="1" si="12"/>
        <v>75</v>
      </c>
      <c r="Q198" s="83" t="str">
        <f t="shared" ca="1" si="13"/>
        <v>Stale</v>
      </c>
      <c r="R198" s="83" t="str">
        <f t="shared" ca="1" si="14"/>
        <v>Delayed</v>
      </c>
      <c r="S198" s="83" t="str">
        <f t="shared" si="15"/>
        <v/>
      </c>
      <c r="T198" s="101" t="str">
        <f>IFERROR(_xlfn.XLOOKUP(tblRecruitmentPipeline[[#This Row],[REQ_ID]],tblRequisitions[REQ_ID],tblRequisitions[DEPARTMENT],""),"")</f>
        <v>Compliance</v>
      </c>
      <c r="U198" s="110" t="str">
        <f>IF(tblRecruitmentPipeline[[#This Row],[REQ_DEPARTMENT]]="","No","Yes")</f>
        <v>Yes</v>
      </c>
    </row>
    <row r="199" spans="1:21">
      <c r="A199" s="100" t="s">
        <v>1489</v>
      </c>
      <c r="B199" s="101" t="s">
        <v>972</v>
      </c>
      <c r="C199" s="101" t="s">
        <v>1490</v>
      </c>
      <c r="D199" s="101" t="s">
        <v>472</v>
      </c>
      <c r="E199" s="101" t="s">
        <v>403</v>
      </c>
      <c r="F199" s="102">
        <v>46047</v>
      </c>
      <c r="G199" s="83" t="s">
        <v>382</v>
      </c>
      <c r="H199" s="102">
        <v>46058</v>
      </c>
      <c r="I199" s="101" t="s">
        <v>942</v>
      </c>
      <c r="J199" s="101" t="s">
        <v>36</v>
      </c>
      <c r="K199" s="102"/>
      <c r="L199" s="83" t="s">
        <v>404</v>
      </c>
      <c r="M199" s="102"/>
      <c r="N199" s="101"/>
      <c r="O199" s="101"/>
      <c r="P199" s="83">
        <f t="shared" ca="1" si="12"/>
        <v>98</v>
      </c>
      <c r="Q199" s="83" t="str">
        <f t="shared" ca="1" si="13"/>
        <v>Stale</v>
      </c>
      <c r="R199" s="83" t="str">
        <f t="shared" ca="1" si="14"/>
        <v>Delayed</v>
      </c>
      <c r="S199" s="83" t="str">
        <f t="shared" si="15"/>
        <v/>
      </c>
      <c r="T199" s="101" t="str">
        <f>IFERROR(_xlfn.XLOOKUP(tblRecruitmentPipeline[[#This Row],[REQ_ID]],tblRequisitions[REQ_ID],tblRequisitions[DEPARTMENT],""),"")</f>
        <v>Compliance</v>
      </c>
      <c r="U199" s="110" t="str">
        <f>IF(tblRecruitmentPipeline[[#This Row],[REQ_DEPARTMENT]]="","No","Yes")</f>
        <v>Yes</v>
      </c>
    </row>
    <row r="200" spans="1:21">
      <c r="A200" s="100" t="s">
        <v>1491</v>
      </c>
      <c r="B200" s="101" t="s">
        <v>972</v>
      </c>
      <c r="C200" s="101" t="s">
        <v>1492</v>
      </c>
      <c r="D200" s="101" t="s">
        <v>1493</v>
      </c>
      <c r="E200" s="101" t="s">
        <v>384</v>
      </c>
      <c r="F200" s="102">
        <v>46057</v>
      </c>
      <c r="G200" s="83" t="s">
        <v>219</v>
      </c>
      <c r="H200" s="102">
        <v>46087</v>
      </c>
      <c r="I200" s="101" t="s">
        <v>942</v>
      </c>
      <c r="J200" s="101" t="s">
        <v>1030</v>
      </c>
      <c r="K200" s="102">
        <v>46084</v>
      </c>
      <c r="L200" s="83" t="s">
        <v>231</v>
      </c>
      <c r="M200" s="102">
        <v>46101</v>
      </c>
      <c r="N200" s="101"/>
      <c r="O200" s="101"/>
      <c r="P200" s="83">
        <f t="shared" ca="1" si="12"/>
        <v>44</v>
      </c>
      <c r="Q200" s="83" t="str">
        <f t="shared" si="13"/>
        <v>Closed</v>
      </c>
      <c r="R200" s="83" t="str">
        <f t="shared" si="14"/>
        <v>Closed</v>
      </c>
      <c r="S200" s="83">
        <f t="shared" si="15"/>
        <v>44</v>
      </c>
      <c r="T200" s="101" t="str">
        <f>IFERROR(_xlfn.XLOOKUP(tblRecruitmentPipeline[[#This Row],[REQ_ID]],tblRequisitions[REQ_ID],tblRequisitions[DEPARTMENT],""),"")</f>
        <v>Compliance</v>
      </c>
      <c r="U200" s="110" t="str">
        <f>IF(tblRecruitmentPipeline[[#This Row],[REQ_DEPARTMENT]]="","No","Yes")</f>
        <v>Yes</v>
      </c>
    </row>
    <row r="201" spans="1:21">
      <c r="A201" s="100" t="s">
        <v>1494</v>
      </c>
      <c r="B201" s="101" t="s">
        <v>972</v>
      </c>
      <c r="C201" s="101" t="s">
        <v>1495</v>
      </c>
      <c r="D201" s="101" t="s">
        <v>1496</v>
      </c>
      <c r="E201" s="101" t="s">
        <v>213</v>
      </c>
      <c r="F201" s="102">
        <v>46038</v>
      </c>
      <c r="G201" s="83" t="s">
        <v>409</v>
      </c>
      <c r="H201" s="102">
        <v>46056</v>
      </c>
      <c r="I201" s="101" t="s">
        <v>942</v>
      </c>
      <c r="J201" s="101" t="s">
        <v>1030</v>
      </c>
      <c r="K201" s="102">
        <v>46055</v>
      </c>
      <c r="L201" s="83" t="s">
        <v>385</v>
      </c>
      <c r="M201" s="102"/>
      <c r="N201" s="101"/>
      <c r="O201" s="101"/>
      <c r="P201" s="83">
        <f t="shared" ca="1" si="12"/>
        <v>107</v>
      </c>
      <c r="Q201" s="83" t="str">
        <f t="shared" ca="1" si="13"/>
        <v>Stale</v>
      </c>
      <c r="R201" s="83" t="str">
        <f t="shared" ca="1" si="14"/>
        <v>Delayed</v>
      </c>
      <c r="S201" s="83" t="str">
        <f t="shared" si="15"/>
        <v/>
      </c>
      <c r="T201" s="101" t="str">
        <f>IFERROR(_xlfn.XLOOKUP(tblRecruitmentPipeline[[#This Row],[REQ_ID]],tblRequisitions[REQ_ID],tblRequisitions[DEPARTMENT],""),"")</f>
        <v>Compliance</v>
      </c>
      <c r="U201" s="110" t="str">
        <f>IF(tblRecruitmentPipeline[[#This Row],[REQ_DEPARTMENT]]="","No","Yes")</f>
        <v>Yes</v>
      </c>
    </row>
    <row r="202" spans="1:21">
      <c r="A202" s="100" t="s">
        <v>1497</v>
      </c>
      <c r="B202" s="101" t="s">
        <v>972</v>
      </c>
      <c r="C202" s="101" t="s">
        <v>1498</v>
      </c>
      <c r="D202" s="101" t="s">
        <v>1499</v>
      </c>
      <c r="E202" s="101" t="s">
        <v>403</v>
      </c>
      <c r="F202" s="102">
        <v>46069</v>
      </c>
      <c r="G202" s="83" t="s">
        <v>382</v>
      </c>
      <c r="H202" s="102">
        <v>46108</v>
      </c>
      <c r="I202" s="101" t="s">
        <v>942</v>
      </c>
      <c r="J202" s="101" t="s">
        <v>36</v>
      </c>
      <c r="K202" s="102"/>
      <c r="L202" s="83" t="s">
        <v>404</v>
      </c>
      <c r="M202" s="102"/>
      <c r="N202" s="101"/>
      <c r="O202" s="101"/>
      <c r="P202" s="83">
        <f t="shared" ca="1" si="12"/>
        <v>76</v>
      </c>
      <c r="Q202" s="83" t="str">
        <f t="shared" ca="1" si="13"/>
        <v>Stale</v>
      </c>
      <c r="R202" s="83" t="str">
        <f t="shared" ca="1" si="14"/>
        <v>Delayed</v>
      </c>
      <c r="S202" s="83" t="str">
        <f t="shared" si="15"/>
        <v/>
      </c>
      <c r="T202" s="101" t="str">
        <f>IFERROR(_xlfn.XLOOKUP(tblRecruitmentPipeline[[#This Row],[REQ_ID]],tblRequisitions[REQ_ID],tblRequisitions[DEPARTMENT],""),"")</f>
        <v>Compliance</v>
      </c>
      <c r="U202" s="110" t="str">
        <f>IF(tblRecruitmentPipeline[[#This Row],[REQ_DEPARTMENT]]="","No","Yes")</f>
        <v>Yes</v>
      </c>
    </row>
    <row r="203" spans="1:21">
      <c r="A203" s="100" t="s">
        <v>1500</v>
      </c>
      <c r="B203" s="101" t="s">
        <v>972</v>
      </c>
      <c r="C203" s="101" t="s">
        <v>1501</v>
      </c>
      <c r="D203" s="101" t="s">
        <v>1502</v>
      </c>
      <c r="E203" s="101" t="s">
        <v>213</v>
      </c>
      <c r="F203" s="102">
        <v>46066</v>
      </c>
      <c r="G203" s="83" t="s">
        <v>372</v>
      </c>
      <c r="H203" s="102">
        <v>46106</v>
      </c>
      <c r="I203" s="101" t="s">
        <v>942</v>
      </c>
      <c r="J203" s="101" t="s">
        <v>36</v>
      </c>
      <c r="K203" s="102"/>
      <c r="L203" s="83" t="s">
        <v>404</v>
      </c>
      <c r="M203" s="102"/>
      <c r="N203" s="101"/>
      <c r="O203" s="101"/>
      <c r="P203" s="83">
        <f t="shared" ca="1" si="12"/>
        <v>79</v>
      </c>
      <c r="Q203" s="83" t="str">
        <f t="shared" ca="1" si="13"/>
        <v>Stale</v>
      </c>
      <c r="R203" s="83" t="str">
        <f t="shared" ca="1" si="14"/>
        <v>Delayed</v>
      </c>
      <c r="S203" s="83" t="str">
        <f t="shared" si="15"/>
        <v/>
      </c>
      <c r="T203" s="101" t="str">
        <f>IFERROR(_xlfn.XLOOKUP(tblRecruitmentPipeline[[#This Row],[REQ_ID]],tblRequisitions[REQ_ID],tblRequisitions[DEPARTMENT],""),"")</f>
        <v>Compliance</v>
      </c>
      <c r="U203" s="110" t="str">
        <f>IF(tblRecruitmentPipeline[[#This Row],[REQ_DEPARTMENT]]="","No","Yes")</f>
        <v>Yes</v>
      </c>
    </row>
    <row r="204" spans="1:21">
      <c r="A204" s="100" t="s">
        <v>1503</v>
      </c>
      <c r="B204" s="101" t="s">
        <v>972</v>
      </c>
      <c r="C204" s="101" t="s">
        <v>1504</v>
      </c>
      <c r="D204" s="101" t="s">
        <v>775</v>
      </c>
      <c r="E204" s="101" t="s">
        <v>375</v>
      </c>
      <c r="F204" s="102">
        <v>46073</v>
      </c>
      <c r="G204" s="83" t="s">
        <v>413</v>
      </c>
      <c r="H204" s="102">
        <v>46088</v>
      </c>
      <c r="I204" s="101" t="s">
        <v>942</v>
      </c>
      <c r="J204" s="101" t="s">
        <v>227</v>
      </c>
      <c r="K204" s="102"/>
      <c r="L204" s="83" t="s">
        <v>404</v>
      </c>
      <c r="M204" s="102"/>
      <c r="N204" s="101" t="s">
        <v>1027</v>
      </c>
      <c r="O204" s="101"/>
      <c r="P204" s="83">
        <f t="shared" ca="1" si="12"/>
        <v>15</v>
      </c>
      <c r="Q204" s="83" t="str">
        <f t="shared" si="13"/>
        <v>Closed</v>
      </c>
      <c r="R204" s="83" t="str">
        <f t="shared" si="14"/>
        <v>Closed</v>
      </c>
      <c r="S204" s="83" t="str">
        <f t="shared" si="15"/>
        <v/>
      </c>
      <c r="T204" s="101" t="str">
        <f>IFERROR(_xlfn.XLOOKUP(tblRecruitmentPipeline[[#This Row],[REQ_ID]],tblRequisitions[REQ_ID],tblRequisitions[DEPARTMENT],""),"")</f>
        <v>Compliance</v>
      </c>
      <c r="U204" s="110" t="str">
        <f>IF(tblRecruitmentPipeline[[#This Row],[REQ_DEPARTMENT]]="","No","Yes")</f>
        <v>Yes</v>
      </c>
    </row>
    <row r="205" spans="1:21">
      <c r="A205" s="100" t="s">
        <v>1505</v>
      </c>
      <c r="B205" s="101" t="s">
        <v>972</v>
      </c>
      <c r="C205" s="101" t="s">
        <v>1506</v>
      </c>
      <c r="D205" s="101" t="s">
        <v>767</v>
      </c>
      <c r="E205" s="101" t="s">
        <v>261</v>
      </c>
      <c r="F205" s="102">
        <v>46060</v>
      </c>
      <c r="G205" s="83" t="s">
        <v>372</v>
      </c>
      <c r="H205" s="102">
        <v>46064</v>
      </c>
      <c r="I205" s="101" t="s">
        <v>942</v>
      </c>
      <c r="J205" s="101" t="s">
        <v>1030</v>
      </c>
      <c r="K205" s="102"/>
      <c r="L205" s="83" t="s">
        <v>404</v>
      </c>
      <c r="M205" s="102"/>
      <c r="N205" s="101"/>
      <c r="O205" s="101"/>
      <c r="P205" s="83">
        <f t="shared" ca="1" si="12"/>
        <v>85</v>
      </c>
      <c r="Q205" s="83" t="str">
        <f t="shared" ca="1" si="13"/>
        <v>Stale</v>
      </c>
      <c r="R205" s="83" t="str">
        <f t="shared" ca="1" si="14"/>
        <v>Delayed</v>
      </c>
      <c r="S205" s="83" t="str">
        <f t="shared" si="15"/>
        <v/>
      </c>
      <c r="T205" s="101" t="str">
        <f>IFERROR(_xlfn.XLOOKUP(tblRecruitmentPipeline[[#This Row],[REQ_ID]],tblRequisitions[REQ_ID],tblRequisitions[DEPARTMENT],""),"")</f>
        <v>Compliance</v>
      </c>
      <c r="U205" s="110" t="str">
        <f>IF(tblRecruitmentPipeline[[#This Row],[REQ_DEPARTMENT]]="","No","Yes")</f>
        <v>Yes</v>
      </c>
    </row>
    <row r="206" spans="1:21">
      <c r="A206" s="100" t="s">
        <v>1507</v>
      </c>
      <c r="B206" s="101" t="s">
        <v>973</v>
      </c>
      <c r="C206" s="101" t="s">
        <v>1508</v>
      </c>
      <c r="D206" s="101" t="s">
        <v>908</v>
      </c>
      <c r="E206" s="101" t="s">
        <v>403</v>
      </c>
      <c r="F206" s="102">
        <v>46045</v>
      </c>
      <c r="G206" s="83" t="s">
        <v>418</v>
      </c>
      <c r="H206" s="102">
        <v>46057</v>
      </c>
      <c r="I206" s="101" t="s">
        <v>940</v>
      </c>
      <c r="J206" s="101" t="s">
        <v>227</v>
      </c>
      <c r="K206" s="102"/>
      <c r="L206" s="83" t="s">
        <v>404</v>
      </c>
      <c r="M206" s="102"/>
      <c r="N206" s="101"/>
      <c r="O206" s="101" t="s">
        <v>1183</v>
      </c>
      <c r="P206" s="83">
        <f t="shared" ca="1" si="12"/>
        <v>12</v>
      </c>
      <c r="Q206" s="83" t="str">
        <f t="shared" si="13"/>
        <v>Closed</v>
      </c>
      <c r="R206" s="83" t="str">
        <f t="shared" si="14"/>
        <v>Closed</v>
      </c>
      <c r="S206" s="83" t="str">
        <f t="shared" si="15"/>
        <v/>
      </c>
      <c r="T206" s="101" t="str">
        <f>IFERROR(_xlfn.XLOOKUP(tblRecruitmentPipeline[[#This Row],[REQ_ID]],tblRequisitions[REQ_ID],tblRequisitions[DEPARTMENT],""),"")</f>
        <v>Collections</v>
      </c>
      <c r="U206" s="110" t="str">
        <f>IF(tblRecruitmentPipeline[[#This Row],[REQ_DEPARTMENT]]="","No","Yes")</f>
        <v>Yes</v>
      </c>
    </row>
    <row r="207" spans="1:21">
      <c r="A207" s="100" t="s">
        <v>1509</v>
      </c>
      <c r="B207" s="101" t="s">
        <v>973</v>
      </c>
      <c r="C207" s="101" t="s">
        <v>1510</v>
      </c>
      <c r="D207" s="101" t="s">
        <v>730</v>
      </c>
      <c r="E207" s="101" t="s">
        <v>403</v>
      </c>
      <c r="F207" s="102">
        <v>46042</v>
      </c>
      <c r="G207" s="83" t="s">
        <v>413</v>
      </c>
      <c r="H207" s="102">
        <v>46049</v>
      </c>
      <c r="I207" s="101" t="s">
        <v>940</v>
      </c>
      <c r="J207" s="101" t="s">
        <v>1030</v>
      </c>
      <c r="K207" s="102"/>
      <c r="L207" s="83" t="s">
        <v>404</v>
      </c>
      <c r="M207" s="102"/>
      <c r="N207" s="101" t="s">
        <v>1085</v>
      </c>
      <c r="O207" s="101"/>
      <c r="P207" s="83">
        <f t="shared" ca="1" si="12"/>
        <v>7</v>
      </c>
      <c r="Q207" s="83" t="str">
        <f t="shared" si="13"/>
        <v>Closed</v>
      </c>
      <c r="R207" s="83" t="str">
        <f t="shared" si="14"/>
        <v>Closed</v>
      </c>
      <c r="S207" s="83" t="str">
        <f t="shared" si="15"/>
        <v/>
      </c>
      <c r="T207" s="101" t="str">
        <f>IFERROR(_xlfn.XLOOKUP(tblRecruitmentPipeline[[#This Row],[REQ_ID]],tblRequisitions[REQ_ID],tblRequisitions[DEPARTMENT],""),"")</f>
        <v>Collections</v>
      </c>
      <c r="U207" s="110" t="str">
        <f>IF(tblRecruitmentPipeline[[#This Row],[REQ_DEPARTMENT]]="","No","Yes")</f>
        <v>Yes</v>
      </c>
    </row>
    <row r="208" spans="1:21">
      <c r="A208" s="100" t="s">
        <v>1511</v>
      </c>
      <c r="B208" s="101" t="s">
        <v>973</v>
      </c>
      <c r="C208" s="101" t="s">
        <v>1512</v>
      </c>
      <c r="D208" s="101" t="s">
        <v>1081</v>
      </c>
      <c r="E208" s="101" t="s">
        <v>375</v>
      </c>
      <c r="F208" s="102">
        <v>46046</v>
      </c>
      <c r="G208" s="83" t="s">
        <v>413</v>
      </c>
      <c r="H208" s="102">
        <v>46052</v>
      </c>
      <c r="I208" s="101" t="s">
        <v>940</v>
      </c>
      <c r="J208" s="101" t="s">
        <v>227</v>
      </c>
      <c r="K208" s="102"/>
      <c r="L208" s="83" t="s">
        <v>404</v>
      </c>
      <c r="M208" s="102"/>
      <c r="N208" s="101" t="s">
        <v>1085</v>
      </c>
      <c r="O208" s="101"/>
      <c r="P208" s="83">
        <f t="shared" ca="1" si="12"/>
        <v>6</v>
      </c>
      <c r="Q208" s="83" t="str">
        <f t="shared" si="13"/>
        <v>Closed</v>
      </c>
      <c r="R208" s="83" t="str">
        <f t="shared" si="14"/>
        <v>Closed</v>
      </c>
      <c r="S208" s="83" t="str">
        <f t="shared" si="15"/>
        <v/>
      </c>
      <c r="T208" s="101" t="str">
        <f>IFERROR(_xlfn.XLOOKUP(tblRecruitmentPipeline[[#This Row],[REQ_ID]],tblRequisitions[REQ_ID],tblRequisitions[DEPARTMENT],""),"")</f>
        <v>Collections</v>
      </c>
      <c r="U208" s="110" t="str">
        <f>IF(tblRecruitmentPipeline[[#This Row],[REQ_DEPARTMENT]]="","No","Yes")</f>
        <v>Yes</v>
      </c>
    </row>
    <row r="209" spans="1:21">
      <c r="A209" s="100" t="s">
        <v>1513</v>
      </c>
      <c r="B209" s="101" t="s">
        <v>974</v>
      </c>
      <c r="C209" s="101" t="s">
        <v>1514</v>
      </c>
      <c r="D209" s="101" t="s">
        <v>1515</v>
      </c>
      <c r="E209" s="101" t="s">
        <v>213</v>
      </c>
      <c r="F209" s="102">
        <v>45832</v>
      </c>
      <c r="G209" s="83" t="s">
        <v>219</v>
      </c>
      <c r="H209" s="102">
        <v>45860</v>
      </c>
      <c r="I209" s="101" t="s">
        <v>940</v>
      </c>
      <c r="J209" s="101" t="s">
        <v>1030</v>
      </c>
      <c r="K209" s="102">
        <v>45855</v>
      </c>
      <c r="L209" s="83" t="s">
        <v>231</v>
      </c>
      <c r="M209" s="102">
        <v>45865</v>
      </c>
      <c r="N209" s="101"/>
      <c r="O209" s="101"/>
      <c r="P209" s="83">
        <f t="shared" ca="1" si="12"/>
        <v>33</v>
      </c>
      <c r="Q209" s="83" t="str">
        <f t="shared" si="13"/>
        <v>Closed</v>
      </c>
      <c r="R209" s="83" t="str">
        <f t="shared" si="14"/>
        <v>Closed</v>
      </c>
      <c r="S209" s="83">
        <f t="shared" si="15"/>
        <v>33</v>
      </c>
      <c r="T209" s="101" t="str">
        <f>IFERROR(_xlfn.XLOOKUP(tblRecruitmentPipeline[[#This Row],[REQ_ID]],tblRequisitions[REQ_ID],tblRequisitions[DEPARTMENT],""),"")</f>
        <v>Credit Evaluation</v>
      </c>
      <c r="U209" s="110" t="str">
        <f>IF(tblRecruitmentPipeline[[#This Row],[REQ_DEPARTMENT]]="","No","Yes")</f>
        <v>Yes</v>
      </c>
    </row>
    <row r="210" spans="1:21">
      <c r="A210" s="100" t="s">
        <v>1516</v>
      </c>
      <c r="B210" s="101" t="s">
        <v>974</v>
      </c>
      <c r="C210" s="101" t="s">
        <v>1517</v>
      </c>
      <c r="D210" s="101" t="s">
        <v>1518</v>
      </c>
      <c r="E210" s="101" t="s">
        <v>403</v>
      </c>
      <c r="F210" s="102">
        <v>45821</v>
      </c>
      <c r="G210" s="83" t="s">
        <v>409</v>
      </c>
      <c r="H210" s="102">
        <v>45863</v>
      </c>
      <c r="I210" s="101" t="s">
        <v>940</v>
      </c>
      <c r="J210" s="101" t="s">
        <v>227</v>
      </c>
      <c r="K210" s="102">
        <v>45858</v>
      </c>
      <c r="L210" s="83" t="s">
        <v>323</v>
      </c>
      <c r="M210" s="102"/>
      <c r="N210" s="101"/>
      <c r="O210" s="101"/>
      <c r="P210" s="83">
        <f t="shared" ca="1" si="12"/>
        <v>324</v>
      </c>
      <c r="Q210" s="83" t="str">
        <f t="shared" ca="1" si="13"/>
        <v>Stale</v>
      </c>
      <c r="R210" s="83" t="str">
        <f t="shared" ca="1" si="14"/>
        <v>Delayed</v>
      </c>
      <c r="S210" s="83" t="str">
        <f t="shared" si="15"/>
        <v/>
      </c>
      <c r="T210" s="101" t="str">
        <f>IFERROR(_xlfn.XLOOKUP(tblRecruitmentPipeline[[#This Row],[REQ_ID]],tblRequisitions[REQ_ID],tblRequisitions[DEPARTMENT],""),"")</f>
        <v>Credit Evaluation</v>
      </c>
      <c r="U210" s="110" t="str">
        <f>IF(tblRecruitmentPipeline[[#This Row],[REQ_DEPARTMENT]]="","No","Yes")</f>
        <v>Yes</v>
      </c>
    </row>
    <row r="211" spans="1:21">
      <c r="A211" s="100" t="s">
        <v>1519</v>
      </c>
      <c r="B211" s="101" t="s">
        <v>974</v>
      </c>
      <c r="C211" s="101" t="s">
        <v>1520</v>
      </c>
      <c r="D211" s="101" t="s">
        <v>696</v>
      </c>
      <c r="E211" s="101" t="s">
        <v>384</v>
      </c>
      <c r="F211" s="102">
        <v>45835</v>
      </c>
      <c r="G211" s="83" t="s">
        <v>382</v>
      </c>
      <c r="H211" s="102">
        <v>45873</v>
      </c>
      <c r="I211" s="101" t="s">
        <v>940</v>
      </c>
      <c r="J211" s="101" t="s">
        <v>227</v>
      </c>
      <c r="K211" s="102"/>
      <c r="L211" s="83" t="s">
        <v>404</v>
      </c>
      <c r="M211" s="102"/>
      <c r="N211" s="101"/>
      <c r="O211" s="101"/>
      <c r="P211" s="83">
        <f t="shared" ca="1" si="12"/>
        <v>310</v>
      </c>
      <c r="Q211" s="83" t="str">
        <f t="shared" ca="1" si="13"/>
        <v>Stale</v>
      </c>
      <c r="R211" s="83" t="str">
        <f t="shared" ca="1" si="14"/>
        <v>Delayed</v>
      </c>
      <c r="S211" s="83" t="str">
        <f t="shared" si="15"/>
        <v/>
      </c>
      <c r="T211" s="101" t="str">
        <f>IFERROR(_xlfn.XLOOKUP(tblRecruitmentPipeline[[#This Row],[REQ_ID]],tblRequisitions[REQ_ID],tblRequisitions[DEPARTMENT],""),"")</f>
        <v>Credit Evaluation</v>
      </c>
      <c r="U211" s="110" t="str">
        <f>IF(tblRecruitmentPipeline[[#This Row],[REQ_DEPARTMENT]]="","No","Yes")</f>
        <v>Yes</v>
      </c>
    </row>
    <row r="212" spans="1:21">
      <c r="A212" s="100" t="s">
        <v>1521</v>
      </c>
      <c r="B212" s="101" t="s">
        <v>974</v>
      </c>
      <c r="C212" s="101" t="s">
        <v>1522</v>
      </c>
      <c r="D212" s="101" t="s">
        <v>1496</v>
      </c>
      <c r="E212" s="101" t="s">
        <v>414</v>
      </c>
      <c r="F212" s="102">
        <v>45846</v>
      </c>
      <c r="G212" s="83" t="s">
        <v>401</v>
      </c>
      <c r="H212" s="102">
        <v>45888</v>
      </c>
      <c r="I212" s="101" t="s">
        <v>940</v>
      </c>
      <c r="J212" s="101" t="s">
        <v>1030</v>
      </c>
      <c r="K212" s="102"/>
      <c r="L212" s="83" t="s">
        <v>404</v>
      </c>
      <c r="M212" s="102"/>
      <c r="N212" s="101"/>
      <c r="O212" s="101"/>
      <c r="P212" s="83">
        <f t="shared" ca="1" si="12"/>
        <v>299</v>
      </c>
      <c r="Q212" s="83" t="str">
        <f t="shared" ca="1" si="13"/>
        <v>Stale</v>
      </c>
      <c r="R212" s="83" t="str">
        <f t="shared" ca="1" si="14"/>
        <v>Delayed</v>
      </c>
      <c r="S212" s="83" t="str">
        <f t="shared" si="15"/>
        <v/>
      </c>
      <c r="T212" s="101" t="str">
        <f>IFERROR(_xlfn.XLOOKUP(tblRecruitmentPipeline[[#This Row],[REQ_ID]],tblRequisitions[REQ_ID],tblRequisitions[DEPARTMENT],""),"")</f>
        <v>Credit Evaluation</v>
      </c>
      <c r="U212" s="110" t="str">
        <f>IF(tblRecruitmentPipeline[[#This Row],[REQ_DEPARTMENT]]="","No","Yes")</f>
        <v>Yes</v>
      </c>
    </row>
    <row r="213" spans="1:21">
      <c r="A213" s="100" t="s">
        <v>1523</v>
      </c>
      <c r="B213" s="101" t="s">
        <v>974</v>
      </c>
      <c r="C213" s="101" t="s">
        <v>1524</v>
      </c>
      <c r="D213" s="101" t="s">
        <v>663</v>
      </c>
      <c r="E213" s="101" t="s">
        <v>412</v>
      </c>
      <c r="F213" s="102">
        <v>45829</v>
      </c>
      <c r="G213" s="83" t="s">
        <v>219</v>
      </c>
      <c r="H213" s="102">
        <v>45843</v>
      </c>
      <c r="I213" s="101" t="s">
        <v>940</v>
      </c>
      <c r="J213" s="101" t="s">
        <v>1030</v>
      </c>
      <c r="K213" s="102">
        <v>45842</v>
      </c>
      <c r="L213" s="83" t="s">
        <v>231</v>
      </c>
      <c r="M213" s="102">
        <v>45850</v>
      </c>
      <c r="N213" s="101"/>
      <c r="O213" s="101"/>
      <c r="P213" s="83">
        <f t="shared" ca="1" si="12"/>
        <v>21</v>
      </c>
      <c r="Q213" s="83" t="str">
        <f t="shared" si="13"/>
        <v>Closed</v>
      </c>
      <c r="R213" s="83" t="str">
        <f t="shared" si="14"/>
        <v>Closed</v>
      </c>
      <c r="S213" s="83">
        <f t="shared" si="15"/>
        <v>21</v>
      </c>
      <c r="T213" s="101" t="str">
        <f>IFERROR(_xlfn.XLOOKUP(tblRecruitmentPipeline[[#This Row],[REQ_ID]],tblRequisitions[REQ_ID],tblRequisitions[DEPARTMENT],""),"")</f>
        <v>Credit Evaluation</v>
      </c>
      <c r="U213" s="110" t="str">
        <f>IF(tblRecruitmentPipeline[[#This Row],[REQ_DEPARTMENT]]="","No","Yes")</f>
        <v>Yes</v>
      </c>
    </row>
    <row r="214" spans="1:21">
      <c r="A214" s="100" t="s">
        <v>1525</v>
      </c>
      <c r="B214" s="101" t="s">
        <v>974</v>
      </c>
      <c r="C214" s="101" t="s">
        <v>1526</v>
      </c>
      <c r="D214" s="101" t="s">
        <v>632</v>
      </c>
      <c r="E214" s="101" t="s">
        <v>261</v>
      </c>
      <c r="F214" s="102">
        <v>45828</v>
      </c>
      <c r="G214" s="83" t="s">
        <v>413</v>
      </c>
      <c r="H214" s="102">
        <v>45856</v>
      </c>
      <c r="I214" s="101" t="s">
        <v>940</v>
      </c>
      <c r="J214" s="101" t="s">
        <v>227</v>
      </c>
      <c r="K214" s="102"/>
      <c r="L214" s="83" t="s">
        <v>404</v>
      </c>
      <c r="M214" s="102"/>
      <c r="N214" s="101" t="s">
        <v>1078</v>
      </c>
      <c r="O214" s="101"/>
      <c r="P214" s="83">
        <f t="shared" ca="1" si="12"/>
        <v>28</v>
      </c>
      <c r="Q214" s="83" t="str">
        <f t="shared" si="13"/>
        <v>Closed</v>
      </c>
      <c r="R214" s="83" t="str">
        <f t="shared" si="14"/>
        <v>Closed</v>
      </c>
      <c r="S214" s="83" t="str">
        <f t="shared" si="15"/>
        <v/>
      </c>
      <c r="T214" s="101" t="str">
        <f>IFERROR(_xlfn.XLOOKUP(tblRecruitmentPipeline[[#This Row],[REQ_ID]],tblRequisitions[REQ_ID],tblRequisitions[DEPARTMENT],""),"")</f>
        <v>Credit Evaluation</v>
      </c>
      <c r="U214" s="110" t="str">
        <f>IF(tblRecruitmentPipeline[[#This Row],[REQ_DEPARTMENT]]="","No","Yes")</f>
        <v>Yes</v>
      </c>
    </row>
    <row r="215" spans="1:21">
      <c r="A215" s="100" t="s">
        <v>1527</v>
      </c>
      <c r="B215" s="101" t="s">
        <v>974</v>
      </c>
      <c r="C215" s="101" t="s">
        <v>1528</v>
      </c>
      <c r="D215" s="101" t="s">
        <v>574</v>
      </c>
      <c r="E215" s="101" t="s">
        <v>261</v>
      </c>
      <c r="F215" s="102">
        <v>45828</v>
      </c>
      <c r="G215" s="83" t="s">
        <v>372</v>
      </c>
      <c r="H215" s="102">
        <v>45842</v>
      </c>
      <c r="I215" s="101" t="s">
        <v>940</v>
      </c>
      <c r="J215" s="101" t="s">
        <v>1030</v>
      </c>
      <c r="K215" s="102"/>
      <c r="L215" s="83" t="s">
        <v>404</v>
      </c>
      <c r="M215" s="102"/>
      <c r="N215" s="101"/>
      <c r="O215" s="101"/>
      <c r="P215" s="83">
        <f t="shared" ca="1" si="12"/>
        <v>317</v>
      </c>
      <c r="Q215" s="83" t="str">
        <f t="shared" ca="1" si="13"/>
        <v>Stale</v>
      </c>
      <c r="R215" s="83" t="str">
        <f t="shared" ca="1" si="14"/>
        <v>Delayed</v>
      </c>
      <c r="S215" s="83" t="str">
        <f t="shared" si="15"/>
        <v/>
      </c>
      <c r="T215" s="101" t="str">
        <f>IFERROR(_xlfn.XLOOKUP(tblRecruitmentPipeline[[#This Row],[REQ_ID]],tblRequisitions[REQ_ID],tblRequisitions[DEPARTMENT],""),"")</f>
        <v>Credit Evaluation</v>
      </c>
      <c r="U215" s="110" t="str">
        <f>IF(tblRecruitmentPipeline[[#This Row],[REQ_DEPARTMENT]]="","No","Yes")</f>
        <v>Yes</v>
      </c>
    </row>
    <row r="216" spans="1:21">
      <c r="A216" s="100" t="s">
        <v>1529</v>
      </c>
      <c r="B216" s="101" t="s">
        <v>974</v>
      </c>
      <c r="C216" s="101" t="s">
        <v>1530</v>
      </c>
      <c r="D216" s="101" t="s">
        <v>1531</v>
      </c>
      <c r="E216" s="101" t="s">
        <v>375</v>
      </c>
      <c r="F216" s="102">
        <v>45834</v>
      </c>
      <c r="G216" s="83" t="s">
        <v>393</v>
      </c>
      <c r="H216" s="102">
        <v>45871</v>
      </c>
      <c r="I216" s="101" t="s">
        <v>940</v>
      </c>
      <c r="J216" s="101" t="s">
        <v>227</v>
      </c>
      <c r="K216" s="102"/>
      <c r="L216" s="83" t="s">
        <v>404</v>
      </c>
      <c r="M216" s="102"/>
      <c r="N216" s="101"/>
      <c r="O216" s="101"/>
      <c r="P216" s="83">
        <f t="shared" ca="1" si="12"/>
        <v>311</v>
      </c>
      <c r="Q216" s="83" t="str">
        <f t="shared" ca="1" si="13"/>
        <v>Stale</v>
      </c>
      <c r="R216" s="83" t="str">
        <f t="shared" ca="1" si="14"/>
        <v>Delayed</v>
      </c>
      <c r="S216" s="83" t="str">
        <f t="shared" si="15"/>
        <v/>
      </c>
      <c r="T216" s="101" t="str">
        <f>IFERROR(_xlfn.XLOOKUP(tblRecruitmentPipeline[[#This Row],[REQ_ID]],tblRequisitions[REQ_ID],tblRequisitions[DEPARTMENT],""),"")</f>
        <v>Credit Evaluation</v>
      </c>
      <c r="U216" s="110" t="str">
        <f>IF(tblRecruitmentPipeline[[#This Row],[REQ_DEPARTMENT]]="","No","Yes")</f>
        <v>Yes</v>
      </c>
    </row>
    <row r="217" spans="1:21">
      <c r="A217" s="100" t="s">
        <v>1532</v>
      </c>
      <c r="B217" s="101" t="s">
        <v>974</v>
      </c>
      <c r="C217" s="101" t="s">
        <v>1533</v>
      </c>
      <c r="D217" s="101" t="s">
        <v>1177</v>
      </c>
      <c r="E217" s="101" t="s">
        <v>414</v>
      </c>
      <c r="F217" s="102">
        <v>45836</v>
      </c>
      <c r="G217" s="83" t="s">
        <v>393</v>
      </c>
      <c r="H217" s="102">
        <v>45884</v>
      </c>
      <c r="I217" s="101" t="s">
        <v>940</v>
      </c>
      <c r="J217" s="101" t="s">
        <v>1030</v>
      </c>
      <c r="K217" s="102"/>
      <c r="L217" s="83" t="s">
        <v>404</v>
      </c>
      <c r="M217" s="102"/>
      <c r="N217" s="101"/>
      <c r="O217" s="101"/>
      <c r="P217" s="83">
        <f t="shared" ca="1" si="12"/>
        <v>309</v>
      </c>
      <c r="Q217" s="83" t="str">
        <f t="shared" ca="1" si="13"/>
        <v>Stale</v>
      </c>
      <c r="R217" s="83" t="str">
        <f t="shared" ca="1" si="14"/>
        <v>Delayed</v>
      </c>
      <c r="S217" s="83" t="str">
        <f t="shared" si="15"/>
        <v/>
      </c>
      <c r="T217" s="101" t="str">
        <f>IFERROR(_xlfn.XLOOKUP(tblRecruitmentPipeline[[#This Row],[REQ_ID]],tblRequisitions[REQ_ID],tblRequisitions[DEPARTMENT],""),"")</f>
        <v>Credit Evaluation</v>
      </c>
      <c r="U217" s="110" t="str">
        <f>IF(tblRecruitmentPipeline[[#This Row],[REQ_DEPARTMENT]]="","No","Yes")</f>
        <v>Yes</v>
      </c>
    </row>
    <row r="218" spans="1:21">
      <c r="A218" s="100" t="s">
        <v>1534</v>
      </c>
      <c r="B218" s="101" t="s">
        <v>975</v>
      </c>
      <c r="C218" s="101" t="s">
        <v>1535</v>
      </c>
      <c r="D218" s="101" t="s">
        <v>1536</v>
      </c>
      <c r="E218" s="101" t="s">
        <v>403</v>
      </c>
      <c r="F218" s="102">
        <v>45866</v>
      </c>
      <c r="G218" s="83" t="s">
        <v>413</v>
      </c>
      <c r="H218" s="102">
        <v>45898</v>
      </c>
      <c r="I218" s="101" t="s">
        <v>940</v>
      </c>
      <c r="J218" s="101" t="s">
        <v>1030</v>
      </c>
      <c r="K218" s="102"/>
      <c r="L218" s="83" t="s">
        <v>404</v>
      </c>
      <c r="M218" s="102"/>
      <c r="N218" s="101" t="s">
        <v>1078</v>
      </c>
      <c r="O218" s="101"/>
      <c r="P218" s="83">
        <f t="shared" ca="1" si="12"/>
        <v>32</v>
      </c>
      <c r="Q218" s="83" t="str">
        <f t="shared" si="13"/>
        <v>Closed</v>
      </c>
      <c r="R218" s="83" t="str">
        <f t="shared" si="14"/>
        <v>Closed</v>
      </c>
      <c r="S218" s="83" t="str">
        <f t="shared" si="15"/>
        <v/>
      </c>
      <c r="T218" s="101" t="str">
        <f>IFERROR(_xlfn.XLOOKUP(tblRecruitmentPipeline[[#This Row],[REQ_ID]],tblRequisitions[REQ_ID],tblRequisitions[DEPARTMENT],""),"")</f>
        <v>Finance</v>
      </c>
      <c r="U218" s="110" t="str">
        <f>IF(tblRecruitmentPipeline[[#This Row],[REQ_DEPARTMENT]]="","No","Yes")</f>
        <v>Yes</v>
      </c>
    </row>
    <row r="219" spans="1:21">
      <c r="A219" s="100" t="s">
        <v>1537</v>
      </c>
      <c r="B219" s="101" t="s">
        <v>975</v>
      </c>
      <c r="C219" s="101" t="s">
        <v>1538</v>
      </c>
      <c r="D219" s="101" t="s">
        <v>1266</v>
      </c>
      <c r="E219" s="101" t="s">
        <v>412</v>
      </c>
      <c r="F219" s="102">
        <v>45874</v>
      </c>
      <c r="G219" s="83" t="s">
        <v>413</v>
      </c>
      <c r="H219" s="102">
        <v>45910</v>
      </c>
      <c r="I219" s="101" t="s">
        <v>940</v>
      </c>
      <c r="J219" s="101" t="s">
        <v>1030</v>
      </c>
      <c r="K219" s="102"/>
      <c r="L219" s="83" t="s">
        <v>404</v>
      </c>
      <c r="M219" s="102"/>
      <c r="N219" s="101" t="s">
        <v>1085</v>
      </c>
      <c r="O219" s="101"/>
      <c r="P219" s="83">
        <f t="shared" ca="1" si="12"/>
        <v>36</v>
      </c>
      <c r="Q219" s="83" t="str">
        <f t="shared" si="13"/>
        <v>Closed</v>
      </c>
      <c r="R219" s="83" t="str">
        <f t="shared" si="14"/>
        <v>Closed</v>
      </c>
      <c r="S219" s="83" t="str">
        <f t="shared" si="15"/>
        <v/>
      </c>
      <c r="T219" s="101" t="str">
        <f>IFERROR(_xlfn.XLOOKUP(tblRecruitmentPipeline[[#This Row],[REQ_ID]],tblRequisitions[REQ_ID],tblRequisitions[DEPARTMENT],""),"")</f>
        <v>Finance</v>
      </c>
      <c r="U219" s="110" t="str">
        <f>IF(tblRecruitmentPipeline[[#This Row],[REQ_DEPARTMENT]]="","No","Yes")</f>
        <v>Yes</v>
      </c>
    </row>
    <row r="220" spans="1:21">
      <c r="A220" s="100" t="s">
        <v>1539</v>
      </c>
      <c r="B220" s="101" t="s">
        <v>975</v>
      </c>
      <c r="C220" s="101" t="s">
        <v>1540</v>
      </c>
      <c r="D220" s="101" t="s">
        <v>1193</v>
      </c>
      <c r="E220" s="101" t="s">
        <v>213</v>
      </c>
      <c r="F220" s="102">
        <v>45878</v>
      </c>
      <c r="G220" s="83" t="s">
        <v>393</v>
      </c>
      <c r="H220" s="102">
        <v>45926</v>
      </c>
      <c r="I220" s="101" t="s">
        <v>940</v>
      </c>
      <c r="J220" s="101" t="s">
        <v>227</v>
      </c>
      <c r="K220" s="102"/>
      <c r="L220" s="83" t="s">
        <v>404</v>
      </c>
      <c r="M220" s="102"/>
      <c r="N220" s="101"/>
      <c r="O220" s="101"/>
      <c r="P220" s="83">
        <f t="shared" ca="1" si="12"/>
        <v>267</v>
      </c>
      <c r="Q220" s="83" t="str">
        <f t="shared" ca="1" si="13"/>
        <v>Stale</v>
      </c>
      <c r="R220" s="83" t="str">
        <f t="shared" ca="1" si="14"/>
        <v>Delayed</v>
      </c>
      <c r="S220" s="83" t="str">
        <f t="shared" si="15"/>
        <v/>
      </c>
      <c r="T220" s="101" t="str">
        <f>IFERROR(_xlfn.XLOOKUP(tblRecruitmentPipeline[[#This Row],[REQ_ID]],tblRequisitions[REQ_ID],tblRequisitions[DEPARTMENT],""),"")</f>
        <v>Finance</v>
      </c>
      <c r="U220" s="110" t="str">
        <f>IF(tblRecruitmentPipeline[[#This Row],[REQ_DEPARTMENT]]="","No","Yes")</f>
        <v>Yes</v>
      </c>
    </row>
    <row r="221" spans="1:21">
      <c r="A221" s="100" t="s">
        <v>1541</v>
      </c>
      <c r="B221" s="101" t="s">
        <v>975</v>
      </c>
      <c r="C221" s="101" t="s">
        <v>1542</v>
      </c>
      <c r="D221" s="101" t="s">
        <v>730</v>
      </c>
      <c r="E221" s="101" t="s">
        <v>375</v>
      </c>
      <c r="F221" s="102">
        <v>45846</v>
      </c>
      <c r="G221" s="83" t="s">
        <v>382</v>
      </c>
      <c r="H221" s="102">
        <v>45891</v>
      </c>
      <c r="I221" s="101" t="s">
        <v>940</v>
      </c>
      <c r="J221" s="101" t="s">
        <v>1030</v>
      </c>
      <c r="K221" s="102"/>
      <c r="L221" s="83" t="s">
        <v>404</v>
      </c>
      <c r="M221" s="102"/>
      <c r="N221" s="101"/>
      <c r="O221" s="101"/>
      <c r="P221" s="83">
        <f t="shared" ca="1" si="12"/>
        <v>299</v>
      </c>
      <c r="Q221" s="83" t="str">
        <f t="shared" ca="1" si="13"/>
        <v>Stale</v>
      </c>
      <c r="R221" s="83" t="str">
        <f t="shared" ca="1" si="14"/>
        <v>Delayed</v>
      </c>
      <c r="S221" s="83" t="str">
        <f t="shared" si="15"/>
        <v/>
      </c>
      <c r="T221" s="101" t="str">
        <f>IFERROR(_xlfn.XLOOKUP(tblRecruitmentPipeline[[#This Row],[REQ_ID]],tblRequisitions[REQ_ID],tblRequisitions[DEPARTMENT],""),"")</f>
        <v>Finance</v>
      </c>
      <c r="U221" s="110" t="str">
        <f>IF(tblRecruitmentPipeline[[#This Row],[REQ_DEPARTMENT]]="","No","Yes")</f>
        <v>Yes</v>
      </c>
    </row>
    <row r="222" spans="1:21">
      <c r="A222" s="100" t="s">
        <v>1543</v>
      </c>
      <c r="B222" s="101" t="s">
        <v>976</v>
      </c>
      <c r="C222" s="101" t="s">
        <v>1544</v>
      </c>
      <c r="D222" s="101" t="s">
        <v>917</v>
      </c>
      <c r="E222" s="101" t="s">
        <v>384</v>
      </c>
      <c r="F222" s="102">
        <v>46055</v>
      </c>
      <c r="G222" s="83" t="s">
        <v>418</v>
      </c>
      <c r="H222" s="102">
        <v>46097</v>
      </c>
      <c r="I222" s="101" t="s">
        <v>938</v>
      </c>
      <c r="J222" s="101" t="s">
        <v>227</v>
      </c>
      <c r="K222" s="102"/>
      <c r="L222" s="83" t="s">
        <v>404</v>
      </c>
      <c r="M222" s="102"/>
      <c r="N222" s="101"/>
      <c r="O222" s="101" t="s">
        <v>1183</v>
      </c>
      <c r="P222" s="83">
        <f t="shared" ca="1" si="12"/>
        <v>42</v>
      </c>
      <c r="Q222" s="83" t="str">
        <f t="shared" si="13"/>
        <v>Closed</v>
      </c>
      <c r="R222" s="83" t="str">
        <f t="shared" si="14"/>
        <v>Closed</v>
      </c>
      <c r="S222" s="83" t="str">
        <f t="shared" si="15"/>
        <v/>
      </c>
      <c r="T222" s="101" t="str">
        <f>IFERROR(_xlfn.XLOOKUP(tblRecruitmentPipeline[[#This Row],[REQ_ID]],tblRequisitions[REQ_ID],tblRequisitions[DEPARTMENT],""),"")</f>
        <v>Loan Processing</v>
      </c>
      <c r="U222" s="110" t="str">
        <f>IF(tblRecruitmentPipeline[[#This Row],[REQ_DEPARTMENT]]="","No","Yes")</f>
        <v>Yes</v>
      </c>
    </row>
    <row r="223" spans="1:21">
      <c r="A223" s="100" t="s">
        <v>1545</v>
      </c>
      <c r="B223" s="101" t="s">
        <v>976</v>
      </c>
      <c r="C223" s="101" t="s">
        <v>1546</v>
      </c>
      <c r="D223" s="101" t="s">
        <v>1547</v>
      </c>
      <c r="E223" s="101" t="s">
        <v>412</v>
      </c>
      <c r="F223" s="102">
        <v>46041</v>
      </c>
      <c r="G223" s="83" t="s">
        <v>413</v>
      </c>
      <c r="H223" s="102">
        <v>46091</v>
      </c>
      <c r="I223" s="101" t="s">
        <v>938</v>
      </c>
      <c r="J223" s="101" t="s">
        <v>1030</v>
      </c>
      <c r="K223" s="102"/>
      <c r="L223" s="83" t="s">
        <v>404</v>
      </c>
      <c r="M223" s="102"/>
      <c r="N223" s="101" t="s">
        <v>1085</v>
      </c>
      <c r="O223" s="101"/>
      <c r="P223" s="83">
        <f t="shared" ca="1" si="12"/>
        <v>50</v>
      </c>
      <c r="Q223" s="83" t="str">
        <f t="shared" si="13"/>
        <v>Closed</v>
      </c>
      <c r="R223" s="83" t="str">
        <f t="shared" si="14"/>
        <v>Closed</v>
      </c>
      <c r="S223" s="83" t="str">
        <f t="shared" si="15"/>
        <v/>
      </c>
      <c r="T223" s="101" t="str">
        <f>IFERROR(_xlfn.XLOOKUP(tblRecruitmentPipeline[[#This Row],[REQ_ID]],tblRequisitions[REQ_ID],tblRequisitions[DEPARTMENT],""),"")</f>
        <v>Loan Processing</v>
      </c>
      <c r="U223" s="110" t="str">
        <f>IF(tblRecruitmentPipeline[[#This Row],[REQ_DEPARTMENT]]="","No","Yes")</f>
        <v>Yes</v>
      </c>
    </row>
    <row r="224" spans="1:21">
      <c r="A224" s="100" t="s">
        <v>1548</v>
      </c>
      <c r="B224" s="101" t="s">
        <v>976</v>
      </c>
      <c r="C224" s="101" t="s">
        <v>1549</v>
      </c>
      <c r="D224" s="101" t="s">
        <v>887</v>
      </c>
      <c r="E224" s="101" t="s">
        <v>403</v>
      </c>
      <c r="F224" s="102">
        <v>46051</v>
      </c>
      <c r="G224" s="83" t="s">
        <v>393</v>
      </c>
      <c r="H224" s="102">
        <v>46084</v>
      </c>
      <c r="I224" s="101" t="s">
        <v>938</v>
      </c>
      <c r="J224" s="101" t="s">
        <v>36</v>
      </c>
      <c r="K224" s="102"/>
      <c r="L224" s="83" t="s">
        <v>404</v>
      </c>
      <c r="M224" s="102"/>
      <c r="N224" s="101"/>
      <c r="O224" s="101"/>
      <c r="P224" s="83">
        <f t="shared" ca="1" si="12"/>
        <v>94</v>
      </c>
      <c r="Q224" s="83" t="str">
        <f t="shared" ca="1" si="13"/>
        <v>Stale</v>
      </c>
      <c r="R224" s="83" t="str">
        <f t="shared" ca="1" si="14"/>
        <v>Delayed</v>
      </c>
      <c r="S224" s="83" t="str">
        <f t="shared" si="15"/>
        <v/>
      </c>
      <c r="T224" s="101" t="str">
        <f>IFERROR(_xlfn.XLOOKUP(tblRecruitmentPipeline[[#This Row],[REQ_ID]],tblRequisitions[REQ_ID],tblRequisitions[DEPARTMENT],""),"")</f>
        <v>Loan Processing</v>
      </c>
      <c r="U224" s="110" t="str">
        <f>IF(tblRecruitmentPipeline[[#This Row],[REQ_DEPARTMENT]]="","No","Yes")</f>
        <v>Yes</v>
      </c>
    </row>
    <row r="225" spans="1:21">
      <c r="A225" s="100" t="s">
        <v>1550</v>
      </c>
      <c r="B225" s="101" t="s">
        <v>976</v>
      </c>
      <c r="C225" s="101" t="s">
        <v>1551</v>
      </c>
      <c r="D225" s="101" t="s">
        <v>630</v>
      </c>
      <c r="E225" s="101" t="s">
        <v>414</v>
      </c>
      <c r="F225" s="102">
        <v>46047</v>
      </c>
      <c r="G225" s="83" t="s">
        <v>401</v>
      </c>
      <c r="H225" s="102">
        <v>46060</v>
      </c>
      <c r="I225" s="101" t="s">
        <v>938</v>
      </c>
      <c r="J225" s="101" t="s">
        <v>1030</v>
      </c>
      <c r="K225" s="102"/>
      <c r="L225" s="83" t="s">
        <v>404</v>
      </c>
      <c r="M225" s="102"/>
      <c r="N225" s="101"/>
      <c r="O225" s="101"/>
      <c r="P225" s="83">
        <f t="shared" ca="1" si="12"/>
        <v>98</v>
      </c>
      <c r="Q225" s="83" t="str">
        <f t="shared" ca="1" si="13"/>
        <v>Stale</v>
      </c>
      <c r="R225" s="83" t="str">
        <f t="shared" ca="1" si="14"/>
        <v>Delayed</v>
      </c>
      <c r="S225" s="83" t="str">
        <f t="shared" si="15"/>
        <v/>
      </c>
      <c r="T225" s="101" t="str">
        <f>IFERROR(_xlfn.XLOOKUP(tblRecruitmentPipeline[[#This Row],[REQ_ID]],tblRequisitions[REQ_ID],tblRequisitions[DEPARTMENT],""),"")</f>
        <v>Loan Processing</v>
      </c>
      <c r="U225" s="110" t="str">
        <f>IF(tblRecruitmentPipeline[[#This Row],[REQ_DEPARTMENT]]="","No","Yes")</f>
        <v>Yes</v>
      </c>
    </row>
    <row r="226" spans="1:21">
      <c r="A226" s="100" t="s">
        <v>1552</v>
      </c>
      <c r="B226" s="101" t="s">
        <v>976</v>
      </c>
      <c r="C226" s="101" t="s">
        <v>1553</v>
      </c>
      <c r="D226" s="101" t="s">
        <v>1081</v>
      </c>
      <c r="E226" s="101" t="s">
        <v>384</v>
      </c>
      <c r="F226" s="102">
        <v>46046</v>
      </c>
      <c r="G226" s="83" t="s">
        <v>413</v>
      </c>
      <c r="H226" s="102">
        <v>46076</v>
      </c>
      <c r="I226" s="101" t="s">
        <v>938</v>
      </c>
      <c r="J226" s="101" t="s">
        <v>36</v>
      </c>
      <c r="K226" s="102"/>
      <c r="L226" s="83" t="s">
        <v>404</v>
      </c>
      <c r="M226" s="102"/>
      <c r="N226" s="101" t="s">
        <v>1027</v>
      </c>
      <c r="O226" s="101"/>
      <c r="P226" s="83">
        <f t="shared" ca="1" si="12"/>
        <v>30</v>
      </c>
      <c r="Q226" s="83" t="str">
        <f t="shared" si="13"/>
        <v>Closed</v>
      </c>
      <c r="R226" s="83" t="str">
        <f t="shared" si="14"/>
        <v>Closed</v>
      </c>
      <c r="S226" s="83" t="str">
        <f t="shared" si="15"/>
        <v/>
      </c>
      <c r="T226" s="101" t="str">
        <f>IFERROR(_xlfn.XLOOKUP(tblRecruitmentPipeline[[#This Row],[REQ_ID]],tblRequisitions[REQ_ID],tblRequisitions[DEPARTMENT],""),"")</f>
        <v>Loan Processing</v>
      </c>
      <c r="U226" s="110" t="str">
        <f>IF(tblRecruitmentPipeline[[#This Row],[REQ_DEPARTMENT]]="","No","Yes")</f>
        <v>Yes</v>
      </c>
    </row>
    <row r="227" spans="1:21">
      <c r="A227" s="100" t="s">
        <v>1554</v>
      </c>
      <c r="B227" s="101" t="s">
        <v>977</v>
      </c>
      <c r="C227" s="101" t="s">
        <v>1555</v>
      </c>
      <c r="D227" s="101" t="s">
        <v>732</v>
      </c>
      <c r="E227" s="101" t="s">
        <v>414</v>
      </c>
      <c r="F227" s="102">
        <v>46011</v>
      </c>
      <c r="G227" s="83" t="s">
        <v>393</v>
      </c>
      <c r="H227" s="102">
        <v>46033</v>
      </c>
      <c r="I227" s="101" t="s">
        <v>942</v>
      </c>
      <c r="J227" s="101" t="s">
        <v>227</v>
      </c>
      <c r="K227" s="102"/>
      <c r="L227" s="83" t="s">
        <v>404</v>
      </c>
      <c r="M227" s="102"/>
      <c r="N227" s="101"/>
      <c r="O227" s="101"/>
      <c r="P227" s="83">
        <f t="shared" ca="1" si="12"/>
        <v>134</v>
      </c>
      <c r="Q227" s="83" t="str">
        <f t="shared" ca="1" si="13"/>
        <v>Stale</v>
      </c>
      <c r="R227" s="83" t="str">
        <f t="shared" ca="1" si="14"/>
        <v>Delayed</v>
      </c>
      <c r="S227" s="83" t="str">
        <f t="shared" si="15"/>
        <v/>
      </c>
      <c r="T227" s="101" t="str">
        <f>IFERROR(_xlfn.XLOOKUP(tblRecruitmentPipeline[[#This Row],[REQ_ID]],tblRequisitions[REQ_ID],tblRequisitions[DEPARTMENT],""),"")</f>
        <v>Sales &amp; Marketing</v>
      </c>
      <c r="U227" s="110" t="str">
        <f>IF(tblRecruitmentPipeline[[#This Row],[REQ_DEPARTMENT]]="","No","Yes")</f>
        <v>Yes</v>
      </c>
    </row>
    <row r="228" spans="1:21">
      <c r="A228" s="100" t="s">
        <v>1556</v>
      </c>
      <c r="B228" s="101" t="s">
        <v>977</v>
      </c>
      <c r="C228" s="101" t="s">
        <v>1557</v>
      </c>
      <c r="D228" s="101" t="s">
        <v>1558</v>
      </c>
      <c r="E228" s="101" t="s">
        <v>412</v>
      </c>
      <c r="F228" s="102">
        <v>45986</v>
      </c>
      <c r="G228" s="83" t="s">
        <v>382</v>
      </c>
      <c r="H228" s="102">
        <v>45990</v>
      </c>
      <c r="I228" s="101" t="s">
        <v>942</v>
      </c>
      <c r="J228" s="101" t="s">
        <v>227</v>
      </c>
      <c r="K228" s="102"/>
      <c r="L228" s="83" t="s">
        <v>404</v>
      </c>
      <c r="M228" s="102"/>
      <c r="N228" s="101"/>
      <c r="O228" s="101"/>
      <c r="P228" s="83">
        <f t="shared" ca="1" si="12"/>
        <v>159</v>
      </c>
      <c r="Q228" s="83" t="str">
        <f t="shared" ca="1" si="13"/>
        <v>Stale</v>
      </c>
      <c r="R228" s="83" t="str">
        <f t="shared" ca="1" si="14"/>
        <v>Delayed</v>
      </c>
      <c r="S228" s="83" t="str">
        <f t="shared" si="15"/>
        <v/>
      </c>
      <c r="T228" s="101" t="str">
        <f>IFERROR(_xlfn.XLOOKUP(tblRecruitmentPipeline[[#This Row],[REQ_ID]],tblRequisitions[REQ_ID],tblRequisitions[DEPARTMENT],""),"")</f>
        <v>Sales &amp; Marketing</v>
      </c>
      <c r="U228" s="110" t="str">
        <f>IF(tblRecruitmentPipeline[[#This Row],[REQ_DEPARTMENT]]="","No","Yes")</f>
        <v>Yes</v>
      </c>
    </row>
    <row r="229" spans="1:21">
      <c r="A229" s="100" t="s">
        <v>1559</v>
      </c>
      <c r="B229" s="101" t="s">
        <v>977</v>
      </c>
      <c r="C229" s="101" t="s">
        <v>1560</v>
      </c>
      <c r="D229" s="101" t="s">
        <v>680</v>
      </c>
      <c r="E229" s="101" t="s">
        <v>261</v>
      </c>
      <c r="F229" s="102">
        <v>45985</v>
      </c>
      <c r="G229" s="83" t="s">
        <v>372</v>
      </c>
      <c r="H229" s="102">
        <v>45989</v>
      </c>
      <c r="I229" s="101" t="s">
        <v>942</v>
      </c>
      <c r="J229" s="101" t="s">
        <v>36</v>
      </c>
      <c r="K229" s="102"/>
      <c r="L229" s="83" t="s">
        <v>404</v>
      </c>
      <c r="M229" s="102"/>
      <c r="N229" s="101"/>
      <c r="O229" s="101"/>
      <c r="P229" s="83">
        <f t="shared" ca="1" si="12"/>
        <v>160</v>
      </c>
      <c r="Q229" s="83" t="str">
        <f t="shared" ca="1" si="13"/>
        <v>Stale</v>
      </c>
      <c r="R229" s="83" t="str">
        <f t="shared" ca="1" si="14"/>
        <v>Delayed</v>
      </c>
      <c r="S229" s="83" t="str">
        <f t="shared" si="15"/>
        <v/>
      </c>
      <c r="T229" s="101" t="str">
        <f>IFERROR(_xlfn.XLOOKUP(tblRecruitmentPipeline[[#This Row],[REQ_ID]],tblRequisitions[REQ_ID],tblRequisitions[DEPARTMENT],""),"")</f>
        <v>Sales &amp; Marketing</v>
      </c>
      <c r="U229" s="110" t="str">
        <f>IF(tblRecruitmentPipeline[[#This Row],[REQ_DEPARTMENT]]="","No","Yes")</f>
        <v>Yes</v>
      </c>
    </row>
    <row r="230" spans="1:21">
      <c r="A230" s="100" t="s">
        <v>1561</v>
      </c>
      <c r="B230" s="101" t="s">
        <v>977</v>
      </c>
      <c r="C230" s="101" t="s">
        <v>1562</v>
      </c>
      <c r="D230" s="101" t="s">
        <v>638</v>
      </c>
      <c r="E230" s="101" t="s">
        <v>375</v>
      </c>
      <c r="F230" s="102">
        <v>45980</v>
      </c>
      <c r="G230" s="83" t="s">
        <v>372</v>
      </c>
      <c r="H230" s="102">
        <v>46024</v>
      </c>
      <c r="I230" s="101" t="s">
        <v>942</v>
      </c>
      <c r="J230" s="101" t="s">
        <v>227</v>
      </c>
      <c r="K230" s="102"/>
      <c r="L230" s="83" t="s">
        <v>404</v>
      </c>
      <c r="M230" s="102"/>
      <c r="N230" s="101"/>
      <c r="O230" s="101"/>
      <c r="P230" s="83">
        <f t="shared" ca="1" si="12"/>
        <v>165</v>
      </c>
      <c r="Q230" s="83" t="str">
        <f t="shared" ca="1" si="13"/>
        <v>Stale</v>
      </c>
      <c r="R230" s="83" t="str">
        <f t="shared" ca="1" si="14"/>
        <v>Delayed</v>
      </c>
      <c r="S230" s="83" t="str">
        <f t="shared" si="15"/>
        <v/>
      </c>
      <c r="T230" s="101" t="str">
        <f>IFERROR(_xlfn.XLOOKUP(tblRecruitmentPipeline[[#This Row],[REQ_ID]],tblRequisitions[REQ_ID],tblRequisitions[DEPARTMENT],""),"")</f>
        <v>Sales &amp; Marketing</v>
      </c>
      <c r="U230" s="110" t="str">
        <f>IF(tblRecruitmentPipeline[[#This Row],[REQ_DEPARTMENT]]="","No","Yes")</f>
        <v>Yes</v>
      </c>
    </row>
    <row r="231" spans="1:21">
      <c r="A231" s="100" t="s">
        <v>1563</v>
      </c>
      <c r="B231" s="101" t="s">
        <v>977</v>
      </c>
      <c r="C231" s="101" t="s">
        <v>1564</v>
      </c>
      <c r="D231" s="101" t="s">
        <v>1565</v>
      </c>
      <c r="E231" s="101" t="s">
        <v>261</v>
      </c>
      <c r="F231" s="102">
        <v>45997</v>
      </c>
      <c r="G231" s="83" t="s">
        <v>409</v>
      </c>
      <c r="H231" s="102">
        <v>46012</v>
      </c>
      <c r="I231" s="101" t="s">
        <v>942</v>
      </c>
      <c r="J231" s="101" t="s">
        <v>227</v>
      </c>
      <c r="K231" s="102">
        <v>46009</v>
      </c>
      <c r="L231" s="83" t="s">
        <v>323</v>
      </c>
      <c r="M231" s="102"/>
      <c r="N231" s="101"/>
      <c r="O231" s="101"/>
      <c r="P231" s="83">
        <f t="shared" ca="1" si="12"/>
        <v>148</v>
      </c>
      <c r="Q231" s="83" t="str">
        <f t="shared" ca="1" si="13"/>
        <v>Stale</v>
      </c>
      <c r="R231" s="83" t="str">
        <f t="shared" ca="1" si="14"/>
        <v>Delayed</v>
      </c>
      <c r="S231" s="83" t="str">
        <f t="shared" si="15"/>
        <v/>
      </c>
      <c r="T231" s="101" t="str">
        <f>IFERROR(_xlfn.XLOOKUP(tblRecruitmentPipeline[[#This Row],[REQ_ID]],tblRequisitions[REQ_ID],tblRequisitions[DEPARTMENT],""),"")</f>
        <v>Sales &amp; Marketing</v>
      </c>
      <c r="U231" s="110" t="str">
        <f>IF(tblRecruitmentPipeline[[#This Row],[REQ_DEPARTMENT]]="","No","Yes")</f>
        <v>Yes</v>
      </c>
    </row>
    <row r="232" spans="1:21">
      <c r="A232" s="100" t="s">
        <v>1566</v>
      </c>
      <c r="B232" s="101" t="s">
        <v>977</v>
      </c>
      <c r="C232" s="101" t="s">
        <v>1567</v>
      </c>
      <c r="D232" s="101" t="s">
        <v>634</v>
      </c>
      <c r="E232" s="101" t="s">
        <v>384</v>
      </c>
      <c r="F232" s="102">
        <v>45998</v>
      </c>
      <c r="G232" s="83" t="s">
        <v>413</v>
      </c>
      <c r="H232" s="102">
        <v>46042</v>
      </c>
      <c r="I232" s="101" t="s">
        <v>942</v>
      </c>
      <c r="J232" s="101" t="s">
        <v>36</v>
      </c>
      <c r="K232" s="102"/>
      <c r="L232" s="83" t="s">
        <v>404</v>
      </c>
      <c r="M232" s="102"/>
      <c r="N232" s="101" t="s">
        <v>1027</v>
      </c>
      <c r="O232" s="101"/>
      <c r="P232" s="83">
        <f t="shared" ca="1" si="12"/>
        <v>44</v>
      </c>
      <c r="Q232" s="83" t="str">
        <f t="shared" si="13"/>
        <v>Closed</v>
      </c>
      <c r="R232" s="83" t="str">
        <f t="shared" si="14"/>
        <v>Closed</v>
      </c>
      <c r="S232" s="83" t="str">
        <f t="shared" si="15"/>
        <v/>
      </c>
      <c r="T232" s="101" t="str">
        <f>IFERROR(_xlfn.XLOOKUP(tblRecruitmentPipeline[[#This Row],[REQ_ID]],tblRequisitions[REQ_ID],tblRequisitions[DEPARTMENT],""),"")</f>
        <v>Sales &amp; Marketing</v>
      </c>
      <c r="U232" s="110" t="str">
        <f>IF(tblRecruitmentPipeline[[#This Row],[REQ_DEPARTMENT]]="","No","Yes")</f>
        <v>Yes</v>
      </c>
    </row>
    <row r="233" spans="1:21">
      <c r="A233" s="100" t="s">
        <v>1568</v>
      </c>
      <c r="B233" s="101" t="s">
        <v>978</v>
      </c>
      <c r="C233" s="101" t="s">
        <v>1569</v>
      </c>
      <c r="D233" s="101" t="s">
        <v>1570</v>
      </c>
      <c r="E233" s="101" t="s">
        <v>213</v>
      </c>
      <c r="F233" s="102">
        <v>45927</v>
      </c>
      <c r="G233" s="83" t="s">
        <v>401</v>
      </c>
      <c r="H233" s="102">
        <v>45942</v>
      </c>
      <c r="I233" s="101" t="s">
        <v>942</v>
      </c>
      <c r="J233" s="101" t="s">
        <v>36</v>
      </c>
      <c r="K233" s="102"/>
      <c r="L233" s="83" t="s">
        <v>404</v>
      </c>
      <c r="M233" s="102"/>
      <c r="N233" s="101"/>
      <c r="O233" s="101"/>
      <c r="P233" s="83">
        <f t="shared" ca="1" si="12"/>
        <v>218</v>
      </c>
      <c r="Q233" s="83" t="str">
        <f t="shared" ca="1" si="13"/>
        <v>Stale</v>
      </c>
      <c r="R233" s="83" t="str">
        <f t="shared" ca="1" si="14"/>
        <v>Delayed</v>
      </c>
      <c r="S233" s="83" t="str">
        <f t="shared" si="15"/>
        <v/>
      </c>
      <c r="T233" s="101" t="str">
        <f>IFERROR(_xlfn.XLOOKUP(tblRecruitmentPipeline[[#This Row],[REQ_ID]],tblRequisitions[REQ_ID],tblRequisitions[DEPARTMENT],""),"")</f>
        <v>Credit Evaluation</v>
      </c>
      <c r="U233" s="110" t="str">
        <f>IF(tblRecruitmentPipeline[[#This Row],[REQ_DEPARTMENT]]="","No","Yes")</f>
        <v>Yes</v>
      </c>
    </row>
    <row r="234" spans="1:21">
      <c r="A234" s="100" t="s">
        <v>1571</v>
      </c>
      <c r="B234" s="101" t="s">
        <v>978</v>
      </c>
      <c r="C234" s="101" t="s">
        <v>1572</v>
      </c>
      <c r="D234" s="101" t="s">
        <v>1276</v>
      </c>
      <c r="E234" s="101" t="s">
        <v>384</v>
      </c>
      <c r="F234" s="102">
        <v>45909</v>
      </c>
      <c r="G234" s="83" t="s">
        <v>382</v>
      </c>
      <c r="H234" s="102">
        <v>45956</v>
      </c>
      <c r="I234" s="101" t="s">
        <v>942</v>
      </c>
      <c r="J234" s="101" t="s">
        <v>1030</v>
      </c>
      <c r="K234" s="102"/>
      <c r="L234" s="83" t="s">
        <v>404</v>
      </c>
      <c r="M234" s="102"/>
      <c r="N234" s="101"/>
      <c r="O234" s="101"/>
      <c r="P234" s="83">
        <f t="shared" ca="1" si="12"/>
        <v>236</v>
      </c>
      <c r="Q234" s="83" t="str">
        <f t="shared" ca="1" si="13"/>
        <v>Stale</v>
      </c>
      <c r="R234" s="83" t="str">
        <f t="shared" ca="1" si="14"/>
        <v>Delayed</v>
      </c>
      <c r="S234" s="83" t="str">
        <f t="shared" si="15"/>
        <v/>
      </c>
      <c r="T234" s="101" t="str">
        <f>IFERROR(_xlfn.XLOOKUP(tblRecruitmentPipeline[[#This Row],[REQ_ID]],tblRequisitions[REQ_ID],tblRequisitions[DEPARTMENT],""),"")</f>
        <v>Credit Evaluation</v>
      </c>
      <c r="U234" s="110" t="str">
        <f>IF(tblRecruitmentPipeline[[#This Row],[REQ_DEPARTMENT]]="","No","Yes")</f>
        <v>Yes</v>
      </c>
    </row>
    <row r="235" spans="1:21">
      <c r="A235" s="100" t="s">
        <v>1573</v>
      </c>
      <c r="B235" s="101" t="s">
        <v>978</v>
      </c>
      <c r="C235" s="101" t="s">
        <v>1574</v>
      </c>
      <c r="D235" s="101" t="s">
        <v>1536</v>
      </c>
      <c r="E235" s="101" t="s">
        <v>375</v>
      </c>
      <c r="F235" s="102">
        <v>45911</v>
      </c>
      <c r="G235" s="83" t="s">
        <v>409</v>
      </c>
      <c r="H235" s="102">
        <v>45934</v>
      </c>
      <c r="I235" s="101" t="s">
        <v>942</v>
      </c>
      <c r="J235" s="101" t="s">
        <v>36</v>
      </c>
      <c r="K235" s="102">
        <v>45929</v>
      </c>
      <c r="L235" s="83" t="s">
        <v>385</v>
      </c>
      <c r="M235" s="102"/>
      <c r="N235" s="101"/>
      <c r="O235" s="101"/>
      <c r="P235" s="83">
        <f t="shared" ca="1" si="12"/>
        <v>234</v>
      </c>
      <c r="Q235" s="83" t="str">
        <f t="shared" ca="1" si="13"/>
        <v>Stale</v>
      </c>
      <c r="R235" s="83" t="str">
        <f t="shared" ca="1" si="14"/>
        <v>Delayed</v>
      </c>
      <c r="S235" s="83" t="str">
        <f t="shared" si="15"/>
        <v/>
      </c>
      <c r="T235" s="101" t="str">
        <f>IFERROR(_xlfn.XLOOKUP(tblRecruitmentPipeline[[#This Row],[REQ_ID]],tblRequisitions[REQ_ID],tblRequisitions[DEPARTMENT],""),"")</f>
        <v>Credit Evaluation</v>
      </c>
      <c r="U235" s="110" t="str">
        <f>IF(tblRecruitmentPipeline[[#This Row],[REQ_DEPARTMENT]]="","No","Yes")</f>
        <v>Yes</v>
      </c>
    </row>
    <row r="236" spans="1:21">
      <c r="A236" s="100" t="s">
        <v>1575</v>
      </c>
      <c r="B236" s="101" t="s">
        <v>979</v>
      </c>
      <c r="C236" s="101" t="s">
        <v>1576</v>
      </c>
      <c r="D236" s="101" t="s">
        <v>1577</v>
      </c>
      <c r="E236" s="101" t="s">
        <v>384</v>
      </c>
      <c r="F236" s="102">
        <v>46004</v>
      </c>
      <c r="G236" s="83" t="s">
        <v>393</v>
      </c>
      <c r="H236" s="102">
        <v>46011</v>
      </c>
      <c r="I236" s="101" t="s">
        <v>938</v>
      </c>
      <c r="J236" s="101" t="s">
        <v>227</v>
      </c>
      <c r="K236" s="102"/>
      <c r="L236" s="83" t="s">
        <v>404</v>
      </c>
      <c r="M236" s="102"/>
      <c r="N236" s="101"/>
      <c r="O236" s="101"/>
      <c r="P236" s="83">
        <f t="shared" ca="1" si="12"/>
        <v>141</v>
      </c>
      <c r="Q236" s="83" t="str">
        <f t="shared" ca="1" si="13"/>
        <v>Stale</v>
      </c>
      <c r="R236" s="83" t="str">
        <f t="shared" ca="1" si="14"/>
        <v>Delayed</v>
      </c>
      <c r="S236" s="83" t="str">
        <f t="shared" si="15"/>
        <v/>
      </c>
      <c r="T236" s="101" t="str">
        <f>IFERROR(_xlfn.XLOOKUP(tblRecruitmentPipeline[[#This Row],[REQ_ID]],tblRequisitions[REQ_ID],tblRequisitions[DEPARTMENT],""),"")</f>
        <v>Sales &amp; Marketing</v>
      </c>
      <c r="U236" s="110" t="str">
        <f>IF(tblRecruitmentPipeline[[#This Row],[REQ_DEPARTMENT]]="","No","Yes")</f>
        <v>Yes</v>
      </c>
    </row>
    <row r="237" spans="1:21">
      <c r="A237" s="100" t="s">
        <v>1578</v>
      </c>
      <c r="B237" s="101" t="s">
        <v>979</v>
      </c>
      <c r="C237" s="101" t="s">
        <v>1579</v>
      </c>
      <c r="D237" s="101" t="s">
        <v>1580</v>
      </c>
      <c r="E237" s="101" t="s">
        <v>414</v>
      </c>
      <c r="F237" s="102">
        <v>46026</v>
      </c>
      <c r="G237" s="83" t="s">
        <v>409</v>
      </c>
      <c r="H237" s="102">
        <v>46047</v>
      </c>
      <c r="I237" s="101" t="s">
        <v>938</v>
      </c>
      <c r="J237" s="101" t="s">
        <v>36</v>
      </c>
      <c r="K237" s="102">
        <v>46044</v>
      </c>
      <c r="L237" s="83" t="s">
        <v>323</v>
      </c>
      <c r="M237" s="102"/>
      <c r="N237" s="101"/>
      <c r="O237" s="101"/>
      <c r="P237" s="83">
        <f t="shared" ca="1" si="12"/>
        <v>119</v>
      </c>
      <c r="Q237" s="83" t="str">
        <f t="shared" ca="1" si="13"/>
        <v>Stale</v>
      </c>
      <c r="R237" s="83" t="str">
        <f t="shared" ca="1" si="14"/>
        <v>Delayed</v>
      </c>
      <c r="S237" s="83" t="str">
        <f t="shared" si="15"/>
        <v/>
      </c>
      <c r="T237" s="101" t="str">
        <f>IFERROR(_xlfn.XLOOKUP(tblRecruitmentPipeline[[#This Row],[REQ_ID]],tblRequisitions[REQ_ID],tblRequisitions[DEPARTMENT],""),"")</f>
        <v>Sales &amp; Marketing</v>
      </c>
      <c r="U237" s="110" t="str">
        <f>IF(tblRecruitmentPipeline[[#This Row],[REQ_DEPARTMENT]]="","No","Yes")</f>
        <v>Yes</v>
      </c>
    </row>
    <row r="238" spans="1:21">
      <c r="A238" s="100" t="s">
        <v>1581</v>
      </c>
      <c r="B238" s="101" t="s">
        <v>979</v>
      </c>
      <c r="C238" s="101" t="s">
        <v>1582</v>
      </c>
      <c r="D238" s="101" t="s">
        <v>1583</v>
      </c>
      <c r="E238" s="101" t="s">
        <v>403</v>
      </c>
      <c r="F238" s="102">
        <v>46006</v>
      </c>
      <c r="G238" s="83" t="s">
        <v>372</v>
      </c>
      <c r="H238" s="102">
        <v>46052</v>
      </c>
      <c r="I238" s="101" t="s">
        <v>938</v>
      </c>
      <c r="J238" s="101" t="s">
        <v>36</v>
      </c>
      <c r="K238" s="102"/>
      <c r="L238" s="83" t="s">
        <v>404</v>
      </c>
      <c r="M238" s="102"/>
      <c r="N238" s="101"/>
      <c r="O238" s="101"/>
      <c r="P238" s="83">
        <f t="shared" ca="1" si="12"/>
        <v>139</v>
      </c>
      <c r="Q238" s="83" t="str">
        <f t="shared" ca="1" si="13"/>
        <v>Stale</v>
      </c>
      <c r="R238" s="83" t="str">
        <f t="shared" ca="1" si="14"/>
        <v>Delayed</v>
      </c>
      <c r="S238" s="83" t="str">
        <f t="shared" si="15"/>
        <v/>
      </c>
      <c r="T238" s="101" t="str">
        <f>IFERROR(_xlfn.XLOOKUP(tblRecruitmentPipeline[[#This Row],[REQ_ID]],tblRequisitions[REQ_ID],tblRequisitions[DEPARTMENT],""),"")</f>
        <v>Sales &amp; Marketing</v>
      </c>
      <c r="U238" s="110" t="str">
        <f>IF(tblRecruitmentPipeline[[#This Row],[REQ_DEPARTMENT]]="","No","Yes")</f>
        <v>Yes</v>
      </c>
    </row>
    <row r="239" spans="1:21">
      <c r="A239" s="100" t="s">
        <v>1584</v>
      </c>
      <c r="B239" s="101" t="s">
        <v>979</v>
      </c>
      <c r="C239" s="101" t="s">
        <v>1585</v>
      </c>
      <c r="D239" s="101" t="s">
        <v>1586</v>
      </c>
      <c r="E239" s="101" t="s">
        <v>261</v>
      </c>
      <c r="F239" s="102">
        <v>46027</v>
      </c>
      <c r="G239" s="83" t="s">
        <v>401</v>
      </c>
      <c r="H239" s="102">
        <v>46043</v>
      </c>
      <c r="I239" s="101" t="s">
        <v>938</v>
      </c>
      <c r="J239" s="101" t="s">
        <v>36</v>
      </c>
      <c r="K239" s="102"/>
      <c r="L239" s="83" t="s">
        <v>404</v>
      </c>
      <c r="M239" s="102"/>
      <c r="N239" s="101"/>
      <c r="O239" s="101"/>
      <c r="P239" s="83">
        <f t="shared" ca="1" si="12"/>
        <v>118</v>
      </c>
      <c r="Q239" s="83" t="str">
        <f t="shared" ca="1" si="13"/>
        <v>Stale</v>
      </c>
      <c r="R239" s="83" t="str">
        <f t="shared" ca="1" si="14"/>
        <v>Delayed</v>
      </c>
      <c r="S239" s="83" t="str">
        <f t="shared" si="15"/>
        <v/>
      </c>
      <c r="T239" s="101" t="str">
        <f>IFERROR(_xlfn.XLOOKUP(tblRecruitmentPipeline[[#This Row],[REQ_ID]],tblRequisitions[REQ_ID],tblRequisitions[DEPARTMENT],""),"")</f>
        <v>Sales &amp; Marketing</v>
      </c>
      <c r="U239" s="110" t="str">
        <f>IF(tblRecruitmentPipeline[[#This Row],[REQ_DEPARTMENT]]="","No","Yes")</f>
        <v>Yes</v>
      </c>
    </row>
    <row r="240" spans="1:21">
      <c r="A240" s="100" t="s">
        <v>1587</v>
      </c>
      <c r="B240" s="101" t="s">
        <v>979</v>
      </c>
      <c r="C240" s="101" t="s">
        <v>1588</v>
      </c>
      <c r="D240" s="101" t="s">
        <v>1589</v>
      </c>
      <c r="E240" s="101" t="s">
        <v>403</v>
      </c>
      <c r="F240" s="102">
        <v>46009</v>
      </c>
      <c r="G240" s="83" t="s">
        <v>219</v>
      </c>
      <c r="H240" s="102">
        <v>46053</v>
      </c>
      <c r="I240" s="101" t="s">
        <v>938</v>
      </c>
      <c r="J240" s="101" t="s">
        <v>1030</v>
      </c>
      <c r="K240" s="102">
        <v>46050</v>
      </c>
      <c r="L240" s="83" t="s">
        <v>231</v>
      </c>
      <c r="M240" s="102">
        <v>46069</v>
      </c>
      <c r="N240" s="101"/>
      <c r="O240" s="101"/>
      <c r="P240" s="83">
        <f t="shared" ca="1" si="12"/>
        <v>60</v>
      </c>
      <c r="Q240" s="83" t="str">
        <f t="shared" si="13"/>
        <v>Closed</v>
      </c>
      <c r="R240" s="83" t="str">
        <f t="shared" si="14"/>
        <v>Closed</v>
      </c>
      <c r="S240" s="83">
        <f t="shared" si="15"/>
        <v>60</v>
      </c>
      <c r="T240" s="101" t="str">
        <f>IFERROR(_xlfn.XLOOKUP(tblRecruitmentPipeline[[#This Row],[REQ_ID]],tblRequisitions[REQ_ID],tblRequisitions[DEPARTMENT],""),"")</f>
        <v>Sales &amp; Marketing</v>
      </c>
      <c r="U240" s="110" t="str">
        <f>IF(tblRecruitmentPipeline[[#This Row],[REQ_DEPARTMENT]]="","No","Yes")</f>
        <v>Yes</v>
      </c>
    </row>
    <row r="241" spans="1:21">
      <c r="A241" s="100" t="s">
        <v>1590</v>
      </c>
      <c r="B241" s="101" t="s">
        <v>979</v>
      </c>
      <c r="C241" s="101" t="s">
        <v>1591</v>
      </c>
      <c r="D241" s="101" t="s">
        <v>734</v>
      </c>
      <c r="E241" s="101" t="s">
        <v>414</v>
      </c>
      <c r="F241" s="102">
        <v>46002</v>
      </c>
      <c r="G241" s="83" t="s">
        <v>401</v>
      </c>
      <c r="H241" s="102">
        <v>46026</v>
      </c>
      <c r="I241" s="101" t="s">
        <v>938</v>
      </c>
      <c r="J241" s="101" t="s">
        <v>1030</v>
      </c>
      <c r="K241" s="102"/>
      <c r="L241" s="83" t="s">
        <v>404</v>
      </c>
      <c r="M241" s="102"/>
      <c r="N241" s="101"/>
      <c r="O241" s="101"/>
      <c r="P241" s="83">
        <f t="shared" ca="1" si="12"/>
        <v>143</v>
      </c>
      <c r="Q241" s="83" t="str">
        <f t="shared" ca="1" si="13"/>
        <v>Stale</v>
      </c>
      <c r="R241" s="83" t="str">
        <f t="shared" ca="1" si="14"/>
        <v>Delayed</v>
      </c>
      <c r="S241" s="83" t="str">
        <f t="shared" si="15"/>
        <v/>
      </c>
      <c r="T241" s="101" t="str">
        <f>IFERROR(_xlfn.XLOOKUP(tblRecruitmentPipeline[[#This Row],[REQ_ID]],tblRequisitions[REQ_ID],tblRequisitions[DEPARTMENT],""),"")</f>
        <v>Sales &amp; Marketing</v>
      </c>
      <c r="U241" s="110" t="str">
        <f>IF(tblRecruitmentPipeline[[#This Row],[REQ_DEPARTMENT]]="","No","Yes")</f>
        <v>Yes</v>
      </c>
    </row>
    <row r="242" spans="1:21">
      <c r="A242" s="100" t="s">
        <v>1592</v>
      </c>
      <c r="B242" s="101" t="s">
        <v>979</v>
      </c>
      <c r="C242" s="101" t="s">
        <v>1593</v>
      </c>
      <c r="D242" s="101" t="s">
        <v>1594</v>
      </c>
      <c r="E242" s="101" t="s">
        <v>403</v>
      </c>
      <c r="F242" s="102">
        <v>46016</v>
      </c>
      <c r="G242" s="83" t="s">
        <v>219</v>
      </c>
      <c r="H242" s="102">
        <v>46056</v>
      </c>
      <c r="I242" s="101" t="s">
        <v>938</v>
      </c>
      <c r="J242" s="101" t="s">
        <v>227</v>
      </c>
      <c r="K242" s="102">
        <v>46051</v>
      </c>
      <c r="L242" s="83" t="s">
        <v>231</v>
      </c>
      <c r="M242" s="102">
        <v>46060</v>
      </c>
      <c r="N242" s="101"/>
      <c r="O242" s="101"/>
      <c r="P242" s="83">
        <f t="shared" ca="1" si="12"/>
        <v>44</v>
      </c>
      <c r="Q242" s="83" t="str">
        <f t="shared" si="13"/>
        <v>Closed</v>
      </c>
      <c r="R242" s="83" t="str">
        <f t="shared" si="14"/>
        <v>Closed</v>
      </c>
      <c r="S242" s="83">
        <f t="shared" si="15"/>
        <v>44</v>
      </c>
      <c r="T242" s="101" t="str">
        <f>IFERROR(_xlfn.XLOOKUP(tblRecruitmentPipeline[[#This Row],[REQ_ID]],tblRequisitions[REQ_ID],tblRequisitions[DEPARTMENT],""),"")</f>
        <v>Sales &amp; Marketing</v>
      </c>
      <c r="U242" s="110" t="str">
        <f>IF(tblRecruitmentPipeline[[#This Row],[REQ_DEPARTMENT]]="","No","Yes")</f>
        <v>Yes</v>
      </c>
    </row>
    <row r="243" spans="1:21">
      <c r="A243" s="100" t="s">
        <v>1595</v>
      </c>
      <c r="B243" s="101" t="s">
        <v>979</v>
      </c>
      <c r="C243" s="101" t="s">
        <v>1596</v>
      </c>
      <c r="D243" s="101" t="s">
        <v>721</v>
      </c>
      <c r="E243" s="101" t="s">
        <v>213</v>
      </c>
      <c r="F243" s="102">
        <v>46004</v>
      </c>
      <c r="G243" s="83" t="s">
        <v>393</v>
      </c>
      <c r="H243" s="102">
        <v>46047</v>
      </c>
      <c r="I243" s="101" t="s">
        <v>938</v>
      </c>
      <c r="J243" s="101" t="s">
        <v>36</v>
      </c>
      <c r="K243" s="102"/>
      <c r="L243" s="83" t="s">
        <v>404</v>
      </c>
      <c r="M243" s="102"/>
      <c r="N243" s="101"/>
      <c r="O243" s="101"/>
      <c r="P243" s="83">
        <f t="shared" ca="1" si="12"/>
        <v>141</v>
      </c>
      <c r="Q243" s="83" t="str">
        <f t="shared" ca="1" si="13"/>
        <v>Stale</v>
      </c>
      <c r="R243" s="83" t="str">
        <f t="shared" ca="1" si="14"/>
        <v>Delayed</v>
      </c>
      <c r="S243" s="83" t="str">
        <f t="shared" si="15"/>
        <v/>
      </c>
      <c r="T243" s="101" t="str">
        <f>IFERROR(_xlfn.XLOOKUP(tblRecruitmentPipeline[[#This Row],[REQ_ID]],tblRequisitions[REQ_ID],tblRequisitions[DEPARTMENT],""),"")</f>
        <v>Sales &amp; Marketing</v>
      </c>
      <c r="U243" s="110" t="str">
        <f>IF(tblRecruitmentPipeline[[#This Row],[REQ_DEPARTMENT]]="","No","Yes")</f>
        <v>Yes</v>
      </c>
    </row>
    <row r="244" spans="1:21">
      <c r="A244" s="100" t="s">
        <v>1597</v>
      </c>
      <c r="B244" s="101" t="s">
        <v>980</v>
      </c>
      <c r="C244" s="101" t="s">
        <v>1598</v>
      </c>
      <c r="D244" s="101" t="s">
        <v>1599</v>
      </c>
      <c r="E244" s="101" t="s">
        <v>403</v>
      </c>
      <c r="F244" s="102">
        <v>46062</v>
      </c>
      <c r="G244" s="83" t="s">
        <v>382</v>
      </c>
      <c r="H244" s="102">
        <v>46079</v>
      </c>
      <c r="I244" s="101" t="s">
        <v>940</v>
      </c>
      <c r="J244" s="101" t="s">
        <v>36</v>
      </c>
      <c r="K244" s="102"/>
      <c r="L244" s="83" t="s">
        <v>404</v>
      </c>
      <c r="M244" s="102"/>
      <c r="N244" s="101"/>
      <c r="O244" s="101"/>
      <c r="P244" s="83">
        <f t="shared" ca="1" si="12"/>
        <v>83</v>
      </c>
      <c r="Q244" s="83" t="str">
        <f t="shared" ca="1" si="13"/>
        <v>Stale</v>
      </c>
      <c r="R244" s="83" t="str">
        <f t="shared" ca="1" si="14"/>
        <v>Delayed</v>
      </c>
      <c r="S244" s="83" t="str">
        <f t="shared" si="15"/>
        <v/>
      </c>
      <c r="T244" s="101" t="str">
        <f>IFERROR(_xlfn.XLOOKUP(tblRecruitmentPipeline[[#This Row],[REQ_ID]],tblRequisitions[REQ_ID],tblRequisitions[DEPARTMENT],""),"")</f>
        <v>Credit Evaluation</v>
      </c>
      <c r="U244" s="110" t="str">
        <f>IF(tblRecruitmentPipeline[[#This Row],[REQ_DEPARTMENT]]="","No","Yes")</f>
        <v>Yes</v>
      </c>
    </row>
    <row r="245" spans="1:21">
      <c r="A245" s="100" t="s">
        <v>1600</v>
      </c>
      <c r="B245" s="101" t="s">
        <v>980</v>
      </c>
      <c r="C245" s="101" t="s">
        <v>1601</v>
      </c>
      <c r="D245" s="101" t="s">
        <v>1602</v>
      </c>
      <c r="E245" s="101" t="s">
        <v>414</v>
      </c>
      <c r="F245" s="102">
        <v>46040</v>
      </c>
      <c r="G245" s="83" t="s">
        <v>393</v>
      </c>
      <c r="H245" s="102">
        <v>46086</v>
      </c>
      <c r="I245" s="101" t="s">
        <v>940</v>
      </c>
      <c r="J245" s="101" t="s">
        <v>36</v>
      </c>
      <c r="K245" s="102"/>
      <c r="L245" s="83" t="s">
        <v>404</v>
      </c>
      <c r="M245" s="102"/>
      <c r="N245" s="101"/>
      <c r="O245" s="101"/>
      <c r="P245" s="83">
        <f t="shared" ca="1" si="12"/>
        <v>105</v>
      </c>
      <c r="Q245" s="83" t="str">
        <f t="shared" ca="1" si="13"/>
        <v>Stale</v>
      </c>
      <c r="R245" s="83" t="str">
        <f t="shared" ca="1" si="14"/>
        <v>Delayed</v>
      </c>
      <c r="S245" s="83" t="str">
        <f t="shared" si="15"/>
        <v/>
      </c>
      <c r="T245" s="101" t="str">
        <f>IFERROR(_xlfn.XLOOKUP(tblRecruitmentPipeline[[#This Row],[REQ_ID]],tblRequisitions[REQ_ID],tblRequisitions[DEPARTMENT],""),"")</f>
        <v>Credit Evaluation</v>
      </c>
      <c r="U245" s="110" t="str">
        <f>IF(tblRecruitmentPipeline[[#This Row],[REQ_DEPARTMENT]]="","No","Yes")</f>
        <v>Yes</v>
      </c>
    </row>
    <row r="246" spans="1:21">
      <c r="A246" s="100" t="s">
        <v>1603</v>
      </c>
      <c r="B246" s="101" t="s">
        <v>980</v>
      </c>
      <c r="C246" s="101" t="s">
        <v>1604</v>
      </c>
      <c r="D246" s="101" t="s">
        <v>1605</v>
      </c>
      <c r="E246" s="101" t="s">
        <v>412</v>
      </c>
      <c r="F246" s="102">
        <v>46057</v>
      </c>
      <c r="G246" s="83" t="s">
        <v>401</v>
      </c>
      <c r="H246" s="102">
        <v>46074</v>
      </c>
      <c r="I246" s="101" t="s">
        <v>940</v>
      </c>
      <c r="J246" s="101" t="s">
        <v>227</v>
      </c>
      <c r="K246" s="102"/>
      <c r="L246" s="83" t="s">
        <v>404</v>
      </c>
      <c r="M246" s="102"/>
      <c r="N246" s="101"/>
      <c r="O246" s="101"/>
      <c r="P246" s="83">
        <f t="shared" ca="1" si="12"/>
        <v>88</v>
      </c>
      <c r="Q246" s="83" t="str">
        <f t="shared" ca="1" si="13"/>
        <v>Stale</v>
      </c>
      <c r="R246" s="83" t="str">
        <f t="shared" ca="1" si="14"/>
        <v>Delayed</v>
      </c>
      <c r="S246" s="83" t="str">
        <f t="shared" si="15"/>
        <v/>
      </c>
      <c r="T246" s="101" t="str">
        <f>IFERROR(_xlfn.XLOOKUP(tblRecruitmentPipeline[[#This Row],[REQ_ID]],tblRequisitions[REQ_ID],tblRequisitions[DEPARTMENT],""),"")</f>
        <v>Credit Evaluation</v>
      </c>
      <c r="U246" s="110" t="str">
        <f>IF(tblRecruitmentPipeline[[#This Row],[REQ_DEPARTMENT]]="","No","Yes")</f>
        <v>Yes</v>
      </c>
    </row>
    <row r="247" spans="1:21">
      <c r="A247" s="100" t="s">
        <v>1606</v>
      </c>
      <c r="B247" s="101" t="s">
        <v>980</v>
      </c>
      <c r="C247" s="101" t="s">
        <v>1607</v>
      </c>
      <c r="D247" s="101" t="s">
        <v>749</v>
      </c>
      <c r="E247" s="101" t="s">
        <v>213</v>
      </c>
      <c r="F247" s="102">
        <v>46067</v>
      </c>
      <c r="G247" s="83" t="s">
        <v>372</v>
      </c>
      <c r="H247" s="102">
        <v>46107</v>
      </c>
      <c r="I247" s="101" t="s">
        <v>940</v>
      </c>
      <c r="J247" s="101" t="s">
        <v>1030</v>
      </c>
      <c r="K247" s="102"/>
      <c r="L247" s="83" t="s">
        <v>404</v>
      </c>
      <c r="M247" s="102"/>
      <c r="N247" s="101"/>
      <c r="O247" s="101"/>
      <c r="P247" s="83">
        <f t="shared" ca="1" si="12"/>
        <v>78</v>
      </c>
      <c r="Q247" s="83" t="str">
        <f t="shared" ca="1" si="13"/>
        <v>Stale</v>
      </c>
      <c r="R247" s="83" t="str">
        <f t="shared" ca="1" si="14"/>
        <v>Delayed</v>
      </c>
      <c r="S247" s="83" t="str">
        <f t="shared" si="15"/>
        <v/>
      </c>
      <c r="T247" s="101" t="str">
        <f>IFERROR(_xlfn.XLOOKUP(tblRecruitmentPipeline[[#This Row],[REQ_ID]],tblRequisitions[REQ_ID],tblRequisitions[DEPARTMENT],""),"")</f>
        <v>Credit Evaluation</v>
      </c>
      <c r="U247" s="110" t="str">
        <f>IF(tblRecruitmentPipeline[[#This Row],[REQ_DEPARTMENT]]="","No","Yes")</f>
        <v>Yes</v>
      </c>
    </row>
    <row r="248" spans="1:21">
      <c r="A248" s="100" t="s">
        <v>1608</v>
      </c>
      <c r="B248" s="101" t="s">
        <v>980</v>
      </c>
      <c r="C248" s="101" t="s">
        <v>1609</v>
      </c>
      <c r="D248" s="101" t="s">
        <v>781</v>
      </c>
      <c r="E248" s="101" t="s">
        <v>412</v>
      </c>
      <c r="F248" s="102">
        <v>46064</v>
      </c>
      <c r="G248" s="83" t="s">
        <v>382</v>
      </c>
      <c r="H248" s="102">
        <v>46091</v>
      </c>
      <c r="I248" s="101" t="s">
        <v>940</v>
      </c>
      <c r="J248" s="101" t="s">
        <v>227</v>
      </c>
      <c r="K248" s="102"/>
      <c r="L248" s="83" t="s">
        <v>404</v>
      </c>
      <c r="M248" s="102"/>
      <c r="N248" s="101"/>
      <c r="O248" s="101"/>
      <c r="P248" s="83">
        <f t="shared" ca="1" si="12"/>
        <v>81</v>
      </c>
      <c r="Q248" s="83" t="str">
        <f t="shared" ca="1" si="13"/>
        <v>Stale</v>
      </c>
      <c r="R248" s="83" t="str">
        <f t="shared" ca="1" si="14"/>
        <v>Delayed</v>
      </c>
      <c r="S248" s="83" t="str">
        <f t="shared" si="15"/>
        <v/>
      </c>
      <c r="T248" s="101" t="str">
        <f>IFERROR(_xlfn.XLOOKUP(tblRecruitmentPipeline[[#This Row],[REQ_ID]],tblRequisitions[REQ_ID],tblRequisitions[DEPARTMENT],""),"")</f>
        <v>Credit Evaluation</v>
      </c>
      <c r="U248" s="110" t="str">
        <f>IF(tblRecruitmentPipeline[[#This Row],[REQ_DEPARTMENT]]="","No","Yes")</f>
        <v>Yes</v>
      </c>
    </row>
    <row r="249" spans="1:21">
      <c r="A249" s="100" t="s">
        <v>1610</v>
      </c>
      <c r="B249" s="101" t="s">
        <v>980</v>
      </c>
      <c r="C249" s="101" t="s">
        <v>1611</v>
      </c>
      <c r="D249" s="101" t="s">
        <v>1612</v>
      </c>
      <c r="E249" s="101" t="s">
        <v>375</v>
      </c>
      <c r="F249" s="102">
        <v>46060</v>
      </c>
      <c r="G249" s="83" t="s">
        <v>393</v>
      </c>
      <c r="H249" s="102">
        <v>46103</v>
      </c>
      <c r="I249" s="101" t="s">
        <v>940</v>
      </c>
      <c r="J249" s="101" t="s">
        <v>1030</v>
      </c>
      <c r="K249" s="102"/>
      <c r="L249" s="83" t="s">
        <v>404</v>
      </c>
      <c r="M249" s="102"/>
      <c r="N249" s="101"/>
      <c r="O249" s="101"/>
      <c r="P249" s="83">
        <f t="shared" ca="1" si="12"/>
        <v>85</v>
      </c>
      <c r="Q249" s="83" t="str">
        <f t="shared" ca="1" si="13"/>
        <v>Stale</v>
      </c>
      <c r="R249" s="83" t="str">
        <f t="shared" ca="1" si="14"/>
        <v>Delayed</v>
      </c>
      <c r="S249" s="83" t="str">
        <f t="shared" si="15"/>
        <v/>
      </c>
      <c r="T249" s="101" t="str">
        <f>IFERROR(_xlfn.XLOOKUP(tblRecruitmentPipeline[[#This Row],[REQ_ID]],tblRequisitions[REQ_ID],tblRequisitions[DEPARTMENT],""),"")</f>
        <v>Credit Evaluation</v>
      </c>
      <c r="U249" s="110" t="str">
        <f>IF(tblRecruitmentPipeline[[#This Row],[REQ_DEPARTMENT]]="","No","Yes")</f>
        <v>Yes</v>
      </c>
    </row>
    <row r="250" spans="1:21">
      <c r="A250" s="100" t="s">
        <v>1613</v>
      </c>
      <c r="B250" s="101" t="s">
        <v>981</v>
      </c>
      <c r="C250" s="101" t="s">
        <v>1614</v>
      </c>
      <c r="D250" s="101" t="s">
        <v>1615</v>
      </c>
      <c r="E250" s="101" t="s">
        <v>403</v>
      </c>
      <c r="F250" s="102">
        <v>45767</v>
      </c>
      <c r="G250" s="83" t="s">
        <v>219</v>
      </c>
      <c r="H250" s="102">
        <v>45811</v>
      </c>
      <c r="I250" s="101" t="s">
        <v>940</v>
      </c>
      <c r="J250" s="101" t="s">
        <v>227</v>
      </c>
      <c r="K250" s="102">
        <v>45809</v>
      </c>
      <c r="L250" s="83" t="s">
        <v>231</v>
      </c>
      <c r="M250" s="102">
        <v>45823</v>
      </c>
      <c r="N250" s="101"/>
      <c r="O250" s="101"/>
      <c r="P250" s="83">
        <f t="shared" ca="1" si="12"/>
        <v>56</v>
      </c>
      <c r="Q250" s="83" t="str">
        <f t="shared" si="13"/>
        <v>Closed</v>
      </c>
      <c r="R250" s="83" t="str">
        <f t="shared" si="14"/>
        <v>Closed</v>
      </c>
      <c r="S250" s="83">
        <f t="shared" si="15"/>
        <v>56</v>
      </c>
      <c r="T250" s="101" t="str">
        <f>IFERROR(_xlfn.XLOOKUP(tblRecruitmentPipeline[[#This Row],[REQ_ID]],tblRequisitions[REQ_ID],tblRequisitions[DEPARTMENT],""),"")</f>
        <v>Sales &amp; Marketing</v>
      </c>
      <c r="U250" s="110" t="str">
        <f>IF(tblRecruitmentPipeline[[#This Row],[REQ_DEPARTMENT]]="","No","Yes")</f>
        <v>Yes</v>
      </c>
    </row>
    <row r="251" spans="1:21">
      <c r="A251" s="100" t="s">
        <v>1616</v>
      </c>
      <c r="B251" s="101" t="s">
        <v>981</v>
      </c>
      <c r="C251" s="101" t="s">
        <v>1617</v>
      </c>
      <c r="D251" s="101" t="s">
        <v>1618</v>
      </c>
      <c r="E251" s="101" t="s">
        <v>213</v>
      </c>
      <c r="F251" s="102">
        <v>45795</v>
      </c>
      <c r="G251" s="83" t="s">
        <v>382</v>
      </c>
      <c r="H251" s="102">
        <v>45840</v>
      </c>
      <c r="I251" s="101" t="s">
        <v>940</v>
      </c>
      <c r="J251" s="101" t="s">
        <v>227</v>
      </c>
      <c r="K251" s="102"/>
      <c r="L251" s="83" t="s">
        <v>404</v>
      </c>
      <c r="M251" s="102"/>
      <c r="N251" s="101"/>
      <c r="O251" s="101"/>
      <c r="P251" s="83">
        <f t="shared" ca="1" si="12"/>
        <v>350</v>
      </c>
      <c r="Q251" s="83" t="str">
        <f t="shared" ca="1" si="13"/>
        <v>Stale</v>
      </c>
      <c r="R251" s="83" t="str">
        <f t="shared" ca="1" si="14"/>
        <v>Delayed</v>
      </c>
      <c r="S251" s="83" t="str">
        <f t="shared" si="15"/>
        <v/>
      </c>
      <c r="T251" s="101" t="str">
        <f>IFERROR(_xlfn.XLOOKUP(tblRecruitmentPipeline[[#This Row],[REQ_ID]],tblRequisitions[REQ_ID],tblRequisitions[DEPARTMENT],""),"")</f>
        <v>Sales &amp; Marketing</v>
      </c>
      <c r="U251" s="110" t="str">
        <f>IF(tblRecruitmentPipeline[[#This Row],[REQ_DEPARTMENT]]="","No","Yes")</f>
        <v>Yes</v>
      </c>
    </row>
    <row r="252" spans="1:21">
      <c r="A252" s="100" t="s">
        <v>1619</v>
      </c>
      <c r="B252" s="101" t="s">
        <v>981</v>
      </c>
      <c r="C252" s="101" t="s">
        <v>1620</v>
      </c>
      <c r="D252" s="101" t="s">
        <v>481</v>
      </c>
      <c r="E252" s="101" t="s">
        <v>213</v>
      </c>
      <c r="F252" s="102">
        <v>45786</v>
      </c>
      <c r="G252" s="83" t="s">
        <v>413</v>
      </c>
      <c r="H252" s="102">
        <v>45815</v>
      </c>
      <c r="I252" s="101" t="s">
        <v>940</v>
      </c>
      <c r="J252" s="101" t="s">
        <v>227</v>
      </c>
      <c r="K252" s="102"/>
      <c r="L252" s="83" t="s">
        <v>404</v>
      </c>
      <c r="M252" s="102"/>
      <c r="N252" s="101" t="s">
        <v>1085</v>
      </c>
      <c r="O252" s="101"/>
      <c r="P252" s="83">
        <f t="shared" ca="1" si="12"/>
        <v>29</v>
      </c>
      <c r="Q252" s="83" t="str">
        <f t="shared" si="13"/>
        <v>Closed</v>
      </c>
      <c r="R252" s="83" t="str">
        <f t="shared" si="14"/>
        <v>Closed</v>
      </c>
      <c r="S252" s="83" t="str">
        <f t="shared" si="15"/>
        <v/>
      </c>
      <c r="T252" s="101" t="str">
        <f>IFERROR(_xlfn.XLOOKUP(tblRecruitmentPipeline[[#This Row],[REQ_ID]],tblRequisitions[REQ_ID],tblRequisitions[DEPARTMENT],""),"")</f>
        <v>Sales &amp; Marketing</v>
      </c>
      <c r="U252" s="110" t="str">
        <f>IF(tblRecruitmentPipeline[[#This Row],[REQ_DEPARTMENT]]="","No","Yes")</f>
        <v>Yes</v>
      </c>
    </row>
    <row r="253" spans="1:21">
      <c r="A253" s="100" t="s">
        <v>1621</v>
      </c>
      <c r="B253" s="101" t="s">
        <v>981</v>
      </c>
      <c r="C253" s="101" t="s">
        <v>1622</v>
      </c>
      <c r="D253" s="101" t="s">
        <v>846</v>
      </c>
      <c r="E253" s="101" t="s">
        <v>375</v>
      </c>
      <c r="F253" s="102">
        <v>45792</v>
      </c>
      <c r="G253" s="83" t="s">
        <v>413</v>
      </c>
      <c r="H253" s="102">
        <v>45812</v>
      </c>
      <c r="I253" s="101" t="s">
        <v>940</v>
      </c>
      <c r="J253" s="101" t="s">
        <v>227</v>
      </c>
      <c r="K253" s="102"/>
      <c r="L253" s="83" t="s">
        <v>404</v>
      </c>
      <c r="M253" s="102"/>
      <c r="N253" s="101" t="s">
        <v>1027</v>
      </c>
      <c r="O253" s="101"/>
      <c r="P253" s="83">
        <f t="shared" ca="1" si="12"/>
        <v>20</v>
      </c>
      <c r="Q253" s="83" t="str">
        <f t="shared" si="13"/>
        <v>Closed</v>
      </c>
      <c r="R253" s="83" t="str">
        <f t="shared" si="14"/>
        <v>Closed</v>
      </c>
      <c r="S253" s="83" t="str">
        <f t="shared" si="15"/>
        <v/>
      </c>
      <c r="T253" s="101" t="str">
        <f>IFERROR(_xlfn.XLOOKUP(tblRecruitmentPipeline[[#This Row],[REQ_ID]],tblRequisitions[REQ_ID],tblRequisitions[DEPARTMENT],""),"")</f>
        <v>Sales &amp; Marketing</v>
      </c>
      <c r="U253" s="110" t="str">
        <f>IF(tblRecruitmentPipeline[[#This Row],[REQ_DEPARTMENT]]="","No","Yes")</f>
        <v>Yes</v>
      </c>
    </row>
    <row r="254" spans="1:21">
      <c r="A254" s="100" t="s">
        <v>1623</v>
      </c>
      <c r="B254" s="101" t="s">
        <v>981</v>
      </c>
      <c r="C254" s="101" t="s">
        <v>1624</v>
      </c>
      <c r="D254" s="101" t="s">
        <v>1625</v>
      </c>
      <c r="E254" s="101" t="s">
        <v>384</v>
      </c>
      <c r="F254" s="102">
        <v>45802</v>
      </c>
      <c r="G254" s="83" t="s">
        <v>413</v>
      </c>
      <c r="H254" s="102">
        <v>45826</v>
      </c>
      <c r="I254" s="101" t="s">
        <v>940</v>
      </c>
      <c r="J254" s="101" t="s">
        <v>36</v>
      </c>
      <c r="K254" s="102"/>
      <c r="L254" s="83" t="s">
        <v>404</v>
      </c>
      <c r="M254" s="102"/>
      <c r="N254" s="101" t="s">
        <v>1027</v>
      </c>
      <c r="O254" s="101"/>
      <c r="P254" s="83">
        <f t="shared" ca="1" si="12"/>
        <v>24</v>
      </c>
      <c r="Q254" s="83" t="str">
        <f t="shared" si="13"/>
        <v>Closed</v>
      </c>
      <c r="R254" s="83" t="str">
        <f t="shared" si="14"/>
        <v>Closed</v>
      </c>
      <c r="S254" s="83" t="str">
        <f t="shared" si="15"/>
        <v/>
      </c>
      <c r="T254" s="101" t="str">
        <f>IFERROR(_xlfn.XLOOKUP(tblRecruitmentPipeline[[#This Row],[REQ_ID]],tblRequisitions[REQ_ID],tblRequisitions[DEPARTMENT],""),"")</f>
        <v>Sales &amp; Marketing</v>
      </c>
      <c r="U254" s="110" t="str">
        <f>IF(tblRecruitmentPipeline[[#This Row],[REQ_DEPARTMENT]]="","No","Yes")</f>
        <v>Yes</v>
      </c>
    </row>
    <row r="255" spans="1:21">
      <c r="A255" s="100" t="s">
        <v>1626</v>
      </c>
      <c r="B255" s="101" t="s">
        <v>981</v>
      </c>
      <c r="C255" s="101" t="s">
        <v>1627</v>
      </c>
      <c r="D255" s="101" t="s">
        <v>529</v>
      </c>
      <c r="E255" s="101" t="s">
        <v>213</v>
      </c>
      <c r="F255" s="102">
        <v>45792</v>
      </c>
      <c r="G255" s="83" t="s">
        <v>409</v>
      </c>
      <c r="H255" s="102">
        <v>45839</v>
      </c>
      <c r="I255" s="101" t="s">
        <v>940</v>
      </c>
      <c r="J255" s="101" t="s">
        <v>1030</v>
      </c>
      <c r="K255" s="102">
        <v>45835</v>
      </c>
      <c r="L255" s="83" t="s">
        <v>385</v>
      </c>
      <c r="M255" s="102"/>
      <c r="N255" s="101"/>
      <c r="O255" s="101"/>
      <c r="P255" s="83">
        <f t="shared" ca="1" si="12"/>
        <v>353</v>
      </c>
      <c r="Q255" s="83" t="str">
        <f t="shared" ca="1" si="13"/>
        <v>Stale</v>
      </c>
      <c r="R255" s="83" t="str">
        <f t="shared" ca="1" si="14"/>
        <v>Delayed</v>
      </c>
      <c r="S255" s="83" t="str">
        <f t="shared" si="15"/>
        <v/>
      </c>
      <c r="T255" s="101" t="str">
        <f>IFERROR(_xlfn.XLOOKUP(tblRecruitmentPipeline[[#This Row],[REQ_ID]],tblRequisitions[REQ_ID],tblRequisitions[DEPARTMENT],""),"")</f>
        <v>Sales &amp; Marketing</v>
      </c>
      <c r="U255" s="110" t="str">
        <f>IF(tblRecruitmentPipeline[[#This Row],[REQ_DEPARTMENT]]="","No","Yes")</f>
        <v>Yes</v>
      </c>
    </row>
    <row r="256" spans="1:21">
      <c r="A256" s="100" t="s">
        <v>1628</v>
      </c>
      <c r="B256" s="101" t="s">
        <v>981</v>
      </c>
      <c r="C256" s="101" t="s">
        <v>1629</v>
      </c>
      <c r="D256" s="101" t="s">
        <v>779</v>
      </c>
      <c r="E256" s="101" t="s">
        <v>414</v>
      </c>
      <c r="F256" s="102">
        <v>45778</v>
      </c>
      <c r="G256" s="83" t="s">
        <v>401</v>
      </c>
      <c r="H256" s="102">
        <v>45792</v>
      </c>
      <c r="I256" s="101" t="s">
        <v>940</v>
      </c>
      <c r="J256" s="101" t="s">
        <v>36</v>
      </c>
      <c r="K256" s="102"/>
      <c r="L256" s="83" t="s">
        <v>404</v>
      </c>
      <c r="M256" s="102"/>
      <c r="N256" s="101"/>
      <c r="O256" s="101"/>
      <c r="P256" s="83">
        <f t="shared" ca="1" si="12"/>
        <v>367</v>
      </c>
      <c r="Q256" s="83" t="str">
        <f t="shared" ca="1" si="13"/>
        <v>Stale</v>
      </c>
      <c r="R256" s="83" t="str">
        <f t="shared" ca="1" si="14"/>
        <v>Delayed</v>
      </c>
      <c r="S256" s="83" t="str">
        <f t="shared" si="15"/>
        <v/>
      </c>
      <c r="T256" s="101" t="str">
        <f>IFERROR(_xlfn.XLOOKUP(tblRecruitmentPipeline[[#This Row],[REQ_ID]],tblRequisitions[REQ_ID],tblRequisitions[DEPARTMENT],""),"")</f>
        <v>Sales &amp; Marketing</v>
      </c>
      <c r="U256" s="110" t="str">
        <f>IF(tblRecruitmentPipeline[[#This Row],[REQ_DEPARTMENT]]="","No","Yes")</f>
        <v>Yes</v>
      </c>
    </row>
    <row r="257" spans="1:21">
      <c r="A257" s="100" t="s">
        <v>1630</v>
      </c>
      <c r="B257" s="101" t="s">
        <v>981</v>
      </c>
      <c r="C257" s="101" t="s">
        <v>1631</v>
      </c>
      <c r="D257" s="101" t="s">
        <v>1632</v>
      </c>
      <c r="E257" s="101" t="s">
        <v>375</v>
      </c>
      <c r="F257" s="102">
        <v>45793</v>
      </c>
      <c r="G257" s="83" t="s">
        <v>382</v>
      </c>
      <c r="H257" s="102">
        <v>45837</v>
      </c>
      <c r="I257" s="101" t="s">
        <v>940</v>
      </c>
      <c r="J257" s="101" t="s">
        <v>1030</v>
      </c>
      <c r="K257" s="102"/>
      <c r="L257" s="83" t="s">
        <v>404</v>
      </c>
      <c r="M257" s="102"/>
      <c r="N257" s="101"/>
      <c r="O257" s="101"/>
      <c r="P257" s="83">
        <f t="shared" ca="1" si="12"/>
        <v>352</v>
      </c>
      <c r="Q257" s="83" t="str">
        <f t="shared" ca="1" si="13"/>
        <v>Stale</v>
      </c>
      <c r="R257" s="83" t="str">
        <f t="shared" ca="1" si="14"/>
        <v>Delayed</v>
      </c>
      <c r="S257" s="83" t="str">
        <f t="shared" si="15"/>
        <v/>
      </c>
      <c r="T257" s="101" t="str">
        <f>IFERROR(_xlfn.XLOOKUP(tblRecruitmentPipeline[[#This Row],[REQ_ID]],tblRequisitions[REQ_ID],tblRequisitions[DEPARTMENT],""),"")</f>
        <v>Sales &amp; Marketing</v>
      </c>
      <c r="U257" s="110" t="str">
        <f>IF(tblRecruitmentPipeline[[#This Row],[REQ_DEPARTMENT]]="","No","Yes")</f>
        <v>Yes</v>
      </c>
    </row>
    <row r="258" spans="1:21">
      <c r="A258" s="100" t="s">
        <v>1633</v>
      </c>
      <c r="B258" s="101" t="s">
        <v>981</v>
      </c>
      <c r="C258" s="101" t="s">
        <v>1634</v>
      </c>
      <c r="D258" s="101" t="s">
        <v>455</v>
      </c>
      <c r="E258" s="101" t="s">
        <v>384</v>
      </c>
      <c r="F258" s="102">
        <v>45768</v>
      </c>
      <c r="G258" s="83" t="s">
        <v>382</v>
      </c>
      <c r="H258" s="102">
        <v>45801</v>
      </c>
      <c r="I258" s="101" t="s">
        <v>940</v>
      </c>
      <c r="J258" s="101" t="s">
        <v>1030</v>
      </c>
      <c r="K258" s="102"/>
      <c r="L258" s="83" t="s">
        <v>404</v>
      </c>
      <c r="M258" s="102"/>
      <c r="N258" s="101"/>
      <c r="O258" s="101"/>
      <c r="P258" s="83">
        <f t="shared" ca="1" si="12"/>
        <v>377</v>
      </c>
      <c r="Q258" s="83" t="str">
        <f t="shared" ca="1" si="13"/>
        <v>Stale</v>
      </c>
      <c r="R258" s="83" t="str">
        <f t="shared" ca="1" si="14"/>
        <v>Delayed</v>
      </c>
      <c r="S258" s="83" t="str">
        <f t="shared" si="15"/>
        <v/>
      </c>
      <c r="T258" s="101" t="str">
        <f>IFERROR(_xlfn.XLOOKUP(tblRecruitmentPipeline[[#This Row],[REQ_ID]],tblRequisitions[REQ_ID],tblRequisitions[DEPARTMENT],""),"")</f>
        <v>Sales &amp; Marketing</v>
      </c>
      <c r="U258" s="110" t="str">
        <f>IF(tblRecruitmentPipeline[[#This Row],[REQ_DEPARTMENT]]="","No","Yes")</f>
        <v>Yes</v>
      </c>
    </row>
    <row r="259" spans="1:21">
      <c r="A259" s="100" t="s">
        <v>1635</v>
      </c>
      <c r="B259" s="101" t="s">
        <v>982</v>
      </c>
      <c r="C259" s="101" t="s">
        <v>1636</v>
      </c>
      <c r="D259" s="101" t="s">
        <v>1637</v>
      </c>
      <c r="E259" s="101" t="s">
        <v>403</v>
      </c>
      <c r="F259" s="102">
        <v>45805</v>
      </c>
      <c r="G259" s="83" t="s">
        <v>413</v>
      </c>
      <c r="H259" s="102">
        <v>45851</v>
      </c>
      <c r="I259" s="101" t="s">
        <v>940</v>
      </c>
      <c r="J259" s="101" t="s">
        <v>227</v>
      </c>
      <c r="K259" s="102"/>
      <c r="L259" s="83" t="s">
        <v>404</v>
      </c>
      <c r="M259" s="102"/>
      <c r="N259" s="101" t="s">
        <v>1078</v>
      </c>
      <c r="O259" s="101"/>
      <c r="P259" s="83">
        <f t="shared" ca="1" si="12"/>
        <v>46</v>
      </c>
      <c r="Q259" s="83" t="str">
        <f t="shared" si="13"/>
        <v>Closed</v>
      </c>
      <c r="R259" s="83" t="str">
        <f t="shared" si="14"/>
        <v>Closed</v>
      </c>
      <c r="S259" s="83" t="str">
        <f t="shared" si="15"/>
        <v/>
      </c>
      <c r="T259" s="101" t="str">
        <f>IFERROR(_xlfn.XLOOKUP(tblRecruitmentPipeline[[#This Row],[REQ_ID]],tblRequisitions[REQ_ID],tblRequisitions[DEPARTMENT],""),"")</f>
        <v>Information Technology</v>
      </c>
      <c r="U259" s="110" t="str">
        <f>IF(tblRecruitmentPipeline[[#This Row],[REQ_DEPARTMENT]]="","No","Yes")</f>
        <v>Yes</v>
      </c>
    </row>
    <row r="260" spans="1:21">
      <c r="A260" s="100" t="s">
        <v>1638</v>
      </c>
      <c r="B260" s="101" t="s">
        <v>982</v>
      </c>
      <c r="C260" s="101" t="s">
        <v>1639</v>
      </c>
      <c r="D260" s="101" t="s">
        <v>698</v>
      </c>
      <c r="E260" s="101" t="s">
        <v>384</v>
      </c>
      <c r="F260" s="102">
        <v>45806</v>
      </c>
      <c r="G260" s="83" t="s">
        <v>401</v>
      </c>
      <c r="H260" s="102">
        <v>45836</v>
      </c>
      <c r="I260" s="101" t="s">
        <v>940</v>
      </c>
      <c r="J260" s="101" t="s">
        <v>1030</v>
      </c>
      <c r="K260" s="102"/>
      <c r="L260" s="83" t="s">
        <v>404</v>
      </c>
      <c r="M260" s="102"/>
      <c r="N260" s="101"/>
      <c r="O260" s="101"/>
      <c r="P260" s="83">
        <f t="shared" ca="1" si="12"/>
        <v>339</v>
      </c>
      <c r="Q260" s="83" t="str">
        <f t="shared" ca="1" si="13"/>
        <v>Stale</v>
      </c>
      <c r="R260" s="83" t="str">
        <f t="shared" ca="1" si="14"/>
        <v>Delayed</v>
      </c>
      <c r="S260" s="83" t="str">
        <f t="shared" si="15"/>
        <v/>
      </c>
      <c r="T260" s="101" t="str">
        <f>IFERROR(_xlfn.XLOOKUP(tblRecruitmentPipeline[[#This Row],[REQ_ID]],tblRequisitions[REQ_ID],tblRequisitions[DEPARTMENT],""),"")</f>
        <v>Information Technology</v>
      </c>
      <c r="U260" s="110" t="str">
        <f>IF(tblRecruitmentPipeline[[#This Row],[REQ_DEPARTMENT]]="","No","Yes")</f>
        <v>Yes</v>
      </c>
    </row>
    <row r="261" spans="1:21">
      <c r="A261" s="100" t="s">
        <v>1640</v>
      </c>
      <c r="B261" s="101" t="s">
        <v>982</v>
      </c>
      <c r="C261" s="101" t="s">
        <v>1641</v>
      </c>
      <c r="D261" s="101" t="s">
        <v>1642</v>
      </c>
      <c r="E261" s="101" t="s">
        <v>403</v>
      </c>
      <c r="F261" s="102">
        <v>45806</v>
      </c>
      <c r="G261" s="83" t="s">
        <v>409</v>
      </c>
      <c r="H261" s="102">
        <v>45844</v>
      </c>
      <c r="I261" s="101" t="s">
        <v>940</v>
      </c>
      <c r="J261" s="101" t="s">
        <v>227</v>
      </c>
      <c r="K261" s="102">
        <v>45840</v>
      </c>
      <c r="L261" s="83" t="s">
        <v>323</v>
      </c>
      <c r="M261" s="102"/>
      <c r="N261" s="101"/>
      <c r="O261" s="101"/>
      <c r="P261" s="83">
        <f t="shared" ref="P261:P324" ca="1" si="16">IF($A261="","",IF($G261="Hired",$M261-$F261,IF(OR($G261="Rejected",$G261="Withdrawn"),$H261-$F261,TODAY()-$F261)))</f>
        <v>339</v>
      </c>
      <c r="Q261" s="83" t="str">
        <f t="shared" ref="Q261:Q324" ca="1" si="17">IF($A261="","",IF(OR($G261="Hired",$G261="Rejected",$G261="Withdrawn"),"Closed",IF($P261&gt;30,"Stale","Active")))</f>
        <v>Stale</v>
      </c>
      <c r="R261" s="83" t="str">
        <f t="shared" ref="R261:R324" ca="1" si="18">IF($A261="","",IF($Q261="Closed","Closed",IF($P261&lt;=14,"On Track",IF($P261&lt;=30,"At Risk","Delayed"))))</f>
        <v>Delayed</v>
      </c>
      <c r="S261" s="83" t="str">
        <f t="shared" ref="S261:S324" si="19">IF($A261="","",IF($G261="Hired",$M261-$F261,""))</f>
        <v/>
      </c>
      <c r="T261" s="101" t="str">
        <f>IFERROR(_xlfn.XLOOKUP(tblRecruitmentPipeline[[#This Row],[REQ_ID]],tblRequisitions[REQ_ID],tblRequisitions[DEPARTMENT],""),"")</f>
        <v>Information Technology</v>
      </c>
      <c r="U261" s="110" t="str">
        <f>IF(tblRecruitmentPipeline[[#This Row],[REQ_DEPARTMENT]]="","No","Yes")</f>
        <v>Yes</v>
      </c>
    </row>
    <row r="262" spans="1:21">
      <c r="A262" s="100" t="s">
        <v>1643</v>
      </c>
      <c r="B262" s="101" t="s">
        <v>982</v>
      </c>
      <c r="C262" s="101" t="s">
        <v>1644</v>
      </c>
      <c r="D262" s="101" t="s">
        <v>920</v>
      </c>
      <c r="E262" s="101" t="s">
        <v>412</v>
      </c>
      <c r="F262" s="102">
        <v>45802</v>
      </c>
      <c r="G262" s="83" t="s">
        <v>372</v>
      </c>
      <c r="H262" s="102">
        <v>45806</v>
      </c>
      <c r="I262" s="101" t="s">
        <v>940</v>
      </c>
      <c r="J262" s="101" t="s">
        <v>36</v>
      </c>
      <c r="K262" s="102"/>
      <c r="L262" s="83" t="s">
        <v>404</v>
      </c>
      <c r="M262" s="102"/>
      <c r="N262" s="101"/>
      <c r="O262" s="101"/>
      <c r="P262" s="83">
        <f t="shared" ca="1" si="16"/>
        <v>343</v>
      </c>
      <c r="Q262" s="83" t="str">
        <f t="shared" ca="1" si="17"/>
        <v>Stale</v>
      </c>
      <c r="R262" s="83" t="str">
        <f t="shared" ca="1" si="18"/>
        <v>Delayed</v>
      </c>
      <c r="S262" s="83" t="str">
        <f t="shared" si="19"/>
        <v/>
      </c>
      <c r="T262" s="101" t="str">
        <f>IFERROR(_xlfn.XLOOKUP(tblRecruitmentPipeline[[#This Row],[REQ_ID]],tblRequisitions[REQ_ID],tblRequisitions[DEPARTMENT],""),"")</f>
        <v>Information Technology</v>
      </c>
      <c r="U262" s="110" t="str">
        <f>IF(tblRecruitmentPipeline[[#This Row],[REQ_DEPARTMENT]]="","No","Yes")</f>
        <v>Yes</v>
      </c>
    </row>
    <row r="263" spans="1:21">
      <c r="A263" s="100" t="s">
        <v>1645</v>
      </c>
      <c r="B263" s="101" t="s">
        <v>983</v>
      </c>
      <c r="C263" s="101" t="s">
        <v>1646</v>
      </c>
      <c r="D263" s="101" t="s">
        <v>425</v>
      </c>
      <c r="E263" s="101" t="s">
        <v>403</v>
      </c>
      <c r="F263" s="102">
        <v>45728</v>
      </c>
      <c r="G263" s="83" t="s">
        <v>219</v>
      </c>
      <c r="H263" s="102">
        <v>45735</v>
      </c>
      <c r="I263" s="101" t="s">
        <v>938</v>
      </c>
      <c r="J263" s="101" t="s">
        <v>227</v>
      </c>
      <c r="K263" s="102">
        <v>45733</v>
      </c>
      <c r="L263" s="83" t="s">
        <v>231</v>
      </c>
      <c r="M263" s="102">
        <v>45751</v>
      </c>
      <c r="N263" s="101"/>
      <c r="O263" s="101"/>
      <c r="P263" s="83">
        <f t="shared" ca="1" si="16"/>
        <v>23</v>
      </c>
      <c r="Q263" s="83" t="str">
        <f t="shared" si="17"/>
        <v>Closed</v>
      </c>
      <c r="R263" s="83" t="str">
        <f t="shared" si="18"/>
        <v>Closed</v>
      </c>
      <c r="S263" s="83">
        <f t="shared" si="19"/>
        <v>23</v>
      </c>
      <c r="T263" s="101" t="str">
        <f>IFERROR(_xlfn.XLOOKUP(tblRecruitmentPipeline[[#This Row],[REQ_ID]],tblRequisitions[REQ_ID],tblRequisitions[DEPARTMENT],""),"")</f>
        <v>Credit Evaluation</v>
      </c>
      <c r="U263" s="110" t="str">
        <f>IF(tblRecruitmentPipeline[[#This Row],[REQ_DEPARTMENT]]="","No","Yes")</f>
        <v>Yes</v>
      </c>
    </row>
    <row r="264" spans="1:21">
      <c r="A264" s="100" t="s">
        <v>1647</v>
      </c>
      <c r="B264" s="101" t="s">
        <v>983</v>
      </c>
      <c r="C264" s="101" t="s">
        <v>1648</v>
      </c>
      <c r="D264" s="101" t="s">
        <v>519</v>
      </c>
      <c r="E264" s="101" t="s">
        <v>412</v>
      </c>
      <c r="F264" s="102">
        <v>45703</v>
      </c>
      <c r="G264" s="83" t="s">
        <v>219</v>
      </c>
      <c r="H264" s="102">
        <v>45744</v>
      </c>
      <c r="I264" s="101" t="s">
        <v>938</v>
      </c>
      <c r="J264" s="101" t="s">
        <v>227</v>
      </c>
      <c r="K264" s="102">
        <v>45743</v>
      </c>
      <c r="L264" s="83" t="s">
        <v>231</v>
      </c>
      <c r="M264" s="102">
        <v>45753</v>
      </c>
      <c r="N264" s="101"/>
      <c r="O264" s="101"/>
      <c r="P264" s="83">
        <f t="shared" ca="1" si="16"/>
        <v>50</v>
      </c>
      <c r="Q264" s="83" t="str">
        <f t="shared" si="17"/>
        <v>Closed</v>
      </c>
      <c r="R264" s="83" t="str">
        <f t="shared" si="18"/>
        <v>Closed</v>
      </c>
      <c r="S264" s="83">
        <f t="shared" si="19"/>
        <v>50</v>
      </c>
      <c r="T264" s="101" t="str">
        <f>IFERROR(_xlfn.XLOOKUP(tblRecruitmentPipeline[[#This Row],[REQ_ID]],tblRequisitions[REQ_ID],tblRequisitions[DEPARTMENT],""),"")</f>
        <v>Credit Evaluation</v>
      </c>
      <c r="U264" s="110" t="str">
        <f>IF(tblRecruitmentPipeline[[#This Row],[REQ_DEPARTMENT]]="","No","Yes")</f>
        <v>Yes</v>
      </c>
    </row>
    <row r="265" spans="1:21">
      <c r="A265" s="100" t="s">
        <v>1649</v>
      </c>
      <c r="B265" s="101" t="s">
        <v>983</v>
      </c>
      <c r="C265" s="101" t="s">
        <v>1650</v>
      </c>
      <c r="D265" s="101" t="s">
        <v>1531</v>
      </c>
      <c r="E265" s="101" t="s">
        <v>403</v>
      </c>
      <c r="F265" s="102">
        <v>45732</v>
      </c>
      <c r="G265" s="83" t="s">
        <v>413</v>
      </c>
      <c r="H265" s="102">
        <v>45753</v>
      </c>
      <c r="I265" s="101" t="s">
        <v>938</v>
      </c>
      <c r="J265" s="101" t="s">
        <v>36</v>
      </c>
      <c r="K265" s="102"/>
      <c r="L265" s="83" t="s">
        <v>404</v>
      </c>
      <c r="M265" s="102"/>
      <c r="N265" s="101" t="s">
        <v>1027</v>
      </c>
      <c r="O265" s="101"/>
      <c r="P265" s="83">
        <f t="shared" ca="1" si="16"/>
        <v>21</v>
      </c>
      <c r="Q265" s="83" t="str">
        <f t="shared" si="17"/>
        <v>Closed</v>
      </c>
      <c r="R265" s="83" t="str">
        <f t="shared" si="18"/>
        <v>Closed</v>
      </c>
      <c r="S265" s="83" t="str">
        <f t="shared" si="19"/>
        <v/>
      </c>
      <c r="T265" s="101" t="str">
        <f>IFERROR(_xlfn.XLOOKUP(tblRecruitmentPipeline[[#This Row],[REQ_ID]],tblRequisitions[REQ_ID],tblRequisitions[DEPARTMENT],""),"")</f>
        <v>Credit Evaluation</v>
      </c>
      <c r="U265" s="110" t="str">
        <f>IF(tblRecruitmentPipeline[[#This Row],[REQ_DEPARTMENT]]="","No","Yes")</f>
        <v>Yes</v>
      </c>
    </row>
    <row r="266" spans="1:21">
      <c r="A266" s="100" t="s">
        <v>1651</v>
      </c>
      <c r="B266" s="101" t="s">
        <v>984</v>
      </c>
      <c r="C266" s="101" t="s">
        <v>1652</v>
      </c>
      <c r="D266" s="101" t="s">
        <v>908</v>
      </c>
      <c r="E266" s="101" t="s">
        <v>375</v>
      </c>
      <c r="F266" s="102">
        <v>46098</v>
      </c>
      <c r="G266" s="83" t="s">
        <v>393</v>
      </c>
      <c r="H266" s="102">
        <v>46118</v>
      </c>
      <c r="I266" s="101" t="s">
        <v>938</v>
      </c>
      <c r="J266" s="101" t="s">
        <v>227</v>
      </c>
      <c r="K266" s="102"/>
      <c r="L266" s="83" t="s">
        <v>404</v>
      </c>
      <c r="M266" s="102"/>
      <c r="N266" s="101"/>
      <c r="O266" s="101"/>
      <c r="P266" s="83">
        <f t="shared" ca="1" si="16"/>
        <v>47</v>
      </c>
      <c r="Q266" s="83" t="str">
        <f t="shared" ca="1" si="17"/>
        <v>Stale</v>
      </c>
      <c r="R266" s="83" t="str">
        <f t="shared" ca="1" si="18"/>
        <v>Delayed</v>
      </c>
      <c r="S266" s="83" t="str">
        <f t="shared" si="19"/>
        <v/>
      </c>
      <c r="T266" s="101" t="str">
        <f>IFERROR(_xlfn.XLOOKUP(tblRecruitmentPipeline[[#This Row],[REQ_ID]],tblRequisitions[REQ_ID],tblRequisitions[DEPARTMENT],""),"")</f>
        <v>Branch Operations</v>
      </c>
      <c r="U266" s="110" t="str">
        <f>IF(tblRecruitmentPipeline[[#This Row],[REQ_DEPARTMENT]]="","No","Yes")</f>
        <v>Yes</v>
      </c>
    </row>
    <row r="267" spans="1:21">
      <c r="A267" s="100" t="s">
        <v>1653</v>
      </c>
      <c r="B267" s="101" t="s">
        <v>984</v>
      </c>
      <c r="C267" s="101" t="s">
        <v>1654</v>
      </c>
      <c r="D267" s="101" t="s">
        <v>821</v>
      </c>
      <c r="E267" s="101" t="s">
        <v>213</v>
      </c>
      <c r="F267" s="102">
        <v>46096</v>
      </c>
      <c r="G267" s="83" t="s">
        <v>219</v>
      </c>
      <c r="H267" s="102">
        <v>46134</v>
      </c>
      <c r="I267" s="101" t="s">
        <v>938</v>
      </c>
      <c r="J267" s="101" t="s">
        <v>1030</v>
      </c>
      <c r="K267" s="102">
        <v>46131</v>
      </c>
      <c r="L267" s="83" t="s">
        <v>231</v>
      </c>
      <c r="M267" s="102">
        <v>46138</v>
      </c>
      <c r="N267" s="101"/>
      <c r="O267" s="101"/>
      <c r="P267" s="83">
        <f t="shared" ca="1" si="16"/>
        <v>42</v>
      </c>
      <c r="Q267" s="83" t="str">
        <f t="shared" si="17"/>
        <v>Closed</v>
      </c>
      <c r="R267" s="83" t="str">
        <f t="shared" si="18"/>
        <v>Closed</v>
      </c>
      <c r="S267" s="83">
        <f t="shared" si="19"/>
        <v>42</v>
      </c>
      <c r="T267" s="101" t="str">
        <f>IFERROR(_xlfn.XLOOKUP(tblRecruitmentPipeline[[#This Row],[REQ_ID]],tblRequisitions[REQ_ID],tblRequisitions[DEPARTMENT],""),"")</f>
        <v>Branch Operations</v>
      </c>
      <c r="U267" s="110" t="str">
        <f>IF(tblRecruitmentPipeline[[#This Row],[REQ_DEPARTMENT]]="","No","Yes")</f>
        <v>Yes</v>
      </c>
    </row>
    <row r="268" spans="1:21">
      <c r="A268" s="100" t="s">
        <v>1655</v>
      </c>
      <c r="B268" s="101" t="s">
        <v>984</v>
      </c>
      <c r="C268" s="101" t="s">
        <v>1656</v>
      </c>
      <c r="D268" s="101" t="s">
        <v>566</v>
      </c>
      <c r="E268" s="101" t="s">
        <v>375</v>
      </c>
      <c r="F268" s="102">
        <v>46080</v>
      </c>
      <c r="G268" s="83" t="s">
        <v>219</v>
      </c>
      <c r="H268" s="102">
        <v>46100</v>
      </c>
      <c r="I268" s="101" t="s">
        <v>938</v>
      </c>
      <c r="J268" s="101" t="s">
        <v>1030</v>
      </c>
      <c r="K268" s="102">
        <v>46095</v>
      </c>
      <c r="L268" s="83" t="s">
        <v>231</v>
      </c>
      <c r="M268" s="102">
        <v>46102</v>
      </c>
      <c r="N268" s="101"/>
      <c r="O268" s="101"/>
      <c r="P268" s="83">
        <f t="shared" ca="1" si="16"/>
        <v>22</v>
      </c>
      <c r="Q268" s="83" t="str">
        <f t="shared" si="17"/>
        <v>Closed</v>
      </c>
      <c r="R268" s="83" t="str">
        <f t="shared" si="18"/>
        <v>Closed</v>
      </c>
      <c r="S268" s="83">
        <f t="shared" si="19"/>
        <v>22</v>
      </c>
      <c r="T268" s="101" t="str">
        <f>IFERROR(_xlfn.XLOOKUP(tblRecruitmentPipeline[[#This Row],[REQ_ID]],tblRequisitions[REQ_ID],tblRequisitions[DEPARTMENT],""),"")</f>
        <v>Branch Operations</v>
      </c>
      <c r="U268" s="110" t="str">
        <f>IF(tblRecruitmentPipeline[[#This Row],[REQ_DEPARTMENT]]="","No","Yes")</f>
        <v>Yes</v>
      </c>
    </row>
    <row r="269" spans="1:21">
      <c r="A269" s="100" t="s">
        <v>1657</v>
      </c>
      <c r="B269" s="101" t="s">
        <v>984</v>
      </c>
      <c r="C269" s="101" t="s">
        <v>1658</v>
      </c>
      <c r="D269" s="101" t="s">
        <v>634</v>
      </c>
      <c r="E269" s="101" t="s">
        <v>213</v>
      </c>
      <c r="F269" s="102">
        <v>46109</v>
      </c>
      <c r="G269" s="83" t="s">
        <v>372</v>
      </c>
      <c r="H269" s="102">
        <v>46128</v>
      </c>
      <c r="I269" s="101" t="s">
        <v>938</v>
      </c>
      <c r="J269" s="101" t="s">
        <v>36</v>
      </c>
      <c r="K269" s="102"/>
      <c r="L269" s="83" t="s">
        <v>404</v>
      </c>
      <c r="M269" s="102"/>
      <c r="N269" s="101"/>
      <c r="O269" s="101"/>
      <c r="P269" s="83">
        <f t="shared" ca="1" si="16"/>
        <v>36</v>
      </c>
      <c r="Q269" s="83" t="str">
        <f t="shared" ca="1" si="17"/>
        <v>Stale</v>
      </c>
      <c r="R269" s="83" t="str">
        <f t="shared" ca="1" si="18"/>
        <v>Delayed</v>
      </c>
      <c r="S269" s="83" t="str">
        <f t="shared" si="19"/>
        <v/>
      </c>
      <c r="T269" s="101" t="str">
        <f>IFERROR(_xlfn.XLOOKUP(tblRecruitmentPipeline[[#This Row],[REQ_ID]],tblRequisitions[REQ_ID],tblRequisitions[DEPARTMENT],""),"")</f>
        <v>Branch Operations</v>
      </c>
      <c r="U269" s="110" t="str">
        <f>IF(tblRecruitmentPipeline[[#This Row],[REQ_DEPARTMENT]]="","No","Yes")</f>
        <v>Yes</v>
      </c>
    </row>
    <row r="270" spans="1:21">
      <c r="A270" s="100" t="s">
        <v>1659</v>
      </c>
      <c r="B270" s="101" t="s">
        <v>984</v>
      </c>
      <c r="C270" s="101" t="s">
        <v>1660</v>
      </c>
      <c r="D270" s="101" t="s">
        <v>1637</v>
      </c>
      <c r="E270" s="101" t="s">
        <v>213</v>
      </c>
      <c r="F270" s="102">
        <v>46094</v>
      </c>
      <c r="G270" s="83" t="s">
        <v>413</v>
      </c>
      <c r="H270" s="102">
        <v>46096</v>
      </c>
      <c r="I270" s="101" t="s">
        <v>938</v>
      </c>
      <c r="J270" s="101" t="s">
        <v>227</v>
      </c>
      <c r="K270" s="102"/>
      <c r="L270" s="83" t="s">
        <v>404</v>
      </c>
      <c r="M270" s="102"/>
      <c r="N270" s="101" t="s">
        <v>1027</v>
      </c>
      <c r="O270" s="101"/>
      <c r="P270" s="83">
        <f t="shared" ca="1" si="16"/>
        <v>2</v>
      </c>
      <c r="Q270" s="83" t="str">
        <f t="shared" si="17"/>
        <v>Closed</v>
      </c>
      <c r="R270" s="83" t="str">
        <f t="shared" si="18"/>
        <v>Closed</v>
      </c>
      <c r="S270" s="83" t="str">
        <f t="shared" si="19"/>
        <v/>
      </c>
      <c r="T270" s="101" t="str">
        <f>IFERROR(_xlfn.XLOOKUP(tblRecruitmentPipeline[[#This Row],[REQ_ID]],tblRequisitions[REQ_ID],tblRequisitions[DEPARTMENT],""),"")</f>
        <v>Branch Operations</v>
      </c>
      <c r="U270" s="110" t="str">
        <f>IF(tblRecruitmentPipeline[[#This Row],[REQ_DEPARTMENT]]="","No","Yes")</f>
        <v>Yes</v>
      </c>
    </row>
    <row r="271" spans="1:21">
      <c r="A271" s="100" t="s">
        <v>1661</v>
      </c>
      <c r="B271" s="101" t="s">
        <v>984</v>
      </c>
      <c r="C271" s="101" t="s">
        <v>1662</v>
      </c>
      <c r="D271" s="101" t="s">
        <v>1663</v>
      </c>
      <c r="E271" s="101" t="s">
        <v>403</v>
      </c>
      <c r="F271" s="102">
        <v>46086</v>
      </c>
      <c r="G271" s="83" t="s">
        <v>219</v>
      </c>
      <c r="H271" s="102">
        <v>46111</v>
      </c>
      <c r="I271" s="101" t="s">
        <v>938</v>
      </c>
      <c r="J271" s="101" t="s">
        <v>1030</v>
      </c>
      <c r="K271" s="102">
        <v>46109</v>
      </c>
      <c r="L271" s="83" t="s">
        <v>231</v>
      </c>
      <c r="M271" s="102">
        <v>46120</v>
      </c>
      <c r="N271" s="101"/>
      <c r="O271" s="101"/>
      <c r="P271" s="83">
        <f t="shared" ca="1" si="16"/>
        <v>34</v>
      </c>
      <c r="Q271" s="83" t="str">
        <f t="shared" si="17"/>
        <v>Closed</v>
      </c>
      <c r="R271" s="83" t="str">
        <f t="shared" si="18"/>
        <v>Closed</v>
      </c>
      <c r="S271" s="83">
        <f t="shared" si="19"/>
        <v>34</v>
      </c>
      <c r="T271" s="101" t="str">
        <f>IFERROR(_xlfn.XLOOKUP(tblRecruitmentPipeline[[#This Row],[REQ_ID]],tblRequisitions[REQ_ID],tblRequisitions[DEPARTMENT],""),"")</f>
        <v>Branch Operations</v>
      </c>
      <c r="U271" s="110" t="str">
        <f>IF(tblRecruitmentPipeline[[#This Row],[REQ_DEPARTMENT]]="","No","Yes")</f>
        <v>Yes</v>
      </c>
    </row>
    <row r="272" spans="1:21">
      <c r="A272" s="100" t="s">
        <v>1664</v>
      </c>
      <c r="B272" s="101" t="s">
        <v>984</v>
      </c>
      <c r="C272" s="101" t="s">
        <v>1665</v>
      </c>
      <c r="D272" s="101" t="s">
        <v>1632</v>
      </c>
      <c r="E272" s="101" t="s">
        <v>414</v>
      </c>
      <c r="F272" s="102">
        <v>46110</v>
      </c>
      <c r="G272" s="83" t="s">
        <v>413</v>
      </c>
      <c r="H272" s="102">
        <v>46133</v>
      </c>
      <c r="I272" s="101" t="s">
        <v>938</v>
      </c>
      <c r="J272" s="101" t="s">
        <v>36</v>
      </c>
      <c r="K272" s="102"/>
      <c r="L272" s="83" t="s">
        <v>404</v>
      </c>
      <c r="M272" s="102"/>
      <c r="N272" s="101" t="s">
        <v>1027</v>
      </c>
      <c r="O272" s="101"/>
      <c r="P272" s="83">
        <f t="shared" ca="1" si="16"/>
        <v>23</v>
      </c>
      <c r="Q272" s="83" t="str">
        <f t="shared" si="17"/>
        <v>Closed</v>
      </c>
      <c r="R272" s="83" t="str">
        <f t="shared" si="18"/>
        <v>Closed</v>
      </c>
      <c r="S272" s="83" t="str">
        <f t="shared" si="19"/>
        <v/>
      </c>
      <c r="T272" s="101" t="str">
        <f>IFERROR(_xlfn.XLOOKUP(tblRecruitmentPipeline[[#This Row],[REQ_ID]],tblRequisitions[REQ_ID],tblRequisitions[DEPARTMENT],""),"")</f>
        <v>Branch Operations</v>
      </c>
      <c r="U272" s="110" t="str">
        <f>IF(tblRecruitmentPipeline[[#This Row],[REQ_DEPARTMENT]]="","No","Yes")</f>
        <v>Yes</v>
      </c>
    </row>
    <row r="273" spans="1:21">
      <c r="A273" s="100" t="s">
        <v>1666</v>
      </c>
      <c r="B273" s="101" t="s">
        <v>985</v>
      </c>
      <c r="C273" s="101" t="s">
        <v>1667</v>
      </c>
      <c r="D273" s="101" t="s">
        <v>1331</v>
      </c>
      <c r="E273" s="101" t="s">
        <v>384</v>
      </c>
      <c r="F273" s="102">
        <v>46118</v>
      </c>
      <c r="G273" s="83" t="s">
        <v>382</v>
      </c>
      <c r="H273" s="102">
        <v>46148</v>
      </c>
      <c r="I273" s="101" t="s">
        <v>192</v>
      </c>
      <c r="J273" s="101" t="s">
        <v>227</v>
      </c>
      <c r="K273" s="102"/>
      <c r="L273" s="83" t="s">
        <v>404</v>
      </c>
      <c r="M273" s="102"/>
      <c r="N273" s="101"/>
      <c r="O273" s="101"/>
      <c r="P273" s="83">
        <f t="shared" ca="1" si="16"/>
        <v>27</v>
      </c>
      <c r="Q273" s="83" t="str">
        <f t="shared" ca="1" si="17"/>
        <v>Active</v>
      </c>
      <c r="R273" s="83" t="str">
        <f t="shared" ca="1" si="18"/>
        <v>At Risk</v>
      </c>
      <c r="S273" s="83" t="str">
        <f t="shared" si="19"/>
        <v/>
      </c>
      <c r="T273" s="101" t="str">
        <f>IFERROR(_xlfn.XLOOKUP(tblRecruitmentPipeline[[#This Row],[REQ_ID]],tblRequisitions[REQ_ID],tblRequisitions[DEPARTMENT],""),"")</f>
        <v>Credit Evaluation</v>
      </c>
      <c r="U273" s="110" t="str">
        <f>IF(tblRecruitmentPipeline[[#This Row],[REQ_DEPARTMENT]]="","No","Yes")</f>
        <v>Yes</v>
      </c>
    </row>
    <row r="274" spans="1:21">
      <c r="A274" s="100" t="s">
        <v>1668</v>
      </c>
      <c r="B274" s="101" t="s">
        <v>985</v>
      </c>
      <c r="C274" s="101" t="s">
        <v>1669</v>
      </c>
      <c r="D274" s="101" t="s">
        <v>1670</v>
      </c>
      <c r="E274" s="101" t="s">
        <v>384</v>
      </c>
      <c r="F274" s="102">
        <v>46116</v>
      </c>
      <c r="G274" s="83" t="s">
        <v>372</v>
      </c>
      <c r="H274" s="102">
        <v>46134</v>
      </c>
      <c r="I274" s="101" t="s">
        <v>192</v>
      </c>
      <c r="J274" s="101" t="s">
        <v>36</v>
      </c>
      <c r="K274" s="102"/>
      <c r="L274" s="83" t="s">
        <v>404</v>
      </c>
      <c r="M274" s="102"/>
      <c r="N274" s="101"/>
      <c r="O274" s="101"/>
      <c r="P274" s="83">
        <f t="shared" ca="1" si="16"/>
        <v>29</v>
      </c>
      <c r="Q274" s="83" t="str">
        <f t="shared" ca="1" si="17"/>
        <v>Active</v>
      </c>
      <c r="R274" s="83" t="str">
        <f t="shared" ca="1" si="18"/>
        <v>At Risk</v>
      </c>
      <c r="S274" s="83" t="str">
        <f t="shared" si="19"/>
        <v/>
      </c>
      <c r="T274" s="101" t="str">
        <f>IFERROR(_xlfn.XLOOKUP(tblRecruitmentPipeline[[#This Row],[REQ_ID]],tblRequisitions[REQ_ID],tblRequisitions[DEPARTMENT],""),"")</f>
        <v>Credit Evaluation</v>
      </c>
      <c r="U274" s="110" t="str">
        <f>IF(tblRecruitmentPipeline[[#This Row],[REQ_DEPARTMENT]]="","No","Yes")</f>
        <v>Yes</v>
      </c>
    </row>
    <row r="275" spans="1:21">
      <c r="A275" s="100" t="s">
        <v>1671</v>
      </c>
      <c r="B275" s="101" t="s">
        <v>985</v>
      </c>
      <c r="C275" s="101" t="s">
        <v>1672</v>
      </c>
      <c r="D275" s="101" t="s">
        <v>1673</v>
      </c>
      <c r="E275" s="101" t="s">
        <v>403</v>
      </c>
      <c r="F275" s="102">
        <v>46119</v>
      </c>
      <c r="G275" s="83" t="s">
        <v>401</v>
      </c>
      <c r="H275" s="102">
        <v>46151</v>
      </c>
      <c r="I275" s="101" t="s">
        <v>192</v>
      </c>
      <c r="J275" s="101" t="s">
        <v>227</v>
      </c>
      <c r="K275" s="102"/>
      <c r="L275" s="83" t="s">
        <v>404</v>
      </c>
      <c r="M275" s="102"/>
      <c r="N275" s="101"/>
      <c r="O275" s="101"/>
      <c r="P275" s="83">
        <f t="shared" ca="1" si="16"/>
        <v>26</v>
      </c>
      <c r="Q275" s="83" t="str">
        <f t="shared" ca="1" si="17"/>
        <v>Active</v>
      </c>
      <c r="R275" s="83" t="str">
        <f t="shared" ca="1" si="18"/>
        <v>At Risk</v>
      </c>
      <c r="S275" s="83" t="str">
        <f t="shared" si="19"/>
        <v/>
      </c>
      <c r="T275" s="101" t="str">
        <f>IFERROR(_xlfn.XLOOKUP(tblRecruitmentPipeline[[#This Row],[REQ_ID]],tblRequisitions[REQ_ID],tblRequisitions[DEPARTMENT],""),"")</f>
        <v>Credit Evaluation</v>
      </c>
      <c r="U275" s="110" t="str">
        <f>IF(tblRecruitmentPipeline[[#This Row],[REQ_DEPARTMENT]]="","No","Yes")</f>
        <v>Yes</v>
      </c>
    </row>
    <row r="276" spans="1:21">
      <c r="A276" s="100" t="s">
        <v>1674</v>
      </c>
      <c r="B276" s="101" t="s">
        <v>985</v>
      </c>
      <c r="C276" s="101" t="s">
        <v>1675</v>
      </c>
      <c r="D276" s="101" t="s">
        <v>1131</v>
      </c>
      <c r="E276" s="101" t="s">
        <v>375</v>
      </c>
      <c r="F276" s="102">
        <v>46118</v>
      </c>
      <c r="G276" s="83" t="s">
        <v>401</v>
      </c>
      <c r="H276" s="102">
        <v>46129</v>
      </c>
      <c r="I276" s="101" t="s">
        <v>192</v>
      </c>
      <c r="J276" s="101" t="s">
        <v>36</v>
      </c>
      <c r="K276" s="102"/>
      <c r="L276" s="83" t="s">
        <v>404</v>
      </c>
      <c r="M276" s="102"/>
      <c r="N276" s="101"/>
      <c r="O276" s="101"/>
      <c r="P276" s="83">
        <f t="shared" ca="1" si="16"/>
        <v>27</v>
      </c>
      <c r="Q276" s="83" t="str">
        <f t="shared" ca="1" si="17"/>
        <v>Active</v>
      </c>
      <c r="R276" s="83" t="str">
        <f t="shared" ca="1" si="18"/>
        <v>At Risk</v>
      </c>
      <c r="S276" s="83" t="str">
        <f t="shared" si="19"/>
        <v/>
      </c>
      <c r="T276" s="101" t="str">
        <f>IFERROR(_xlfn.XLOOKUP(tblRecruitmentPipeline[[#This Row],[REQ_ID]],tblRequisitions[REQ_ID],tblRequisitions[DEPARTMENT],""),"")</f>
        <v>Credit Evaluation</v>
      </c>
      <c r="U276" s="110" t="str">
        <f>IF(tblRecruitmentPipeline[[#This Row],[REQ_DEPARTMENT]]="","No","Yes")</f>
        <v>Yes</v>
      </c>
    </row>
    <row r="277" spans="1:21">
      <c r="A277" s="100" t="s">
        <v>1676</v>
      </c>
      <c r="B277" s="101" t="s">
        <v>985</v>
      </c>
      <c r="C277" s="101" t="s">
        <v>1677</v>
      </c>
      <c r="D277" s="101" t="s">
        <v>883</v>
      </c>
      <c r="E277" s="101" t="s">
        <v>375</v>
      </c>
      <c r="F277" s="102">
        <v>46122</v>
      </c>
      <c r="G277" s="83" t="s">
        <v>393</v>
      </c>
      <c r="H277" s="102">
        <v>46144</v>
      </c>
      <c r="I277" s="101" t="s">
        <v>192</v>
      </c>
      <c r="J277" s="101" t="s">
        <v>227</v>
      </c>
      <c r="K277" s="102"/>
      <c r="L277" s="83" t="s">
        <v>404</v>
      </c>
      <c r="M277" s="102"/>
      <c r="N277" s="101"/>
      <c r="O277" s="101"/>
      <c r="P277" s="83">
        <f t="shared" ca="1" si="16"/>
        <v>23</v>
      </c>
      <c r="Q277" s="83" t="str">
        <f t="shared" ca="1" si="17"/>
        <v>Active</v>
      </c>
      <c r="R277" s="83" t="str">
        <f t="shared" ca="1" si="18"/>
        <v>At Risk</v>
      </c>
      <c r="S277" s="83" t="str">
        <f t="shared" si="19"/>
        <v/>
      </c>
      <c r="T277" s="101" t="str">
        <f>IFERROR(_xlfn.XLOOKUP(tblRecruitmentPipeline[[#This Row],[REQ_ID]],tblRequisitions[REQ_ID],tblRequisitions[DEPARTMENT],""),"")</f>
        <v>Credit Evaluation</v>
      </c>
      <c r="U277" s="110" t="str">
        <f>IF(tblRecruitmentPipeline[[#This Row],[REQ_DEPARTMENT]]="","No","Yes")</f>
        <v>Yes</v>
      </c>
    </row>
    <row r="278" spans="1:21">
      <c r="A278" s="100" t="s">
        <v>1678</v>
      </c>
      <c r="B278" s="101" t="s">
        <v>985</v>
      </c>
      <c r="C278" s="101" t="s">
        <v>1679</v>
      </c>
      <c r="D278" s="101" t="s">
        <v>1098</v>
      </c>
      <c r="E278" s="101" t="s">
        <v>261</v>
      </c>
      <c r="F278" s="102">
        <v>46116</v>
      </c>
      <c r="G278" s="83" t="s">
        <v>418</v>
      </c>
      <c r="H278" s="102">
        <v>46145</v>
      </c>
      <c r="I278" s="101" t="s">
        <v>192</v>
      </c>
      <c r="J278" s="101" t="s">
        <v>36</v>
      </c>
      <c r="K278" s="102"/>
      <c r="L278" s="83" t="s">
        <v>404</v>
      </c>
      <c r="M278" s="102"/>
      <c r="N278" s="101"/>
      <c r="O278" s="101" t="s">
        <v>1183</v>
      </c>
      <c r="P278" s="83">
        <f t="shared" ca="1" si="16"/>
        <v>29</v>
      </c>
      <c r="Q278" s="83" t="str">
        <f t="shared" si="17"/>
        <v>Closed</v>
      </c>
      <c r="R278" s="83" t="str">
        <f t="shared" si="18"/>
        <v>Closed</v>
      </c>
      <c r="S278" s="83" t="str">
        <f t="shared" si="19"/>
        <v/>
      </c>
      <c r="T278" s="101" t="str">
        <f>IFERROR(_xlfn.XLOOKUP(tblRecruitmentPipeline[[#This Row],[REQ_ID]],tblRequisitions[REQ_ID],tblRequisitions[DEPARTMENT],""),"")</f>
        <v>Credit Evaluation</v>
      </c>
      <c r="U278" s="110" t="str">
        <f>IF(tblRecruitmentPipeline[[#This Row],[REQ_DEPARTMENT]]="","No","Yes")</f>
        <v>Yes</v>
      </c>
    </row>
    <row r="279" spans="1:21">
      <c r="A279" s="100" t="s">
        <v>1680</v>
      </c>
      <c r="B279" s="101" t="s">
        <v>985</v>
      </c>
      <c r="C279" s="101" t="s">
        <v>1681</v>
      </c>
      <c r="D279" s="101" t="s">
        <v>1464</v>
      </c>
      <c r="E279" s="101" t="s">
        <v>412</v>
      </c>
      <c r="F279" s="102">
        <v>46111</v>
      </c>
      <c r="G279" s="83" t="s">
        <v>413</v>
      </c>
      <c r="H279" s="102">
        <v>46129</v>
      </c>
      <c r="I279" s="101" t="s">
        <v>192</v>
      </c>
      <c r="J279" s="101" t="s">
        <v>227</v>
      </c>
      <c r="K279" s="102"/>
      <c r="L279" s="83" t="s">
        <v>404</v>
      </c>
      <c r="M279" s="102"/>
      <c r="N279" s="101" t="s">
        <v>1078</v>
      </c>
      <c r="O279" s="101"/>
      <c r="P279" s="83">
        <f t="shared" ca="1" si="16"/>
        <v>18</v>
      </c>
      <c r="Q279" s="83" t="str">
        <f t="shared" si="17"/>
        <v>Closed</v>
      </c>
      <c r="R279" s="83" t="str">
        <f t="shared" si="18"/>
        <v>Closed</v>
      </c>
      <c r="S279" s="83" t="str">
        <f t="shared" si="19"/>
        <v/>
      </c>
      <c r="T279" s="101" t="str">
        <f>IFERROR(_xlfn.XLOOKUP(tblRecruitmentPipeline[[#This Row],[REQ_ID]],tblRequisitions[REQ_ID],tblRequisitions[DEPARTMENT],""),"")</f>
        <v>Credit Evaluation</v>
      </c>
      <c r="U279" s="110" t="str">
        <f>IF(tblRecruitmentPipeline[[#This Row],[REQ_DEPARTMENT]]="","No","Yes")</f>
        <v>Yes</v>
      </c>
    </row>
    <row r="280" spans="1:21">
      <c r="A280" s="100" t="s">
        <v>1682</v>
      </c>
      <c r="B280" s="101" t="s">
        <v>985</v>
      </c>
      <c r="C280" s="101" t="s">
        <v>1683</v>
      </c>
      <c r="D280" s="101" t="s">
        <v>1484</v>
      </c>
      <c r="E280" s="101" t="s">
        <v>261</v>
      </c>
      <c r="F280" s="102">
        <v>46106</v>
      </c>
      <c r="G280" s="83" t="s">
        <v>401</v>
      </c>
      <c r="H280" s="102">
        <v>46151</v>
      </c>
      <c r="I280" s="101" t="s">
        <v>192</v>
      </c>
      <c r="J280" s="101" t="s">
        <v>227</v>
      </c>
      <c r="K280" s="102"/>
      <c r="L280" s="83" t="s">
        <v>404</v>
      </c>
      <c r="M280" s="102"/>
      <c r="N280" s="101"/>
      <c r="O280" s="101"/>
      <c r="P280" s="83">
        <f t="shared" ca="1" si="16"/>
        <v>39</v>
      </c>
      <c r="Q280" s="83" t="str">
        <f t="shared" ca="1" si="17"/>
        <v>Stale</v>
      </c>
      <c r="R280" s="83" t="str">
        <f t="shared" ca="1" si="18"/>
        <v>Delayed</v>
      </c>
      <c r="S280" s="83" t="str">
        <f t="shared" si="19"/>
        <v/>
      </c>
      <c r="T280" s="101" t="str">
        <f>IFERROR(_xlfn.XLOOKUP(tblRecruitmentPipeline[[#This Row],[REQ_ID]],tblRequisitions[REQ_ID],tblRequisitions[DEPARTMENT],""),"")</f>
        <v>Credit Evaluation</v>
      </c>
      <c r="U280" s="110" t="str">
        <f>IF(tblRecruitmentPipeline[[#This Row],[REQ_DEPARTMENT]]="","No","Yes")</f>
        <v>Yes</v>
      </c>
    </row>
    <row r="281" spans="1:21">
      <c r="A281" s="100" t="s">
        <v>1684</v>
      </c>
      <c r="B281" s="101" t="s">
        <v>985</v>
      </c>
      <c r="C281" s="101" t="s">
        <v>1685</v>
      </c>
      <c r="D281" s="101" t="s">
        <v>1201</v>
      </c>
      <c r="E281" s="101" t="s">
        <v>412</v>
      </c>
      <c r="F281" s="102">
        <v>46094</v>
      </c>
      <c r="G281" s="83" t="s">
        <v>219</v>
      </c>
      <c r="H281" s="102">
        <v>46100</v>
      </c>
      <c r="I281" s="101" t="s">
        <v>192</v>
      </c>
      <c r="J281" s="101" t="s">
        <v>36</v>
      </c>
      <c r="K281" s="102">
        <v>46099</v>
      </c>
      <c r="L281" s="83" t="s">
        <v>231</v>
      </c>
      <c r="M281" s="102">
        <v>46112</v>
      </c>
      <c r="N281" s="101"/>
      <c r="O281" s="101"/>
      <c r="P281" s="83">
        <f t="shared" ca="1" si="16"/>
        <v>18</v>
      </c>
      <c r="Q281" s="83" t="str">
        <f t="shared" si="17"/>
        <v>Closed</v>
      </c>
      <c r="R281" s="83" t="str">
        <f t="shared" si="18"/>
        <v>Closed</v>
      </c>
      <c r="S281" s="83">
        <f t="shared" si="19"/>
        <v>18</v>
      </c>
      <c r="T281" s="101" t="str">
        <f>IFERROR(_xlfn.XLOOKUP(tblRecruitmentPipeline[[#This Row],[REQ_ID]],tblRequisitions[REQ_ID],tblRequisitions[DEPARTMENT],""),"")</f>
        <v>Credit Evaluation</v>
      </c>
      <c r="U281" s="110" t="str">
        <f>IF(tblRecruitmentPipeline[[#This Row],[REQ_DEPARTMENT]]="","No","Yes")</f>
        <v>Yes</v>
      </c>
    </row>
    <row r="282" spans="1:21">
      <c r="A282" s="100" t="s">
        <v>1686</v>
      </c>
      <c r="B282" s="101" t="s">
        <v>986</v>
      </c>
      <c r="C282" s="101" t="s">
        <v>1687</v>
      </c>
      <c r="D282" s="101" t="s">
        <v>692</v>
      </c>
      <c r="E282" s="101" t="s">
        <v>375</v>
      </c>
      <c r="F282" s="102">
        <v>45815</v>
      </c>
      <c r="G282" s="83" t="s">
        <v>382</v>
      </c>
      <c r="H282" s="102">
        <v>45819</v>
      </c>
      <c r="I282" s="101" t="s">
        <v>938</v>
      </c>
      <c r="J282" s="101" t="s">
        <v>227</v>
      </c>
      <c r="K282" s="102"/>
      <c r="L282" s="83" t="s">
        <v>404</v>
      </c>
      <c r="M282" s="102"/>
      <c r="N282" s="101"/>
      <c r="O282" s="101"/>
      <c r="P282" s="83">
        <f t="shared" ca="1" si="16"/>
        <v>330</v>
      </c>
      <c r="Q282" s="83" t="str">
        <f t="shared" ca="1" si="17"/>
        <v>Stale</v>
      </c>
      <c r="R282" s="83" t="str">
        <f t="shared" ca="1" si="18"/>
        <v>Delayed</v>
      </c>
      <c r="S282" s="83" t="str">
        <f t="shared" si="19"/>
        <v/>
      </c>
      <c r="T282" s="101" t="str">
        <f>IFERROR(_xlfn.XLOOKUP(tblRecruitmentPipeline[[#This Row],[REQ_ID]],tblRequisitions[REQ_ID],tblRequisitions[DEPARTMENT],""),"")</f>
        <v>Information Technology</v>
      </c>
      <c r="U282" s="110" t="str">
        <f>IF(tblRecruitmentPipeline[[#This Row],[REQ_DEPARTMENT]]="","No","Yes")</f>
        <v>Yes</v>
      </c>
    </row>
    <row r="283" spans="1:21">
      <c r="A283" s="100" t="s">
        <v>1688</v>
      </c>
      <c r="B283" s="101" t="s">
        <v>986</v>
      </c>
      <c r="C283" s="101" t="s">
        <v>1689</v>
      </c>
      <c r="D283" s="101" t="s">
        <v>500</v>
      </c>
      <c r="E283" s="101" t="s">
        <v>375</v>
      </c>
      <c r="F283" s="102">
        <v>45810</v>
      </c>
      <c r="G283" s="83" t="s">
        <v>418</v>
      </c>
      <c r="H283" s="102">
        <v>45852</v>
      </c>
      <c r="I283" s="101" t="s">
        <v>938</v>
      </c>
      <c r="J283" s="101" t="s">
        <v>227</v>
      </c>
      <c r="K283" s="102"/>
      <c r="L283" s="83" t="s">
        <v>404</v>
      </c>
      <c r="M283" s="102"/>
      <c r="N283" s="101"/>
      <c r="O283" s="101" t="s">
        <v>1690</v>
      </c>
      <c r="P283" s="83">
        <f t="shared" ca="1" si="16"/>
        <v>42</v>
      </c>
      <c r="Q283" s="83" t="str">
        <f t="shared" si="17"/>
        <v>Closed</v>
      </c>
      <c r="R283" s="83" t="str">
        <f t="shared" si="18"/>
        <v>Closed</v>
      </c>
      <c r="S283" s="83" t="str">
        <f t="shared" si="19"/>
        <v/>
      </c>
      <c r="T283" s="101" t="str">
        <f>IFERROR(_xlfn.XLOOKUP(tblRecruitmentPipeline[[#This Row],[REQ_ID]],tblRequisitions[REQ_ID],tblRequisitions[DEPARTMENT],""),"")</f>
        <v>Information Technology</v>
      </c>
      <c r="U283" s="110" t="str">
        <f>IF(tblRecruitmentPipeline[[#This Row],[REQ_DEPARTMENT]]="","No","Yes")</f>
        <v>Yes</v>
      </c>
    </row>
    <row r="284" spans="1:21">
      <c r="A284" s="100" t="s">
        <v>1691</v>
      </c>
      <c r="B284" s="101" t="s">
        <v>986</v>
      </c>
      <c r="C284" s="101" t="s">
        <v>1692</v>
      </c>
      <c r="D284" s="101" t="s">
        <v>1693</v>
      </c>
      <c r="E284" s="101" t="s">
        <v>375</v>
      </c>
      <c r="F284" s="102">
        <v>45805</v>
      </c>
      <c r="G284" s="83" t="s">
        <v>393</v>
      </c>
      <c r="H284" s="102">
        <v>45855</v>
      </c>
      <c r="I284" s="101" t="s">
        <v>938</v>
      </c>
      <c r="J284" s="101" t="s">
        <v>227</v>
      </c>
      <c r="K284" s="102"/>
      <c r="L284" s="83" t="s">
        <v>404</v>
      </c>
      <c r="M284" s="102"/>
      <c r="N284" s="101"/>
      <c r="O284" s="101"/>
      <c r="P284" s="83">
        <f t="shared" ca="1" si="16"/>
        <v>340</v>
      </c>
      <c r="Q284" s="83" t="str">
        <f t="shared" ca="1" si="17"/>
        <v>Stale</v>
      </c>
      <c r="R284" s="83" t="str">
        <f t="shared" ca="1" si="18"/>
        <v>Delayed</v>
      </c>
      <c r="S284" s="83" t="str">
        <f t="shared" si="19"/>
        <v/>
      </c>
      <c r="T284" s="101" t="str">
        <f>IFERROR(_xlfn.XLOOKUP(tblRecruitmentPipeline[[#This Row],[REQ_ID]],tblRequisitions[REQ_ID],tblRequisitions[DEPARTMENT],""),"")</f>
        <v>Information Technology</v>
      </c>
      <c r="U284" s="110" t="str">
        <f>IF(tblRecruitmentPipeline[[#This Row],[REQ_DEPARTMENT]]="","No","Yes")</f>
        <v>Yes</v>
      </c>
    </row>
    <row r="285" spans="1:21">
      <c r="A285" s="100" t="s">
        <v>1694</v>
      </c>
      <c r="B285" s="101" t="s">
        <v>986</v>
      </c>
      <c r="C285" s="101" t="s">
        <v>1695</v>
      </c>
      <c r="D285" s="101" t="s">
        <v>680</v>
      </c>
      <c r="E285" s="101" t="s">
        <v>412</v>
      </c>
      <c r="F285" s="102">
        <v>45808</v>
      </c>
      <c r="G285" s="83" t="s">
        <v>382</v>
      </c>
      <c r="H285" s="102">
        <v>45839</v>
      </c>
      <c r="I285" s="101" t="s">
        <v>938</v>
      </c>
      <c r="J285" s="101" t="s">
        <v>36</v>
      </c>
      <c r="K285" s="102"/>
      <c r="L285" s="83" t="s">
        <v>404</v>
      </c>
      <c r="M285" s="102"/>
      <c r="N285" s="101"/>
      <c r="O285" s="101"/>
      <c r="P285" s="83">
        <f t="shared" ca="1" si="16"/>
        <v>337</v>
      </c>
      <c r="Q285" s="83" t="str">
        <f t="shared" ca="1" si="17"/>
        <v>Stale</v>
      </c>
      <c r="R285" s="83" t="str">
        <f t="shared" ca="1" si="18"/>
        <v>Delayed</v>
      </c>
      <c r="S285" s="83" t="str">
        <f t="shared" si="19"/>
        <v/>
      </c>
      <c r="T285" s="101" t="str">
        <f>IFERROR(_xlfn.XLOOKUP(tblRecruitmentPipeline[[#This Row],[REQ_ID]],tblRequisitions[REQ_ID],tblRequisitions[DEPARTMENT],""),"")</f>
        <v>Information Technology</v>
      </c>
      <c r="U285" s="110" t="str">
        <f>IF(tblRecruitmentPipeline[[#This Row],[REQ_DEPARTMENT]]="","No","Yes")</f>
        <v>Yes</v>
      </c>
    </row>
    <row r="286" spans="1:21">
      <c r="A286" s="100" t="s">
        <v>1696</v>
      </c>
      <c r="B286" s="101" t="s">
        <v>986</v>
      </c>
      <c r="C286" s="101" t="s">
        <v>1697</v>
      </c>
      <c r="D286" s="101" t="s">
        <v>1605</v>
      </c>
      <c r="E286" s="101" t="s">
        <v>261</v>
      </c>
      <c r="F286" s="102">
        <v>45814</v>
      </c>
      <c r="G286" s="83" t="s">
        <v>219</v>
      </c>
      <c r="H286" s="102">
        <v>45860</v>
      </c>
      <c r="I286" s="101" t="s">
        <v>938</v>
      </c>
      <c r="J286" s="101" t="s">
        <v>1030</v>
      </c>
      <c r="K286" s="102">
        <v>45857</v>
      </c>
      <c r="L286" s="83" t="s">
        <v>231</v>
      </c>
      <c r="M286" s="102">
        <v>45868</v>
      </c>
      <c r="N286" s="101"/>
      <c r="O286" s="101"/>
      <c r="P286" s="83">
        <f t="shared" ca="1" si="16"/>
        <v>54</v>
      </c>
      <c r="Q286" s="83" t="str">
        <f t="shared" si="17"/>
        <v>Closed</v>
      </c>
      <c r="R286" s="83" t="str">
        <f t="shared" si="18"/>
        <v>Closed</v>
      </c>
      <c r="S286" s="83">
        <f t="shared" si="19"/>
        <v>54</v>
      </c>
      <c r="T286" s="101" t="str">
        <f>IFERROR(_xlfn.XLOOKUP(tblRecruitmentPipeline[[#This Row],[REQ_ID]],tblRequisitions[REQ_ID],tblRequisitions[DEPARTMENT],""),"")</f>
        <v>Information Technology</v>
      </c>
      <c r="U286" s="110" t="str">
        <f>IF(tblRecruitmentPipeline[[#This Row],[REQ_DEPARTMENT]]="","No","Yes")</f>
        <v>Yes</v>
      </c>
    </row>
    <row r="287" spans="1:21">
      <c r="A287" s="100" t="s">
        <v>1698</v>
      </c>
      <c r="B287" s="101" t="s">
        <v>987</v>
      </c>
      <c r="C287" s="101" t="s">
        <v>1699</v>
      </c>
      <c r="D287" s="101" t="s">
        <v>1700</v>
      </c>
      <c r="E287" s="101" t="s">
        <v>403</v>
      </c>
      <c r="F287" s="102">
        <v>46043</v>
      </c>
      <c r="G287" s="83" t="s">
        <v>219</v>
      </c>
      <c r="H287" s="102">
        <v>46048</v>
      </c>
      <c r="I287" s="101" t="s">
        <v>942</v>
      </c>
      <c r="J287" s="101" t="s">
        <v>1030</v>
      </c>
      <c r="K287" s="102">
        <v>46045</v>
      </c>
      <c r="L287" s="83" t="s">
        <v>231</v>
      </c>
      <c r="M287" s="102">
        <v>46065</v>
      </c>
      <c r="N287" s="101"/>
      <c r="O287" s="101"/>
      <c r="P287" s="83">
        <f t="shared" ca="1" si="16"/>
        <v>22</v>
      </c>
      <c r="Q287" s="83" t="str">
        <f t="shared" si="17"/>
        <v>Closed</v>
      </c>
      <c r="R287" s="83" t="str">
        <f t="shared" si="18"/>
        <v>Closed</v>
      </c>
      <c r="S287" s="83">
        <f t="shared" si="19"/>
        <v>22</v>
      </c>
      <c r="T287" s="101" t="str">
        <f>IFERROR(_xlfn.XLOOKUP(tblRecruitmentPipeline[[#This Row],[REQ_ID]],tblRequisitions[REQ_ID],tblRequisitions[DEPARTMENT],""),"")</f>
        <v>Sales &amp; Marketing</v>
      </c>
      <c r="U287" s="110" t="str">
        <f>IF(tblRecruitmentPipeline[[#This Row],[REQ_DEPARTMENT]]="","No","Yes")</f>
        <v>Yes</v>
      </c>
    </row>
    <row r="288" spans="1:21">
      <c r="A288" s="100" t="s">
        <v>1701</v>
      </c>
      <c r="B288" s="101" t="s">
        <v>987</v>
      </c>
      <c r="C288" s="101" t="s">
        <v>1702</v>
      </c>
      <c r="D288" s="101" t="s">
        <v>524</v>
      </c>
      <c r="E288" s="101" t="s">
        <v>375</v>
      </c>
      <c r="F288" s="102">
        <v>46050</v>
      </c>
      <c r="G288" s="83" t="s">
        <v>219</v>
      </c>
      <c r="H288" s="102">
        <v>46064</v>
      </c>
      <c r="I288" s="101" t="s">
        <v>942</v>
      </c>
      <c r="J288" s="101" t="s">
        <v>1030</v>
      </c>
      <c r="K288" s="102">
        <v>46059</v>
      </c>
      <c r="L288" s="83" t="s">
        <v>231</v>
      </c>
      <c r="M288" s="102">
        <v>46072</v>
      </c>
      <c r="N288" s="101"/>
      <c r="O288" s="101"/>
      <c r="P288" s="83">
        <f t="shared" ca="1" si="16"/>
        <v>22</v>
      </c>
      <c r="Q288" s="83" t="str">
        <f t="shared" si="17"/>
        <v>Closed</v>
      </c>
      <c r="R288" s="83" t="str">
        <f t="shared" si="18"/>
        <v>Closed</v>
      </c>
      <c r="S288" s="83">
        <f t="shared" si="19"/>
        <v>22</v>
      </c>
      <c r="T288" s="101" t="str">
        <f>IFERROR(_xlfn.XLOOKUP(tblRecruitmentPipeline[[#This Row],[REQ_ID]],tblRequisitions[REQ_ID],tblRequisitions[DEPARTMENT],""),"")</f>
        <v>Sales &amp; Marketing</v>
      </c>
      <c r="U288" s="110" t="str">
        <f>IF(tblRecruitmentPipeline[[#This Row],[REQ_DEPARTMENT]]="","No","Yes")</f>
        <v>Yes</v>
      </c>
    </row>
    <row r="289" spans="1:21">
      <c r="A289" s="100" t="s">
        <v>1703</v>
      </c>
      <c r="B289" s="101" t="s">
        <v>987</v>
      </c>
      <c r="C289" s="101" t="s">
        <v>1704</v>
      </c>
      <c r="D289" s="101" t="s">
        <v>1210</v>
      </c>
      <c r="E289" s="101" t="s">
        <v>412</v>
      </c>
      <c r="F289" s="102">
        <v>46053</v>
      </c>
      <c r="G289" s="83" t="s">
        <v>219</v>
      </c>
      <c r="H289" s="102">
        <v>46068</v>
      </c>
      <c r="I289" s="101" t="s">
        <v>942</v>
      </c>
      <c r="J289" s="101" t="s">
        <v>36</v>
      </c>
      <c r="K289" s="102">
        <v>46063</v>
      </c>
      <c r="L289" s="83" t="s">
        <v>231</v>
      </c>
      <c r="M289" s="102">
        <v>46080</v>
      </c>
      <c r="N289" s="101"/>
      <c r="O289" s="101"/>
      <c r="P289" s="83">
        <f t="shared" ca="1" si="16"/>
        <v>27</v>
      </c>
      <c r="Q289" s="83" t="str">
        <f t="shared" si="17"/>
        <v>Closed</v>
      </c>
      <c r="R289" s="83" t="str">
        <f t="shared" si="18"/>
        <v>Closed</v>
      </c>
      <c r="S289" s="83">
        <f t="shared" si="19"/>
        <v>27</v>
      </c>
      <c r="T289" s="101" t="str">
        <f>IFERROR(_xlfn.XLOOKUP(tblRecruitmentPipeline[[#This Row],[REQ_ID]],tblRequisitions[REQ_ID],tblRequisitions[DEPARTMENT],""),"")</f>
        <v>Sales &amp; Marketing</v>
      </c>
      <c r="U289" s="110" t="str">
        <f>IF(tblRecruitmentPipeline[[#This Row],[REQ_DEPARTMENT]]="","No","Yes")</f>
        <v>Yes</v>
      </c>
    </row>
    <row r="290" spans="1:21">
      <c r="A290" s="100" t="s">
        <v>1705</v>
      </c>
      <c r="B290" s="101" t="s">
        <v>987</v>
      </c>
      <c r="C290" s="101" t="s">
        <v>1706</v>
      </c>
      <c r="D290" s="101" t="s">
        <v>508</v>
      </c>
      <c r="E290" s="101" t="s">
        <v>414</v>
      </c>
      <c r="F290" s="102">
        <v>46025</v>
      </c>
      <c r="G290" s="83" t="s">
        <v>372</v>
      </c>
      <c r="H290" s="102">
        <v>46031</v>
      </c>
      <c r="I290" s="101" t="s">
        <v>942</v>
      </c>
      <c r="J290" s="101" t="s">
        <v>36</v>
      </c>
      <c r="K290" s="102"/>
      <c r="L290" s="83" t="s">
        <v>404</v>
      </c>
      <c r="M290" s="102"/>
      <c r="N290" s="101"/>
      <c r="O290" s="101"/>
      <c r="P290" s="83">
        <f t="shared" ca="1" si="16"/>
        <v>120</v>
      </c>
      <c r="Q290" s="83" t="str">
        <f t="shared" ca="1" si="17"/>
        <v>Stale</v>
      </c>
      <c r="R290" s="83" t="str">
        <f t="shared" ca="1" si="18"/>
        <v>Delayed</v>
      </c>
      <c r="S290" s="83" t="str">
        <f t="shared" si="19"/>
        <v/>
      </c>
      <c r="T290" s="101" t="str">
        <f>IFERROR(_xlfn.XLOOKUP(tblRecruitmentPipeline[[#This Row],[REQ_ID]],tblRequisitions[REQ_ID],tblRequisitions[DEPARTMENT],""),"")</f>
        <v>Sales &amp; Marketing</v>
      </c>
      <c r="U290" s="110" t="str">
        <f>IF(tblRecruitmentPipeline[[#This Row],[REQ_DEPARTMENT]]="","No","Yes")</f>
        <v>Yes</v>
      </c>
    </row>
    <row r="291" spans="1:21">
      <c r="A291" s="100" t="s">
        <v>1707</v>
      </c>
      <c r="B291" s="101" t="s">
        <v>987</v>
      </c>
      <c r="C291" s="101" t="s">
        <v>1708</v>
      </c>
      <c r="D291" s="101" t="s">
        <v>1231</v>
      </c>
      <c r="E291" s="101" t="s">
        <v>261</v>
      </c>
      <c r="F291" s="102">
        <v>46020</v>
      </c>
      <c r="G291" s="83" t="s">
        <v>413</v>
      </c>
      <c r="H291" s="102">
        <v>46031</v>
      </c>
      <c r="I291" s="101" t="s">
        <v>942</v>
      </c>
      <c r="J291" s="101" t="s">
        <v>1030</v>
      </c>
      <c r="K291" s="102"/>
      <c r="L291" s="83" t="s">
        <v>404</v>
      </c>
      <c r="M291" s="102"/>
      <c r="N291" s="101" t="s">
        <v>1027</v>
      </c>
      <c r="O291" s="101"/>
      <c r="P291" s="83">
        <f t="shared" ca="1" si="16"/>
        <v>11</v>
      </c>
      <c r="Q291" s="83" t="str">
        <f t="shared" si="17"/>
        <v>Closed</v>
      </c>
      <c r="R291" s="83" t="str">
        <f t="shared" si="18"/>
        <v>Closed</v>
      </c>
      <c r="S291" s="83" t="str">
        <f t="shared" si="19"/>
        <v/>
      </c>
      <c r="T291" s="101" t="str">
        <f>IFERROR(_xlfn.XLOOKUP(tblRecruitmentPipeline[[#This Row],[REQ_ID]],tblRequisitions[REQ_ID],tblRequisitions[DEPARTMENT],""),"")</f>
        <v>Sales &amp; Marketing</v>
      </c>
      <c r="U291" s="110" t="str">
        <f>IF(tblRecruitmentPipeline[[#This Row],[REQ_DEPARTMENT]]="","No","Yes")</f>
        <v>Yes</v>
      </c>
    </row>
    <row r="292" spans="1:21">
      <c r="A292" s="100" t="s">
        <v>1709</v>
      </c>
      <c r="B292" s="101" t="s">
        <v>987</v>
      </c>
      <c r="C292" s="101" t="s">
        <v>1710</v>
      </c>
      <c r="D292" s="101" t="s">
        <v>1711</v>
      </c>
      <c r="E292" s="101" t="s">
        <v>403</v>
      </c>
      <c r="F292" s="102">
        <v>46040</v>
      </c>
      <c r="G292" s="83" t="s">
        <v>413</v>
      </c>
      <c r="H292" s="102">
        <v>46078</v>
      </c>
      <c r="I292" s="101" t="s">
        <v>942</v>
      </c>
      <c r="J292" s="101" t="s">
        <v>36</v>
      </c>
      <c r="K292" s="102"/>
      <c r="L292" s="83" t="s">
        <v>404</v>
      </c>
      <c r="M292" s="102"/>
      <c r="N292" s="101" t="s">
        <v>1027</v>
      </c>
      <c r="O292" s="101"/>
      <c r="P292" s="83">
        <f t="shared" ca="1" si="16"/>
        <v>38</v>
      </c>
      <c r="Q292" s="83" t="str">
        <f t="shared" si="17"/>
        <v>Closed</v>
      </c>
      <c r="R292" s="83" t="str">
        <f t="shared" si="18"/>
        <v>Closed</v>
      </c>
      <c r="S292" s="83" t="str">
        <f t="shared" si="19"/>
        <v/>
      </c>
      <c r="T292" s="101" t="str">
        <f>IFERROR(_xlfn.XLOOKUP(tblRecruitmentPipeline[[#This Row],[REQ_ID]],tblRequisitions[REQ_ID],tblRequisitions[DEPARTMENT],""),"")</f>
        <v>Sales &amp; Marketing</v>
      </c>
      <c r="U292" s="110" t="str">
        <f>IF(tblRecruitmentPipeline[[#This Row],[REQ_DEPARTMENT]]="","No","Yes")</f>
        <v>Yes</v>
      </c>
    </row>
    <row r="293" spans="1:21">
      <c r="A293" s="100" t="s">
        <v>1712</v>
      </c>
      <c r="B293" s="101" t="s">
        <v>988</v>
      </c>
      <c r="C293" s="101" t="s">
        <v>1713</v>
      </c>
      <c r="D293" s="101" t="s">
        <v>625</v>
      </c>
      <c r="E293" s="101" t="s">
        <v>213</v>
      </c>
      <c r="F293" s="102">
        <v>45885</v>
      </c>
      <c r="G293" s="83" t="s">
        <v>219</v>
      </c>
      <c r="H293" s="102">
        <v>45887</v>
      </c>
      <c r="I293" s="101" t="s">
        <v>192</v>
      </c>
      <c r="J293" s="101" t="s">
        <v>227</v>
      </c>
      <c r="K293" s="102">
        <v>45883</v>
      </c>
      <c r="L293" s="83" t="s">
        <v>231</v>
      </c>
      <c r="M293" s="102">
        <v>45901</v>
      </c>
      <c r="N293" s="101"/>
      <c r="O293" s="101"/>
      <c r="P293" s="83">
        <f t="shared" ca="1" si="16"/>
        <v>16</v>
      </c>
      <c r="Q293" s="83" t="str">
        <f t="shared" si="17"/>
        <v>Closed</v>
      </c>
      <c r="R293" s="83" t="str">
        <f t="shared" si="18"/>
        <v>Closed</v>
      </c>
      <c r="S293" s="83">
        <f t="shared" si="19"/>
        <v>16</v>
      </c>
      <c r="T293" s="101" t="str">
        <f>IFERROR(_xlfn.XLOOKUP(tblRecruitmentPipeline[[#This Row],[REQ_ID]],tblRequisitions[REQ_ID],tblRequisitions[DEPARTMENT],""),"")</f>
        <v>Loan Processing</v>
      </c>
      <c r="U293" s="110" t="str">
        <f>IF(tblRecruitmentPipeline[[#This Row],[REQ_DEPARTMENT]]="","No","Yes")</f>
        <v>Yes</v>
      </c>
    </row>
    <row r="294" spans="1:21">
      <c r="A294" s="100" t="s">
        <v>1714</v>
      </c>
      <c r="B294" s="101" t="s">
        <v>988</v>
      </c>
      <c r="C294" s="101" t="s">
        <v>1715</v>
      </c>
      <c r="D294" s="101" t="s">
        <v>737</v>
      </c>
      <c r="E294" s="101" t="s">
        <v>412</v>
      </c>
      <c r="F294" s="102">
        <v>45903</v>
      </c>
      <c r="G294" s="83" t="s">
        <v>393</v>
      </c>
      <c r="H294" s="102">
        <v>45924</v>
      </c>
      <c r="I294" s="101" t="s">
        <v>192</v>
      </c>
      <c r="J294" s="101" t="s">
        <v>227</v>
      </c>
      <c r="K294" s="102"/>
      <c r="L294" s="83" t="s">
        <v>404</v>
      </c>
      <c r="M294" s="102"/>
      <c r="N294" s="101"/>
      <c r="O294" s="101"/>
      <c r="P294" s="83">
        <f t="shared" ca="1" si="16"/>
        <v>242</v>
      </c>
      <c r="Q294" s="83" t="str">
        <f t="shared" ca="1" si="17"/>
        <v>Stale</v>
      </c>
      <c r="R294" s="83" t="str">
        <f t="shared" ca="1" si="18"/>
        <v>Delayed</v>
      </c>
      <c r="S294" s="83" t="str">
        <f t="shared" si="19"/>
        <v/>
      </c>
      <c r="T294" s="101" t="str">
        <f>IFERROR(_xlfn.XLOOKUP(tblRecruitmentPipeline[[#This Row],[REQ_ID]],tblRequisitions[REQ_ID],tblRequisitions[DEPARTMENT],""),"")</f>
        <v>Loan Processing</v>
      </c>
      <c r="U294" s="110" t="str">
        <f>IF(tblRecruitmentPipeline[[#This Row],[REQ_DEPARTMENT]]="","No","Yes")</f>
        <v>Yes</v>
      </c>
    </row>
    <row r="295" spans="1:21">
      <c r="A295" s="100" t="s">
        <v>1716</v>
      </c>
      <c r="B295" s="101" t="s">
        <v>988</v>
      </c>
      <c r="C295" s="101" t="s">
        <v>1717</v>
      </c>
      <c r="D295" s="101" t="s">
        <v>610</v>
      </c>
      <c r="E295" s="101" t="s">
        <v>414</v>
      </c>
      <c r="F295" s="102">
        <v>45886</v>
      </c>
      <c r="G295" s="83" t="s">
        <v>393</v>
      </c>
      <c r="H295" s="102">
        <v>45909</v>
      </c>
      <c r="I295" s="101" t="s">
        <v>192</v>
      </c>
      <c r="J295" s="101" t="s">
        <v>36</v>
      </c>
      <c r="K295" s="102"/>
      <c r="L295" s="83" t="s">
        <v>404</v>
      </c>
      <c r="M295" s="102"/>
      <c r="N295" s="101"/>
      <c r="O295" s="101"/>
      <c r="P295" s="83">
        <f t="shared" ca="1" si="16"/>
        <v>259</v>
      </c>
      <c r="Q295" s="83" t="str">
        <f t="shared" ca="1" si="17"/>
        <v>Stale</v>
      </c>
      <c r="R295" s="83" t="str">
        <f t="shared" ca="1" si="18"/>
        <v>Delayed</v>
      </c>
      <c r="S295" s="83" t="str">
        <f t="shared" si="19"/>
        <v/>
      </c>
      <c r="T295" s="101" t="str">
        <f>IFERROR(_xlfn.XLOOKUP(tblRecruitmentPipeline[[#This Row],[REQ_ID]],tblRequisitions[REQ_ID],tblRequisitions[DEPARTMENT],""),"")</f>
        <v>Loan Processing</v>
      </c>
      <c r="U295" s="110" t="str">
        <f>IF(tblRecruitmentPipeline[[#This Row],[REQ_DEPARTMENT]]="","No","Yes")</f>
        <v>Yes</v>
      </c>
    </row>
    <row r="296" spans="1:21">
      <c r="A296" s="100" t="s">
        <v>1718</v>
      </c>
      <c r="B296" s="101" t="s">
        <v>988</v>
      </c>
      <c r="C296" s="101" t="s">
        <v>1719</v>
      </c>
      <c r="D296" s="101" t="s">
        <v>857</v>
      </c>
      <c r="E296" s="101" t="s">
        <v>261</v>
      </c>
      <c r="F296" s="102">
        <v>45893</v>
      </c>
      <c r="G296" s="83" t="s">
        <v>382</v>
      </c>
      <c r="H296" s="102">
        <v>45897</v>
      </c>
      <c r="I296" s="101" t="s">
        <v>192</v>
      </c>
      <c r="J296" s="101" t="s">
        <v>227</v>
      </c>
      <c r="K296" s="102"/>
      <c r="L296" s="83" t="s">
        <v>404</v>
      </c>
      <c r="M296" s="102"/>
      <c r="N296" s="101"/>
      <c r="O296" s="101"/>
      <c r="P296" s="83">
        <f t="shared" ca="1" si="16"/>
        <v>252</v>
      </c>
      <c r="Q296" s="83" t="str">
        <f t="shared" ca="1" si="17"/>
        <v>Stale</v>
      </c>
      <c r="R296" s="83" t="str">
        <f t="shared" ca="1" si="18"/>
        <v>Delayed</v>
      </c>
      <c r="S296" s="83" t="str">
        <f t="shared" si="19"/>
        <v/>
      </c>
      <c r="T296" s="101" t="str">
        <f>IFERROR(_xlfn.XLOOKUP(tblRecruitmentPipeline[[#This Row],[REQ_ID]],tblRequisitions[REQ_ID],tblRequisitions[DEPARTMENT],""),"")</f>
        <v>Loan Processing</v>
      </c>
      <c r="U296" s="110" t="str">
        <f>IF(tblRecruitmentPipeline[[#This Row],[REQ_DEPARTMENT]]="","No","Yes")</f>
        <v>Yes</v>
      </c>
    </row>
    <row r="297" spans="1:21">
      <c r="A297" s="100" t="s">
        <v>1720</v>
      </c>
      <c r="B297" s="101" t="s">
        <v>988</v>
      </c>
      <c r="C297" s="101" t="s">
        <v>1721</v>
      </c>
      <c r="D297" s="101" t="s">
        <v>519</v>
      </c>
      <c r="E297" s="101" t="s">
        <v>412</v>
      </c>
      <c r="F297" s="102">
        <v>45905</v>
      </c>
      <c r="G297" s="83" t="s">
        <v>413</v>
      </c>
      <c r="H297" s="102">
        <v>45947</v>
      </c>
      <c r="I297" s="101" t="s">
        <v>192</v>
      </c>
      <c r="J297" s="101" t="s">
        <v>36</v>
      </c>
      <c r="K297" s="102"/>
      <c r="L297" s="83" t="s">
        <v>404</v>
      </c>
      <c r="M297" s="102"/>
      <c r="N297" s="101" t="s">
        <v>1085</v>
      </c>
      <c r="O297" s="101"/>
      <c r="P297" s="83">
        <f t="shared" ca="1" si="16"/>
        <v>42</v>
      </c>
      <c r="Q297" s="83" t="str">
        <f t="shared" si="17"/>
        <v>Closed</v>
      </c>
      <c r="R297" s="83" t="str">
        <f t="shared" si="18"/>
        <v>Closed</v>
      </c>
      <c r="S297" s="83" t="str">
        <f t="shared" si="19"/>
        <v/>
      </c>
      <c r="T297" s="101" t="str">
        <f>IFERROR(_xlfn.XLOOKUP(tblRecruitmentPipeline[[#This Row],[REQ_ID]],tblRequisitions[REQ_ID],tblRequisitions[DEPARTMENT],""),"")</f>
        <v>Loan Processing</v>
      </c>
      <c r="U297" s="110" t="str">
        <f>IF(tblRecruitmentPipeline[[#This Row],[REQ_DEPARTMENT]]="","No","Yes")</f>
        <v>Yes</v>
      </c>
    </row>
    <row r="298" spans="1:21">
      <c r="A298" s="100" t="s">
        <v>1722</v>
      </c>
      <c r="B298" s="101" t="s">
        <v>988</v>
      </c>
      <c r="C298" s="101" t="s">
        <v>1723</v>
      </c>
      <c r="D298" s="101" t="s">
        <v>1502</v>
      </c>
      <c r="E298" s="101" t="s">
        <v>403</v>
      </c>
      <c r="F298" s="102">
        <v>45893</v>
      </c>
      <c r="G298" s="83" t="s">
        <v>382</v>
      </c>
      <c r="H298" s="102">
        <v>45907</v>
      </c>
      <c r="I298" s="101" t="s">
        <v>192</v>
      </c>
      <c r="J298" s="101" t="s">
        <v>36</v>
      </c>
      <c r="K298" s="102"/>
      <c r="L298" s="83" t="s">
        <v>404</v>
      </c>
      <c r="M298" s="102"/>
      <c r="N298" s="101"/>
      <c r="O298" s="101"/>
      <c r="P298" s="83">
        <f t="shared" ca="1" si="16"/>
        <v>252</v>
      </c>
      <c r="Q298" s="83" t="str">
        <f t="shared" ca="1" si="17"/>
        <v>Stale</v>
      </c>
      <c r="R298" s="83" t="str">
        <f t="shared" ca="1" si="18"/>
        <v>Delayed</v>
      </c>
      <c r="S298" s="83" t="str">
        <f t="shared" si="19"/>
        <v/>
      </c>
      <c r="T298" s="101" t="str">
        <f>IFERROR(_xlfn.XLOOKUP(tblRecruitmentPipeline[[#This Row],[REQ_ID]],tblRequisitions[REQ_ID],tblRequisitions[DEPARTMENT],""),"")</f>
        <v>Loan Processing</v>
      </c>
      <c r="U298" s="110" t="str">
        <f>IF(tblRecruitmentPipeline[[#This Row],[REQ_DEPARTMENT]]="","No","Yes")</f>
        <v>Yes</v>
      </c>
    </row>
    <row r="299" spans="1:21">
      <c r="A299" s="100" t="s">
        <v>1724</v>
      </c>
      <c r="B299" s="101" t="s">
        <v>989</v>
      </c>
      <c r="C299" s="101" t="s">
        <v>1725</v>
      </c>
      <c r="D299" s="101" t="s">
        <v>1165</v>
      </c>
      <c r="E299" s="101" t="s">
        <v>375</v>
      </c>
      <c r="F299" s="102">
        <v>46136</v>
      </c>
      <c r="G299" s="83" t="s">
        <v>219</v>
      </c>
      <c r="H299" s="102">
        <v>46169</v>
      </c>
      <c r="I299" s="101" t="s">
        <v>942</v>
      </c>
      <c r="J299" s="101" t="s">
        <v>36</v>
      </c>
      <c r="K299" s="102">
        <v>46164</v>
      </c>
      <c r="L299" s="83" t="s">
        <v>231</v>
      </c>
      <c r="M299" s="102">
        <v>46184</v>
      </c>
      <c r="N299" s="101"/>
      <c r="O299" s="101"/>
      <c r="P299" s="83">
        <f t="shared" ca="1" si="16"/>
        <v>48</v>
      </c>
      <c r="Q299" s="83" t="str">
        <f t="shared" si="17"/>
        <v>Closed</v>
      </c>
      <c r="R299" s="83" t="str">
        <f t="shared" si="18"/>
        <v>Closed</v>
      </c>
      <c r="S299" s="83">
        <f t="shared" si="19"/>
        <v>48</v>
      </c>
      <c r="T299" s="101" t="str">
        <f>IFERROR(_xlfn.XLOOKUP(tblRecruitmentPipeline[[#This Row],[REQ_ID]],tblRequisitions[REQ_ID],tblRequisitions[DEPARTMENT],""),"")</f>
        <v>Customer Service</v>
      </c>
      <c r="U299" s="110" t="str">
        <f>IF(tblRecruitmentPipeline[[#This Row],[REQ_DEPARTMENT]]="","No","Yes")</f>
        <v>Yes</v>
      </c>
    </row>
    <row r="300" spans="1:21">
      <c r="A300" s="100" t="s">
        <v>1726</v>
      </c>
      <c r="B300" s="101" t="s">
        <v>989</v>
      </c>
      <c r="C300" s="101" t="s">
        <v>1727</v>
      </c>
      <c r="D300" s="101" t="s">
        <v>1231</v>
      </c>
      <c r="E300" s="101" t="s">
        <v>375</v>
      </c>
      <c r="F300" s="102">
        <v>46105</v>
      </c>
      <c r="G300" s="83" t="s">
        <v>393</v>
      </c>
      <c r="H300" s="102">
        <v>46153</v>
      </c>
      <c r="I300" s="101" t="s">
        <v>942</v>
      </c>
      <c r="J300" s="101" t="s">
        <v>1030</v>
      </c>
      <c r="K300" s="102"/>
      <c r="L300" s="83" t="s">
        <v>404</v>
      </c>
      <c r="M300" s="102"/>
      <c r="N300" s="101"/>
      <c r="O300" s="101"/>
      <c r="P300" s="83">
        <f t="shared" ca="1" si="16"/>
        <v>40</v>
      </c>
      <c r="Q300" s="83" t="str">
        <f t="shared" ca="1" si="17"/>
        <v>Stale</v>
      </c>
      <c r="R300" s="83" t="str">
        <f t="shared" ca="1" si="18"/>
        <v>Delayed</v>
      </c>
      <c r="S300" s="83" t="str">
        <f t="shared" si="19"/>
        <v/>
      </c>
      <c r="T300" s="101" t="str">
        <f>IFERROR(_xlfn.XLOOKUP(tblRecruitmentPipeline[[#This Row],[REQ_ID]],tblRequisitions[REQ_ID],tblRequisitions[DEPARTMENT],""),"")</f>
        <v>Customer Service</v>
      </c>
      <c r="U300" s="110" t="str">
        <f>IF(tblRecruitmentPipeline[[#This Row],[REQ_DEPARTMENT]]="","No","Yes")</f>
        <v>Yes</v>
      </c>
    </row>
    <row r="301" spans="1:21">
      <c r="A301" s="100" t="s">
        <v>1728</v>
      </c>
      <c r="B301" s="101" t="s">
        <v>989</v>
      </c>
      <c r="C301" s="101" t="s">
        <v>1729</v>
      </c>
      <c r="D301" s="101" t="s">
        <v>590</v>
      </c>
      <c r="E301" s="101" t="s">
        <v>412</v>
      </c>
      <c r="F301" s="102">
        <v>46135</v>
      </c>
      <c r="G301" s="83" t="s">
        <v>401</v>
      </c>
      <c r="H301" s="102">
        <v>46180</v>
      </c>
      <c r="I301" s="101" t="s">
        <v>942</v>
      </c>
      <c r="J301" s="101" t="s">
        <v>227</v>
      </c>
      <c r="K301" s="102"/>
      <c r="L301" s="83" t="s">
        <v>404</v>
      </c>
      <c r="M301" s="102"/>
      <c r="N301" s="101"/>
      <c r="O301" s="101"/>
      <c r="P301" s="83">
        <f t="shared" ca="1" si="16"/>
        <v>10</v>
      </c>
      <c r="Q301" s="83" t="str">
        <f t="shared" ca="1" si="17"/>
        <v>Active</v>
      </c>
      <c r="R301" s="83" t="str">
        <f t="shared" ca="1" si="18"/>
        <v>On Track</v>
      </c>
      <c r="S301" s="83" t="str">
        <f t="shared" si="19"/>
        <v/>
      </c>
      <c r="T301" s="101" t="str">
        <f>IFERROR(_xlfn.XLOOKUP(tblRecruitmentPipeline[[#This Row],[REQ_ID]],tblRequisitions[REQ_ID],tblRequisitions[DEPARTMENT],""),"")</f>
        <v>Customer Service</v>
      </c>
      <c r="U301" s="110" t="str">
        <f>IF(tblRecruitmentPipeline[[#This Row],[REQ_DEPARTMENT]]="","No","Yes")</f>
        <v>Yes</v>
      </c>
    </row>
    <row r="302" spans="1:21">
      <c r="A302" s="100" t="s">
        <v>1730</v>
      </c>
      <c r="B302" s="101" t="s">
        <v>990</v>
      </c>
      <c r="C302" s="101" t="s">
        <v>1731</v>
      </c>
      <c r="D302" s="101" t="s">
        <v>1732</v>
      </c>
      <c r="E302" s="101" t="s">
        <v>213</v>
      </c>
      <c r="F302" s="102">
        <v>45823</v>
      </c>
      <c r="G302" s="83" t="s">
        <v>219</v>
      </c>
      <c r="H302" s="102">
        <v>45834</v>
      </c>
      <c r="I302" s="101" t="s">
        <v>192</v>
      </c>
      <c r="J302" s="101" t="s">
        <v>1030</v>
      </c>
      <c r="K302" s="102">
        <v>45830</v>
      </c>
      <c r="L302" s="83" t="s">
        <v>231</v>
      </c>
      <c r="M302" s="102">
        <v>45847</v>
      </c>
      <c r="N302" s="101"/>
      <c r="O302" s="101"/>
      <c r="P302" s="83">
        <f t="shared" ca="1" si="16"/>
        <v>24</v>
      </c>
      <c r="Q302" s="83" t="str">
        <f t="shared" si="17"/>
        <v>Closed</v>
      </c>
      <c r="R302" s="83" t="str">
        <f t="shared" si="18"/>
        <v>Closed</v>
      </c>
      <c r="S302" s="83">
        <f t="shared" si="19"/>
        <v>24</v>
      </c>
      <c r="T302" s="101" t="str">
        <f>IFERROR(_xlfn.XLOOKUP(tblRecruitmentPipeline[[#This Row],[REQ_ID]],tblRequisitions[REQ_ID],tblRequisitions[DEPARTMENT],""),"")</f>
        <v>Sales &amp; Marketing</v>
      </c>
      <c r="U302" s="110" t="str">
        <f>IF(tblRecruitmentPipeline[[#This Row],[REQ_DEPARTMENT]]="","No","Yes")</f>
        <v>Yes</v>
      </c>
    </row>
    <row r="303" spans="1:21">
      <c r="A303" s="100" t="s">
        <v>1733</v>
      </c>
      <c r="B303" s="101" t="s">
        <v>990</v>
      </c>
      <c r="C303" s="101" t="s">
        <v>1734</v>
      </c>
      <c r="D303" s="101" t="s">
        <v>1735</v>
      </c>
      <c r="E303" s="101" t="s">
        <v>261</v>
      </c>
      <c r="F303" s="102">
        <v>45834</v>
      </c>
      <c r="G303" s="83" t="s">
        <v>219</v>
      </c>
      <c r="H303" s="102">
        <v>45844</v>
      </c>
      <c r="I303" s="101" t="s">
        <v>192</v>
      </c>
      <c r="J303" s="101" t="s">
        <v>1030</v>
      </c>
      <c r="K303" s="102">
        <v>45843</v>
      </c>
      <c r="L303" s="83" t="s">
        <v>231</v>
      </c>
      <c r="M303" s="102">
        <v>45852</v>
      </c>
      <c r="N303" s="101"/>
      <c r="O303" s="101"/>
      <c r="P303" s="83">
        <f t="shared" ca="1" si="16"/>
        <v>18</v>
      </c>
      <c r="Q303" s="83" t="str">
        <f t="shared" si="17"/>
        <v>Closed</v>
      </c>
      <c r="R303" s="83" t="str">
        <f t="shared" si="18"/>
        <v>Closed</v>
      </c>
      <c r="S303" s="83">
        <f t="shared" si="19"/>
        <v>18</v>
      </c>
      <c r="T303" s="101" t="str">
        <f>IFERROR(_xlfn.XLOOKUP(tblRecruitmentPipeline[[#This Row],[REQ_ID]],tblRequisitions[REQ_ID],tblRequisitions[DEPARTMENT],""),"")</f>
        <v>Sales &amp; Marketing</v>
      </c>
      <c r="U303" s="110" t="str">
        <f>IF(tblRecruitmentPipeline[[#This Row],[REQ_DEPARTMENT]]="","No","Yes")</f>
        <v>Yes</v>
      </c>
    </row>
    <row r="304" spans="1:21">
      <c r="A304" s="100" t="s">
        <v>1736</v>
      </c>
      <c r="B304" s="101" t="s">
        <v>990</v>
      </c>
      <c r="C304" s="101" t="s">
        <v>1737</v>
      </c>
      <c r="D304" s="101" t="s">
        <v>627</v>
      </c>
      <c r="E304" s="101" t="s">
        <v>213</v>
      </c>
      <c r="F304" s="102">
        <v>45848</v>
      </c>
      <c r="G304" s="83" t="s">
        <v>409</v>
      </c>
      <c r="H304" s="102">
        <v>45887</v>
      </c>
      <c r="I304" s="101" t="s">
        <v>192</v>
      </c>
      <c r="J304" s="101" t="s">
        <v>227</v>
      </c>
      <c r="K304" s="102">
        <v>45886</v>
      </c>
      <c r="L304" s="83" t="s">
        <v>323</v>
      </c>
      <c r="M304" s="102"/>
      <c r="N304" s="101"/>
      <c r="O304" s="101"/>
      <c r="P304" s="83">
        <f t="shared" ca="1" si="16"/>
        <v>297</v>
      </c>
      <c r="Q304" s="83" t="str">
        <f t="shared" ca="1" si="17"/>
        <v>Stale</v>
      </c>
      <c r="R304" s="83" t="str">
        <f t="shared" ca="1" si="18"/>
        <v>Delayed</v>
      </c>
      <c r="S304" s="83" t="str">
        <f t="shared" si="19"/>
        <v/>
      </c>
      <c r="T304" s="101" t="str">
        <f>IFERROR(_xlfn.XLOOKUP(tblRecruitmentPipeline[[#This Row],[REQ_ID]],tblRequisitions[REQ_ID],tblRequisitions[DEPARTMENT],""),"")</f>
        <v>Sales &amp; Marketing</v>
      </c>
      <c r="U304" s="110" t="str">
        <f>IF(tblRecruitmentPipeline[[#This Row],[REQ_DEPARTMENT]]="","No","Yes")</f>
        <v>Yes</v>
      </c>
    </row>
    <row r="305" spans="1:21">
      <c r="A305" s="100" t="s">
        <v>1738</v>
      </c>
      <c r="B305" s="101" t="s">
        <v>990</v>
      </c>
      <c r="C305" s="101" t="s">
        <v>1739</v>
      </c>
      <c r="D305" s="101" t="s">
        <v>1740</v>
      </c>
      <c r="E305" s="101" t="s">
        <v>414</v>
      </c>
      <c r="F305" s="102">
        <v>45833</v>
      </c>
      <c r="G305" s="83" t="s">
        <v>372</v>
      </c>
      <c r="H305" s="102">
        <v>45847</v>
      </c>
      <c r="I305" s="101" t="s">
        <v>192</v>
      </c>
      <c r="J305" s="101" t="s">
        <v>227</v>
      </c>
      <c r="K305" s="102"/>
      <c r="L305" s="83" t="s">
        <v>404</v>
      </c>
      <c r="M305" s="102"/>
      <c r="N305" s="101"/>
      <c r="O305" s="101"/>
      <c r="P305" s="83">
        <f t="shared" ca="1" si="16"/>
        <v>312</v>
      </c>
      <c r="Q305" s="83" t="str">
        <f t="shared" ca="1" si="17"/>
        <v>Stale</v>
      </c>
      <c r="R305" s="83" t="str">
        <f t="shared" ca="1" si="18"/>
        <v>Delayed</v>
      </c>
      <c r="S305" s="83" t="str">
        <f t="shared" si="19"/>
        <v/>
      </c>
      <c r="T305" s="101" t="str">
        <f>IFERROR(_xlfn.XLOOKUP(tblRecruitmentPipeline[[#This Row],[REQ_ID]],tblRequisitions[REQ_ID],tblRequisitions[DEPARTMENT],""),"")</f>
        <v>Sales &amp; Marketing</v>
      </c>
      <c r="U305" s="110" t="str">
        <f>IF(tblRecruitmentPipeline[[#This Row],[REQ_DEPARTMENT]]="","No","Yes")</f>
        <v>Yes</v>
      </c>
    </row>
    <row r="306" spans="1:21">
      <c r="A306" s="100" t="s">
        <v>1741</v>
      </c>
      <c r="B306" s="101" t="s">
        <v>991</v>
      </c>
      <c r="C306" s="101" t="s">
        <v>1742</v>
      </c>
      <c r="D306" s="101" t="s">
        <v>598</v>
      </c>
      <c r="E306" s="101" t="s">
        <v>414</v>
      </c>
      <c r="F306" s="102">
        <v>46045</v>
      </c>
      <c r="G306" s="83" t="s">
        <v>219</v>
      </c>
      <c r="H306" s="102">
        <v>46090</v>
      </c>
      <c r="I306" s="101" t="s">
        <v>938</v>
      </c>
      <c r="J306" s="101" t="s">
        <v>1030</v>
      </c>
      <c r="K306" s="102">
        <v>46085</v>
      </c>
      <c r="L306" s="83" t="s">
        <v>231</v>
      </c>
      <c r="M306" s="102">
        <v>46100</v>
      </c>
      <c r="N306" s="101"/>
      <c r="O306" s="101"/>
      <c r="P306" s="83">
        <f t="shared" ca="1" si="16"/>
        <v>55</v>
      </c>
      <c r="Q306" s="83" t="str">
        <f t="shared" si="17"/>
        <v>Closed</v>
      </c>
      <c r="R306" s="83" t="str">
        <f t="shared" si="18"/>
        <v>Closed</v>
      </c>
      <c r="S306" s="83">
        <f t="shared" si="19"/>
        <v>55</v>
      </c>
      <c r="T306" s="101" t="str">
        <f>IFERROR(_xlfn.XLOOKUP(tblRecruitmentPipeline[[#This Row],[REQ_ID]],tblRequisitions[REQ_ID],tblRequisitions[DEPARTMENT],""),"")</f>
        <v>Compliance</v>
      </c>
      <c r="U306" s="110" t="str">
        <f>IF(tblRecruitmentPipeline[[#This Row],[REQ_DEPARTMENT]]="","No","Yes")</f>
        <v>Yes</v>
      </c>
    </row>
    <row r="307" spans="1:21">
      <c r="A307" s="100" t="s">
        <v>1743</v>
      </c>
      <c r="B307" s="101" t="s">
        <v>991</v>
      </c>
      <c r="C307" s="101" t="s">
        <v>1744</v>
      </c>
      <c r="D307" s="101" t="s">
        <v>634</v>
      </c>
      <c r="E307" s="101" t="s">
        <v>414</v>
      </c>
      <c r="F307" s="102">
        <v>46022</v>
      </c>
      <c r="G307" s="83" t="s">
        <v>409</v>
      </c>
      <c r="H307" s="102">
        <v>46045</v>
      </c>
      <c r="I307" s="101" t="s">
        <v>938</v>
      </c>
      <c r="J307" s="101" t="s">
        <v>36</v>
      </c>
      <c r="K307" s="102">
        <v>46044</v>
      </c>
      <c r="L307" s="83" t="s">
        <v>323</v>
      </c>
      <c r="M307" s="102"/>
      <c r="N307" s="101"/>
      <c r="O307" s="101"/>
      <c r="P307" s="83">
        <f t="shared" ca="1" si="16"/>
        <v>123</v>
      </c>
      <c r="Q307" s="83" t="str">
        <f t="shared" ca="1" si="17"/>
        <v>Stale</v>
      </c>
      <c r="R307" s="83" t="str">
        <f t="shared" ca="1" si="18"/>
        <v>Delayed</v>
      </c>
      <c r="S307" s="83" t="str">
        <f t="shared" si="19"/>
        <v/>
      </c>
      <c r="T307" s="101" t="str">
        <f>IFERROR(_xlfn.XLOOKUP(tblRecruitmentPipeline[[#This Row],[REQ_ID]],tblRequisitions[REQ_ID],tblRequisitions[DEPARTMENT],""),"")</f>
        <v>Compliance</v>
      </c>
      <c r="U307" s="110" t="str">
        <f>IF(tblRecruitmentPipeline[[#This Row],[REQ_DEPARTMENT]]="","No","Yes")</f>
        <v>Yes</v>
      </c>
    </row>
    <row r="308" spans="1:21">
      <c r="A308" s="100" t="s">
        <v>1745</v>
      </c>
      <c r="B308" s="101" t="s">
        <v>991</v>
      </c>
      <c r="C308" s="101" t="s">
        <v>1746</v>
      </c>
      <c r="D308" s="101" t="s">
        <v>745</v>
      </c>
      <c r="E308" s="101" t="s">
        <v>384</v>
      </c>
      <c r="F308" s="102">
        <v>46030</v>
      </c>
      <c r="G308" s="83" t="s">
        <v>219</v>
      </c>
      <c r="H308" s="102">
        <v>46067</v>
      </c>
      <c r="I308" s="101" t="s">
        <v>938</v>
      </c>
      <c r="J308" s="101" t="s">
        <v>1030</v>
      </c>
      <c r="K308" s="102">
        <v>46065</v>
      </c>
      <c r="L308" s="83" t="s">
        <v>231</v>
      </c>
      <c r="M308" s="102">
        <v>46079</v>
      </c>
      <c r="N308" s="101"/>
      <c r="O308" s="101"/>
      <c r="P308" s="83">
        <f t="shared" ca="1" si="16"/>
        <v>49</v>
      </c>
      <c r="Q308" s="83" t="str">
        <f t="shared" si="17"/>
        <v>Closed</v>
      </c>
      <c r="R308" s="83" t="str">
        <f t="shared" si="18"/>
        <v>Closed</v>
      </c>
      <c r="S308" s="83">
        <f t="shared" si="19"/>
        <v>49</v>
      </c>
      <c r="T308" s="101" t="str">
        <f>IFERROR(_xlfn.XLOOKUP(tblRecruitmentPipeline[[#This Row],[REQ_ID]],tblRequisitions[REQ_ID],tblRequisitions[DEPARTMENT],""),"")</f>
        <v>Compliance</v>
      </c>
      <c r="U308" s="110" t="str">
        <f>IF(tblRecruitmentPipeline[[#This Row],[REQ_DEPARTMENT]]="","No","Yes")</f>
        <v>Yes</v>
      </c>
    </row>
    <row r="309" spans="1:21">
      <c r="A309" s="100" t="s">
        <v>1747</v>
      </c>
      <c r="B309" s="101" t="s">
        <v>991</v>
      </c>
      <c r="C309" s="101" t="s">
        <v>1748</v>
      </c>
      <c r="D309" s="101" t="s">
        <v>481</v>
      </c>
      <c r="E309" s="101" t="s">
        <v>375</v>
      </c>
      <c r="F309" s="102">
        <v>46044</v>
      </c>
      <c r="G309" s="83" t="s">
        <v>413</v>
      </c>
      <c r="H309" s="102">
        <v>46047</v>
      </c>
      <c r="I309" s="101" t="s">
        <v>938</v>
      </c>
      <c r="J309" s="101" t="s">
        <v>1030</v>
      </c>
      <c r="K309" s="102"/>
      <c r="L309" s="83" t="s">
        <v>404</v>
      </c>
      <c r="M309" s="102"/>
      <c r="N309" s="101" t="s">
        <v>1078</v>
      </c>
      <c r="O309" s="101"/>
      <c r="P309" s="83">
        <f t="shared" ca="1" si="16"/>
        <v>3</v>
      </c>
      <c r="Q309" s="83" t="str">
        <f t="shared" si="17"/>
        <v>Closed</v>
      </c>
      <c r="R309" s="83" t="str">
        <f t="shared" si="18"/>
        <v>Closed</v>
      </c>
      <c r="S309" s="83" t="str">
        <f t="shared" si="19"/>
        <v/>
      </c>
      <c r="T309" s="101" t="str">
        <f>IFERROR(_xlfn.XLOOKUP(tblRecruitmentPipeline[[#This Row],[REQ_ID]],tblRequisitions[REQ_ID],tblRequisitions[DEPARTMENT],""),"")</f>
        <v>Compliance</v>
      </c>
      <c r="U309" s="110" t="str">
        <f>IF(tblRecruitmentPipeline[[#This Row],[REQ_DEPARTMENT]]="","No","Yes")</f>
        <v>Yes</v>
      </c>
    </row>
    <row r="310" spans="1:21">
      <c r="A310" s="100" t="s">
        <v>1749</v>
      </c>
      <c r="B310" s="101" t="s">
        <v>991</v>
      </c>
      <c r="C310" s="101" t="s">
        <v>1750</v>
      </c>
      <c r="D310" s="101" t="s">
        <v>468</v>
      </c>
      <c r="E310" s="101" t="s">
        <v>412</v>
      </c>
      <c r="F310" s="102">
        <v>46025</v>
      </c>
      <c r="G310" s="83" t="s">
        <v>219</v>
      </c>
      <c r="H310" s="102">
        <v>46064</v>
      </c>
      <c r="I310" s="101" t="s">
        <v>938</v>
      </c>
      <c r="J310" s="101" t="s">
        <v>1030</v>
      </c>
      <c r="K310" s="102">
        <v>46061</v>
      </c>
      <c r="L310" s="83" t="s">
        <v>231</v>
      </c>
      <c r="M310" s="102">
        <v>46074</v>
      </c>
      <c r="N310" s="101"/>
      <c r="O310" s="101"/>
      <c r="P310" s="83">
        <f t="shared" ca="1" si="16"/>
        <v>49</v>
      </c>
      <c r="Q310" s="83" t="str">
        <f t="shared" si="17"/>
        <v>Closed</v>
      </c>
      <c r="R310" s="83" t="str">
        <f t="shared" si="18"/>
        <v>Closed</v>
      </c>
      <c r="S310" s="83">
        <f t="shared" si="19"/>
        <v>49</v>
      </c>
      <c r="T310" s="101" t="str">
        <f>IFERROR(_xlfn.XLOOKUP(tblRecruitmentPipeline[[#This Row],[REQ_ID]],tblRequisitions[REQ_ID],tblRequisitions[DEPARTMENT],""),"")</f>
        <v>Compliance</v>
      </c>
      <c r="U310" s="110" t="str">
        <f>IF(tblRecruitmentPipeline[[#This Row],[REQ_DEPARTMENT]]="","No","Yes")</f>
        <v>Yes</v>
      </c>
    </row>
    <row r="311" spans="1:21">
      <c r="A311" s="100" t="s">
        <v>1751</v>
      </c>
      <c r="B311" s="101" t="s">
        <v>991</v>
      </c>
      <c r="C311" s="101" t="s">
        <v>1752</v>
      </c>
      <c r="D311" s="101" t="s">
        <v>582</v>
      </c>
      <c r="E311" s="101" t="s">
        <v>403</v>
      </c>
      <c r="F311" s="102">
        <v>46033</v>
      </c>
      <c r="G311" s="83" t="s">
        <v>382</v>
      </c>
      <c r="H311" s="102">
        <v>46052</v>
      </c>
      <c r="I311" s="101" t="s">
        <v>938</v>
      </c>
      <c r="J311" s="101" t="s">
        <v>1030</v>
      </c>
      <c r="K311" s="102"/>
      <c r="L311" s="83" t="s">
        <v>404</v>
      </c>
      <c r="M311" s="102"/>
      <c r="N311" s="101"/>
      <c r="O311" s="101"/>
      <c r="P311" s="83">
        <f t="shared" ca="1" si="16"/>
        <v>112</v>
      </c>
      <c r="Q311" s="83" t="str">
        <f t="shared" ca="1" si="17"/>
        <v>Stale</v>
      </c>
      <c r="R311" s="83" t="str">
        <f t="shared" ca="1" si="18"/>
        <v>Delayed</v>
      </c>
      <c r="S311" s="83" t="str">
        <f t="shared" si="19"/>
        <v/>
      </c>
      <c r="T311" s="101" t="str">
        <f>IFERROR(_xlfn.XLOOKUP(tblRecruitmentPipeline[[#This Row],[REQ_ID]],tblRequisitions[REQ_ID],tblRequisitions[DEPARTMENT],""),"")</f>
        <v>Compliance</v>
      </c>
      <c r="U311" s="110" t="str">
        <f>IF(tblRecruitmentPipeline[[#This Row],[REQ_DEPARTMENT]]="","No","Yes")</f>
        <v>Yes</v>
      </c>
    </row>
    <row r="312" spans="1:21">
      <c r="A312" s="100" t="s">
        <v>1753</v>
      </c>
      <c r="B312" s="101" t="s">
        <v>991</v>
      </c>
      <c r="C312" s="101" t="s">
        <v>1754</v>
      </c>
      <c r="D312" s="101" t="s">
        <v>468</v>
      </c>
      <c r="E312" s="101" t="s">
        <v>213</v>
      </c>
      <c r="F312" s="102">
        <v>46031</v>
      </c>
      <c r="G312" s="83" t="s">
        <v>409</v>
      </c>
      <c r="H312" s="102">
        <v>46035</v>
      </c>
      <c r="I312" s="101" t="s">
        <v>938</v>
      </c>
      <c r="J312" s="101" t="s">
        <v>1030</v>
      </c>
      <c r="K312" s="102">
        <v>46030</v>
      </c>
      <c r="L312" s="83" t="s">
        <v>323</v>
      </c>
      <c r="M312" s="102"/>
      <c r="N312" s="101"/>
      <c r="O312" s="101"/>
      <c r="P312" s="83">
        <f t="shared" ca="1" si="16"/>
        <v>114</v>
      </c>
      <c r="Q312" s="83" t="str">
        <f t="shared" ca="1" si="17"/>
        <v>Stale</v>
      </c>
      <c r="R312" s="83" t="str">
        <f t="shared" ca="1" si="18"/>
        <v>Delayed</v>
      </c>
      <c r="S312" s="83" t="str">
        <f t="shared" si="19"/>
        <v/>
      </c>
      <c r="T312" s="101" t="str">
        <f>IFERROR(_xlfn.XLOOKUP(tblRecruitmentPipeline[[#This Row],[REQ_ID]],tblRequisitions[REQ_ID],tblRequisitions[DEPARTMENT],""),"")</f>
        <v>Compliance</v>
      </c>
      <c r="U312" s="110" t="str">
        <f>IF(tblRecruitmentPipeline[[#This Row],[REQ_DEPARTMENT]]="","No","Yes")</f>
        <v>Yes</v>
      </c>
    </row>
    <row r="313" spans="1:21">
      <c r="A313" s="100" t="s">
        <v>1755</v>
      </c>
      <c r="B313" s="101" t="s">
        <v>991</v>
      </c>
      <c r="C313" s="101" t="s">
        <v>1756</v>
      </c>
      <c r="D313" s="101" t="s">
        <v>1757</v>
      </c>
      <c r="E313" s="101" t="s">
        <v>384</v>
      </c>
      <c r="F313" s="102">
        <v>46039</v>
      </c>
      <c r="G313" s="83" t="s">
        <v>393</v>
      </c>
      <c r="H313" s="102">
        <v>46041</v>
      </c>
      <c r="I313" s="101" t="s">
        <v>938</v>
      </c>
      <c r="J313" s="101" t="s">
        <v>1030</v>
      </c>
      <c r="K313" s="102"/>
      <c r="L313" s="83" t="s">
        <v>404</v>
      </c>
      <c r="M313" s="102"/>
      <c r="N313" s="101"/>
      <c r="O313" s="101"/>
      <c r="P313" s="83">
        <f t="shared" ca="1" si="16"/>
        <v>106</v>
      </c>
      <c r="Q313" s="83" t="str">
        <f t="shared" ca="1" si="17"/>
        <v>Stale</v>
      </c>
      <c r="R313" s="83" t="str">
        <f t="shared" ca="1" si="18"/>
        <v>Delayed</v>
      </c>
      <c r="S313" s="83" t="str">
        <f t="shared" si="19"/>
        <v/>
      </c>
      <c r="T313" s="101" t="str">
        <f>IFERROR(_xlfn.XLOOKUP(tblRecruitmentPipeline[[#This Row],[REQ_ID]],tblRequisitions[REQ_ID],tblRequisitions[DEPARTMENT],""),"")</f>
        <v>Compliance</v>
      </c>
      <c r="U313" s="110" t="str">
        <f>IF(tblRecruitmentPipeline[[#This Row],[REQ_DEPARTMENT]]="","No","Yes")</f>
        <v>Yes</v>
      </c>
    </row>
    <row r="314" spans="1:21">
      <c r="A314" s="100" t="s">
        <v>1758</v>
      </c>
      <c r="B314" s="101" t="s">
        <v>992</v>
      </c>
      <c r="C314" s="101" t="s">
        <v>1759</v>
      </c>
      <c r="D314" s="101" t="s">
        <v>636</v>
      </c>
      <c r="E314" s="101" t="s">
        <v>384</v>
      </c>
      <c r="F314" s="102">
        <v>45995</v>
      </c>
      <c r="G314" s="83" t="s">
        <v>413</v>
      </c>
      <c r="H314" s="102">
        <v>46026</v>
      </c>
      <c r="I314" s="101" t="s">
        <v>940</v>
      </c>
      <c r="J314" s="101" t="s">
        <v>1030</v>
      </c>
      <c r="K314" s="102"/>
      <c r="L314" s="83" t="s">
        <v>404</v>
      </c>
      <c r="M314" s="102"/>
      <c r="N314" s="101" t="s">
        <v>1075</v>
      </c>
      <c r="O314" s="101"/>
      <c r="P314" s="83">
        <f t="shared" ca="1" si="16"/>
        <v>31</v>
      </c>
      <c r="Q314" s="83" t="str">
        <f t="shared" si="17"/>
        <v>Closed</v>
      </c>
      <c r="R314" s="83" t="str">
        <f t="shared" si="18"/>
        <v>Closed</v>
      </c>
      <c r="S314" s="83" t="str">
        <f t="shared" si="19"/>
        <v/>
      </c>
      <c r="T314" s="101" t="str">
        <f>IFERROR(_xlfn.XLOOKUP(tblRecruitmentPipeline[[#This Row],[REQ_ID]],tblRequisitions[REQ_ID],tblRequisitions[DEPARTMENT],""),"")</f>
        <v>Loan Processing</v>
      </c>
      <c r="U314" s="110" t="str">
        <f>IF(tblRecruitmentPipeline[[#This Row],[REQ_DEPARTMENT]]="","No","Yes")</f>
        <v>Yes</v>
      </c>
    </row>
    <row r="315" spans="1:21">
      <c r="A315" s="100" t="s">
        <v>1760</v>
      </c>
      <c r="B315" s="101" t="s">
        <v>992</v>
      </c>
      <c r="C315" s="101" t="s">
        <v>1761</v>
      </c>
      <c r="D315" s="101" t="s">
        <v>472</v>
      </c>
      <c r="E315" s="101" t="s">
        <v>375</v>
      </c>
      <c r="F315" s="102">
        <v>45981</v>
      </c>
      <c r="G315" s="83" t="s">
        <v>418</v>
      </c>
      <c r="H315" s="102">
        <v>46014</v>
      </c>
      <c r="I315" s="101" t="s">
        <v>940</v>
      </c>
      <c r="J315" s="101" t="s">
        <v>227</v>
      </c>
      <c r="K315" s="102"/>
      <c r="L315" s="83" t="s">
        <v>404</v>
      </c>
      <c r="M315" s="102"/>
      <c r="N315" s="101"/>
      <c r="O315" s="101" t="s">
        <v>1690</v>
      </c>
      <c r="P315" s="83">
        <f t="shared" ca="1" si="16"/>
        <v>33</v>
      </c>
      <c r="Q315" s="83" t="str">
        <f t="shared" si="17"/>
        <v>Closed</v>
      </c>
      <c r="R315" s="83" t="str">
        <f t="shared" si="18"/>
        <v>Closed</v>
      </c>
      <c r="S315" s="83" t="str">
        <f t="shared" si="19"/>
        <v/>
      </c>
      <c r="T315" s="101" t="str">
        <f>IFERROR(_xlfn.XLOOKUP(tblRecruitmentPipeline[[#This Row],[REQ_ID]],tblRequisitions[REQ_ID],tblRequisitions[DEPARTMENT],""),"")</f>
        <v>Loan Processing</v>
      </c>
      <c r="U315" s="110" t="str">
        <f>IF(tblRecruitmentPipeline[[#This Row],[REQ_DEPARTMENT]]="","No","Yes")</f>
        <v>Yes</v>
      </c>
    </row>
    <row r="316" spans="1:21">
      <c r="A316" s="100" t="s">
        <v>1762</v>
      </c>
      <c r="B316" s="101" t="s">
        <v>992</v>
      </c>
      <c r="C316" s="101" t="s">
        <v>1763</v>
      </c>
      <c r="D316" s="101" t="s">
        <v>711</v>
      </c>
      <c r="E316" s="101" t="s">
        <v>375</v>
      </c>
      <c r="F316" s="102">
        <v>45995</v>
      </c>
      <c r="G316" s="83" t="s">
        <v>418</v>
      </c>
      <c r="H316" s="102">
        <v>46013</v>
      </c>
      <c r="I316" s="101" t="s">
        <v>940</v>
      </c>
      <c r="J316" s="101" t="s">
        <v>1030</v>
      </c>
      <c r="K316" s="102"/>
      <c r="L316" s="83" t="s">
        <v>404</v>
      </c>
      <c r="M316" s="102"/>
      <c r="N316" s="101"/>
      <c r="O316" s="101" t="s">
        <v>1406</v>
      </c>
      <c r="P316" s="83">
        <f t="shared" ca="1" si="16"/>
        <v>18</v>
      </c>
      <c r="Q316" s="83" t="str">
        <f t="shared" si="17"/>
        <v>Closed</v>
      </c>
      <c r="R316" s="83" t="str">
        <f t="shared" si="18"/>
        <v>Closed</v>
      </c>
      <c r="S316" s="83" t="str">
        <f t="shared" si="19"/>
        <v/>
      </c>
      <c r="T316" s="101" t="str">
        <f>IFERROR(_xlfn.XLOOKUP(tblRecruitmentPipeline[[#This Row],[REQ_ID]],tblRequisitions[REQ_ID],tblRequisitions[DEPARTMENT],""),"")</f>
        <v>Loan Processing</v>
      </c>
      <c r="U316" s="110" t="str">
        <f>IF(tblRecruitmentPipeline[[#This Row],[REQ_DEPARTMENT]]="","No","Yes")</f>
        <v>Yes</v>
      </c>
    </row>
    <row r="317" spans="1:21">
      <c r="A317" s="100" t="s">
        <v>1764</v>
      </c>
      <c r="B317" s="101" t="s">
        <v>992</v>
      </c>
      <c r="C317" s="101" t="s">
        <v>1765</v>
      </c>
      <c r="D317" s="101" t="s">
        <v>625</v>
      </c>
      <c r="E317" s="101" t="s">
        <v>375</v>
      </c>
      <c r="F317" s="102">
        <v>45975</v>
      </c>
      <c r="G317" s="83" t="s">
        <v>413</v>
      </c>
      <c r="H317" s="102">
        <v>45987</v>
      </c>
      <c r="I317" s="101" t="s">
        <v>940</v>
      </c>
      <c r="J317" s="101" t="s">
        <v>1030</v>
      </c>
      <c r="K317" s="102"/>
      <c r="L317" s="83" t="s">
        <v>404</v>
      </c>
      <c r="M317" s="102"/>
      <c r="N317" s="101" t="s">
        <v>1027</v>
      </c>
      <c r="O317" s="101"/>
      <c r="P317" s="83">
        <f t="shared" ca="1" si="16"/>
        <v>12</v>
      </c>
      <c r="Q317" s="83" t="str">
        <f t="shared" si="17"/>
        <v>Closed</v>
      </c>
      <c r="R317" s="83" t="str">
        <f t="shared" si="18"/>
        <v>Closed</v>
      </c>
      <c r="S317" s="83" t="str">
        <f t="shared" si="19"/>
        <v/>
      </c>
      <c r="T317" s="101" t="str">
        <f>IFERROR(_xlfn.XLOOKUP(tblRecruitmentPipeline[[#This Row],[REQ_ID]],tblRequisitions[REQ_ID],tblRequisitions[DEPARTMENT],""),"")</f>
        <v>Loan Processing</v>
      </c>
      <c r="U317" s="110" t="str">
        <f>IF(tblRecruitmentPipeline[[#This Row],[REQ_DEPARTMENT]]="","No","Yes")</f>
        <v>Yes</v>
      </c>
    </row>
    <row r="318" spans="1:21">
      <c r="A318" s="100" t="s">
        <v>1766</v>
      </c>
      <c r="B318" s="101" t="s">
        <v>992</v>
      </c>
      <c r="C318" s="101" t="s">
        <v>1767</v>
      </c>
      <c r="D318" s="101" t="s">
        <v>619</v>
      </c>
      <c r="E318" s="101" t="s">
        <v>384</v>
      </c>
      <c r="F318" s="102">
        <v>46000</v>
      </c>
      <c r="G318" s="83" t="s">
        <v>418</v>
      </c>
      <c r="H318" s="102">
        <v>46028</v>
      </c>
      <c r="I318" s="101" t="s">
        <v>940</v>
      </c>
      <c r="J318" s="101" t="s">
        <v>1030</v>
      </c>
      <c r="K318" s="102"/>
      <c r="L318" s="83" t="s">
        <v>404</v>
      </c>
      <c r="M318" s="102"/>
      <c r="N318" s="101"/>
      <c r="O318" s="101" t="s">
        <v>1690</v>
      </c>
      <c r="P318" s="83">
        <f t="shared" ca="1" si="16"/>
        <v>28</v>
      </c>
      <c r="Q318" s="83" t="str">
        <f t="shared" si="17"/>
        <v>Closed</v>
      </c>
      <c r="R318" s="83" t="str">
        <f t="shared" si="18"/>
        <v>Closed</v>
      </c>
      <c r="S318" s="83" t="str">
        <f t="shared" si="19"/>
        <v/>
      </c>
      <c r="T318" s="101" t="str">
        <f>IFERROR(_xlfn.XLOOKUP(tblRecruitmentPipeline[[#This Row],[REQ_ID]],tblRequisitions[REQ_ID],tblRequisitions[DEPARTMENT],""),"")</f>
        <v>Loan Processing</v>
      </c>
      <c r="U318" s="110" t="str">
        <f>IF(tblRecruitmentPipeline[[#This Row],[REQ_DEPARTMENT]]="","No","Yes")</f>
        <v>Yes</v>
      </c>
    </row>
    <row r="319" spans="1:21">
      <c r="A319" s="100" t="s">
        <v>1768</v>
      </c>
      <c r="B319" s="101" t="s">
        <v>992</v>
      </c>
      <c r="C319" s="101" t="s">
        <v>1769</v>
      </c>
      <c r="D319" s="101" t="s">
        <v>792</v>
      </c>
      <c r="E319" s="101" t="s">
        <v>384</v>
      </c>
      <c r="F319" s="102">
        <v>45992</v>
      </c>
      <c r="G319" s="83" t="s">
        <v>413</v>
      </c>
      <c r="H319" s="102">
        <v>46041</v>
      </c>
      <c r="I319" s="101" t="s">
        <v>940</v>
      </c>
      <c r="J319" s="101" t="s">
        <v>1030</v>
      </c>
      <c r="K319" s="102"/>
      <c r="L319" s="83" t="s">
        <v>404</v>
      </c>
      <c r="M319" s="102"/>
      <c r="N319" s="101" t="s">
        <v>1078</v>
      </c>
      <c r="O319" s="101"/>
      <c r="P319" s="83">
        <f t="shared" ca="1" si="16"/>
        <v>49</v>
      </c>
      <c r="Q319" s="83" t="str">
        <f t="shared" si="17"/>
        <v>Closed</v>
      </c>
      <c r="R319" s="83" t="str">
        <f t="shared" si="18"/>
        <v>Closed</v>
      </c>
      <c r="S319" s="83" t="str">
        <f t="shared" si="19"/>
        <v/>
      </c>
      <c r="T319" s="101" t="str">
        <f>IFERROR(_xlfn.XLOOKUP(tblRecruitmentPipeline[[#This Row],[REQ_ID]],tblRequisitions[REQ_ID],tblRequisitions[DEPARTMENT],""),"")</f>
        <v>Loan Processing</v>
      </c>
      <c r="U319" s="110" t="str">
        <f>IF(tblRecruitmentPipeline[[#This Row],[REQ_DEPARTMENT]]="","No","Yes")</f>
        <v>Yes</v>
      </c>
    </row>
    <row r="320" spans="1:21">
      <c r="A320" s="100" t="s">
        <v>1770</v>
      </c>
      <c r="B320" s="101" t="s">
        <v>992</v>
      </c>
      <c r="C320" s="101" t="s">
        <v>1771</v>
      </c>
      <c r="D320" s="101" t="s">
        <v>533</v>
      </c>
      <c r="E320" s="101" t="s">
        <v>384</v>
      </c>
      <c r="F320" s="102">
        <v>46002</v>
      </c>
      <c r="G320" s="83" t="s">
        <v>413</v>
      </c>
      <c r="H320" s="102">
        <v>46031</v>
      </c>
      <c r="I320" s="101" t="s">
        <v>940</v>
      </c>
      <c r="J320" s="101" t="s">
        <v>36</v>
      </c>
      <c r="K320" s="102"/>
      <c r="L320" s="83" t="s">
        <v>404</v>
      </c>
      <c r="M320" s="102"/>
      <c r="N320" s="101" t="s">
        <v>1075</v>
      </c>
      <c r="O320" s="101"/>
      <c r="P320" s="83">
        <f t="shared" ca="1" si="16"/>
        <v>29</v>
      </c>
      <c r="Q320" s="83" t="str">
        <f t="shared" si="17"/>
        <v>Closed</v>
      </c>
      <c r="R320" s="83" t="str">
        <f t="shared" si="18"/>
        <v>Closed</v>
      </c>
      <c r="S320" s="83" t="str">
        <f t="shared" si="19"/>
        <v/>
      </c>
      <c r="T320" s="101" t="str">
        <f>IFERROR(_xlfn.XLOOKUP(tblRecruitmentPipeline[[#This Row],[REQ_ID]],tblRequisitions[REQ_ID],tblRequisitions[DEPARTMENT],""),"")</f>
        <v>Loan Processing</v>
      </c>
      <c r="U320" s="110" t="str">
        <f>IF(tblRecruitmentPipeline[[#This Row],[REQ_DEPARTMENT]]="","No","Yes")</f>
        <v>Yes</v>
      </c>
    </row>
    <row r="321" spans="1:21">
      <c r="A321" s="100" t="s">
        <v>1772</v>
      </c>
      <c r="B321" s="101" t="s">
        <v>993</v>
      </c>
      <c r="C321" s="101" t="s">
        <v>1773</v>
      </c>
      <c r="D321" s="101" t="s">
        <v>1774</v>
      </c>
      <c r="E321" s="101" t="s">
        <v>384</v>
      </c>
      <c r="F321" s="102">
        <v>45855</v>
      </c>
      <c r="G321" s="83" t="s">
        <v>219</v>
      </c>
      <c r="H321" s="102">
        <v>45897</v>
      </c>
      <c r="I321" s="101" t="s">
        <v>938</v>
      </c>
      <c r="J321" s="101" t="s">
        <v>1030</v>
      </c>
      <c r="K321" s="102">
        <v>45894</v>
      </c>
      <c r="L321" s="83" t="s">
        <v>231</v>
      </c>
      <c r="M321" s="102">
        <v>45905</v>
      </c>
      <c r="N321" s="101"/>
      <c r="O321" s="101"/>
      <c r="P321" s="83">
        <f t="shared" ca="1" si="16"/>
        <v>50</v>
      </c>
      <c r="Q321" s="83" t="str">
        <f t="shared" si="17"/>
        <v>Closed</v>
      </c>
      <c r="R321" s="83" t="str">
        <f t="shared" si="18"/>
        <v>Closed</v>
      </c>
      <c r="S321" s="83">
        <f t="shared" si="19"/>
        <v>50</v>
      </c>
      <c r="T321" s="101" t="str">
        <f>IFERROR(_xlfn.XLOOKUP(tblRecruitmentPipeline[[#This Row],[REQ_ID]],tblRequisitions[REQ_ID],tblRequisitions[DEPARTMENT],""),"")</f>
        <v>Credit Evaluation</v>
      </c>
      <c r="U321" s="110" t="str">
        <f>IF(tblRecruitmentPipeline[[#This Row],[REQ_DEPARTMENT]]="","No","Yes")</f>
        <v>Yes</v>
      </c>
    </row>
    <row r="322" spans="1:21">
      <c r="A322" s="100" t="s">
        <v>1775</v>
      </c>
      <c r="B322" s="101" t="s">
        <v>993</v>
      </c>
      <c r="C322" s="101" t="s">
        <v>1776</v>
      </c>
      <c r="D322" s="101" t="s">
        <v>570</v>
      </c>
      <c r="E322" s="101" t="s">
        <v>403</v>
      </c>
      <c r="F322" s="102">
        <v>45829</v>
      </c>
      <c r="G322" s="83" t="s">
        <v>393</v>
      </c>
      <c r="H322" s="102">
        <v>45838</v>
      </c>
      <c r="I322" s="101" t="s">
        <v>938</v>
      </c>
      <c r="J322" s="101" t="s">
        <v>1030</v>
      </c>
      <c r="K322" s="102"/>
      <c r="L322" s="83" t="s">
        <v>404</v>
      </c>
      <c r="M322" s="102"/>
      <c r="N322" s="101"/>
      <c r="O322" s="101"/>
      <c r="P322" s="83">
        <f t="shared" ca="1" si="16"/>
        <v>316</v>
      </c>
      <c r="Q322" s="83" t="str">
        <f t="shared" ca="1" si="17"/>
        <v>Stale</v>
      </c>
      <c r="R322" s="83" t="str">
        <f t="shared" ca="1" si="18"/>
        <v>Delayed</v>
      </c>
      <c r="S322" s="83" t="str">
        <f t="shared" si="19"/>
        <v/>
      </c>
      <c r="T322" s="101" t="str">
        <f>IFERROR(_xlfn.XLOOKUP(tblRecruitmentPipeline[[#This Row],[REQ_ID]],tblRequisitions[REQ_ID],tblRequisitions[DEPARTMENT],""),"")</f>
        <v>Credit Evaluation</v>
      </c>
      <c r="U322" s="110" t="str">
        <f>IF(tblRecruitmentPipeline[[#This Row],[REQ_DEPARTMENT]]="","No","Yes")</f>
        <v>Yes</v>
      </c>
    </row>
    <row r="323" spans="1:21">
      <c r="A323" s="100" t="s">
        <v>1777</v>
      </c>
      <c r="B323" s="101" t="s">
        <v>993</v>
      </c>
      <c r="C323" s="101" t="s">
        <v>1778</v>
      </c>
      <c r="D323" s="101" t="s">
        <v>1637</v>
      </c>
      <c r="E323" s="101" t="s">
        <v>414</v>
      </c>
      <c r="F323" s="102">
        <v>45847</v>
      </c>
      <c r="G323" s="83" t="s">
        <v>382</v>
      </c>
      <c r="H323" s="102">
        <v>45867</v>
      </c>
      <c r="I323" s="101" t="s">
        <v>938</v>
      </c>
      <c r="J323" s="101" t="s">
        <v>227</v>
      </c>
      <c r="K323" s="102"/>
      <c r="L323" s="83" t="s">
        <v>404</v>
      </c>
      <c r="M323" s="102"/>
      <c r="N323" s="101"/>
      <c r="O323" s="101"/>
      <c r="P323" s="83">
        <f t="shared" ca="1" si="16"/>
        <v>298</v>
      </c>
      <c r="Q323" s="83" t="str">
        <f t="shared" ca="1" si="17"/>
        <v>Stale</v>
      </c>
      <c r="R323" s="83" t="str">
        <f t="shared" ca="1" si="18"/>
        <v>Delayed</v>
      </c>
      <c r="S323" s="83" t="str">
        <f t="shared" si="19"/>
        <v/>
      </c>
      <c r="T323" s="101" t="str">
        <f>IFERROR(_xlfn.XLOOKUP(tblRecruitmentPipeline[[#This Row],[REQ_ID]],tblRequisitions[REQ_ID],tblRequisitions[DEPARTMENT],""),"")</f>
        <v>Credit Evaluation</v>
      </c>
      <c r="U323" s="110" t="str">
        <f>IF(tblRecruitmentPipeline[[#This Row],[REQ_DEPARTMENT]]="","No","Yes")</f>
        <v>Yes</v>
      </c>
    </row>
    <row r="324" spans="1:21">
      <c r="A324" s="100" t="s">
        <v>1779</v>
      </c>
      <c r="B324" s="101" t="s">
        <v>993</v>
      </c>
      <c r="C324" s="101" t="s">
        <v>1780</v>
      </c>
      <c r="D324" s="101" t="s">
        <v>657</v>
      </c>
      <c r="E324" s="101" t="s">
        <v>414</v>
      </c>
      <c r="F324" s="102">
        <v>45836</v>
      </c>
      <c r="G324" s="83" t="s">
        <v>409</v>
      </c>
      <c r="H324" s="102">
        <v>45873</v>
      </c>
      <c r="I324" s="101" t="s">
        <v>938</v>
      </c>
      <c r="J324" s="101" t="s">
        <v>1030</v>
      </c>
      <c r="K324" s="102">
        <v>45871</v>
      </c>
      <c r="L324" s="83" t="s">
        <v>323</v>
      </c>
      <c r="M324" s="102"/>
      <c r="N324" s="101"/>
      <c r="O324" s="101"/>
      <c r="P324" s="83">
        <f t="shared" ca="1" si="16"/>
        <v>309</v>
      </c>
      <c r="Q324" s="83" t="str">
        <f t="shared" ca="1" si="17"/>
        <v>Stale</v>
      </c>
      <c r="R324" s="83" t="str">
        <f t="shared" ca="1" si="18"/>
        <v>Delayed</v>
      </c>
      <c r="S324" s="83" t="str">
        <f t="shared" si="19"/>
        <v/>
      </c>
      <c r="T324" s="101" t="str">
        <f>IFERROR(_xlfn.XLOOKUP(tblRecruitmentPipeline[[#This Row],[REQ_ID]],tblRequisitions[REQ_ID],tblRequisitions[DEPARTMENT],""),"")</f>
        <v>Credit Evaluation</v>
      </c>
      <c r="U324" s="110" t="str">
        <f>IF(tblRecruitmentPipeline[[#This Row],[REQ_DEPARTMENT]]="","No","Yes")</f>
        <v>Yes</v>
      </c>
    </row>
    <row r="325" spans="1:21">
      <c r="A325" s="100" t="s">
        <v>1781</v>
      </c>
      <c r="B325" s="101" t="s">
        <v>993</v>
      </c>
      <c r="C325" s="101" t="s">
        <v>1782</v>
      </c>
      <c r="D325" s="101" t="s">
        <v>1356</v>
      </c>
      <c r="E325" s="101" t="s">
        <v>412</v>
      </c>
      <c r="F325" s="102">
        <v>45856</v>
      </c>
      <c r="G325" s="83" t="s">
        <v>413</v>
      </c>
      <c r="H325" s="102">
        <v>45875</v>
      </c>
      <c r="I325" s="101" t="s">
        <v>938</v>
      </c>
      <c r="J325" s="101" t="s">
        <v>1030</v>
      </c>
      <c r="K325" s="102"/>
      <c r="L325" s="83" t="s">
        <v>404</v>
      </c>
      <c r="M325" s="102"/>
      <c r="N325" s="101" t="s">
        <v>1027</v>
      </c>
      <c r="O325" s="101"/>
      <c r="P325" s="83">
        <f t="shared" ref="P325:P388" ca="1" si="20">IF($A325="","",IF($G325="Hired",$M325-$F325,IF(OR($G325="Rejected",$G325="Withdrawn"),$H325-$F325,TODAY()-$F325)))</f>
        <v>19</v>
      </c>
      <c r="Q325" s="83" t="str">
        <f t="shared" ref="Q325:Q388" si="21">IF($A325="","",IF(OR($G325="Hired",$G325="Rejected",$G325="Withdrawn"),"Closed",IF($P325&gt;30,"Stale","Active")))</f>
        <v>Closed</v>
      </c>
      <c r="R325" s="83" t="str">
        <f t="shared" ref="R325:R388" si="22">IF($A325="","",IF($Q325="Closed","Closed",IF($P325&lt;=14,"On Track",IF($P325&lt;=30,"At Risk","Delayed"))))</f>
        <v>Closed</v>
      </c>
      <c r="S325" s="83" t="str">
        <f t="shared" ref="S325:S388" si="23">IF($A325="","",IF($G325="Hired",$M325-$F325,""))</f>
        <v/>
      </c>
      <c r="T325" s="101" t="str">
        <f>IFERROR(_xlfn.XLOOKUP(tblRecruitmentPipeline[[#This Row],[REQ_ID]],tblRequisitions[REQ_ID],tblRequisitions[DEPARTMENT],""),"")</f>
        <v>Credit Evaluation</v>
      </c>
      <c r="U325" s="110" t="str">
        <f>IF(tblRecruitmentPipeline[[#This Row],[REQ_DEPARTMENT]]="","No","Yes")</f>
        <v>Yes</v>
      </c>
    </row>
    <row r="326" spans="1:21">
      <c r="A326" s="100" t="s">
        <v>1783</v>
      </c>
      <c r="B326" s="101" t="s">
        <v>994</v>
      </c>
      <c r="C326" s="101" t="s">
        <v>1784</v>
      </c>
      <c r="D326" s="101" t="s">
        <v>1177</v>
      </c>
      <c r="E326" s="101" t="s">
        <v>403</v>
      </c>
      <c r="F326" s="102">
        <v>45921</v>
      </c>
      <c r="G326" s="83" t="s">
        <v>219</v>
      </c>
      <c r="H326" s="102">
        <v>45937</v>
      </c>
      <c r="I326" s="101" t="s">
        <v>942</v>
      </c>
      <c r="J326" s="101" t="s">
        <v>1030</v>
      </c>
      <c r="K326" s="102">
        <v>45932</v>
      </c>
      <c r="L326" s="83" t="s">
        <v>231</v>
      </c>
      <c r="M326" s="102">
        <v>45941</v>
      </c>
      <c r="N326" s="101"/>
      <c r="O326" s="101"/>
      <c r="P326" s="83">
        <f t="shared" ca="1" si="20"/>
        <v>20</v>
      </c>
      <c r="Q326" s="83" t="str">
        <f t="shared" si="21"/>
        <v>Closed</v>
      </c>
      <c r="R326" s="83" t="str">
        <f t="shared" si="22"/>
        <v>Closed</v>
      </c>
      <c r="S326" s="83">
        <f t="shared" si="23"/>
        <v>20</v>
      </c>
      <c r="T326" s="101" t="str">
        <f>IFERROR(_xlfn.XLOOKUP(tblRecruitmentPipeline[[#This Row],[REQ_ID]],tblRequisitions[REQ_ID],tblRequisitions[DEPARTMENT],""),"")</f>
        <v>Collections</v>
      </c>
      <c r="U326" s="110" t="str">
        <f>IF(tblRecruitmentPipeline[[#This Row],[REQ_DEPARTMENT]]="","No","Yes")</f>
        <v>Yes</v>
      </c>
    </row>
    <row r="327" spans="1:21">
      <c r="A327" s="100" t="s">
        <v>1785</v>
      </c>
      <c r="B327" s="101" t="s">
        <v>994</v>
      </c>
      <c r="C327" s="101" t="s">
        <v>1786</v>
      </c>
      <c r="D327" s="101" t="s">
        <v>1577</v>
      </c>
      <c r="E327" s="101" t="s">
        <v>403</v>
      </c>
      <c r="F327" s="102">
        <v>45903</v>
      </c>
      <c r="G327" s="83" t="s">
        <v>219</v>
      </c>
      <c r="H327" s="102">
        <v>45951</v>
      </c>
      <c r="I327" s="101" t="s">
        <v>942</v>
      </c>
      <c r="J327" s="101" t="s">
        <v>227</v>
      </c>
      <c r="K327" s="102">
        <v>45946</v>
      </c>
      <c r="L327" s="83" t="s">
        <v>231</v>
      </c>
      <c r="M327" s="102">
        <v>45953</v>
      </c>
      <c r="N327" s="101"/>
      <c r="O327" s="101"/>
      <c r="P327" s="83">
        <f t="shared" ca="1" si="20"/>
        <v>50</v>
      </c>
      <c r="Q327" s="83" t="str">
        <f t="shared" si="21"/>
        <v>Closed</v>
      </c>
      <c r="R327" s="83" t="str">
        <f t="shared" si="22"/>
        <v>Closed</v>
      </c>
      <c r="S327" s="83">
        <f t="shared" si="23"/>
        <v>50</v>
      </c>
      <c r="T327" s="101" t="str">
        <f>IFERROR(_xlfn.XLOOKUP(tblRecruitmentPipeline[[#This Row],[REQ_ID]],tblRequisitions[REQ_ID],tblRequisitions[DEPARTMENT],""),"")</f>
        <v>Collections</v>
      </c>
      <c r="U327" s="110" t="str">
        <f>IF(tblRecruitmentPipeline[[#This Row],[REQ_DEPARTMENT]]="","No","Yes")</f>
        <v>Yes</v>
      </c>
    </row>
    <row r="328" spans="1:21">
      <c r="A328" s="100" t="s">
        <v>1787</v>
      </c>
      <c r="B328" s="101" t="s">
        <v>994</v>
      </c>
      <c r="C328" s="101" t="s">
        <v>1788</v>
      </c>
      <c r="D328" s="101" t="s">
        <v>481</v>
      </c>
      <c r="E328" s="101" t="s">
        <v>412</v>
      </c>
      <c r="F328" s="102">
        <v>45907</v>
      </c>
      <c r="G328" s="83" t="s">
        <v>401</v>
      </c>
      <c r="H328" s="102">
        <v>45924</v>
      </c>
      <c r="I328" s="101" t="s">
        <v>942</v>
      </c>
      <c r="J328" s="101" t="s">
        <v>227</v>
      </c>
      <c r="K328" s="102"/>
      <c r="L328" s="83" t="s">
        <v>404</v>
      </c>
      <c r="M328" s="102"/>
      <c r="N328" s="101"/>
      <c r="O328" s="101"/>
      <c r="P328" s="83">
        <f t="shared" ca="1" si="20"/>
        <v>238</v>
      </c>
      <c r="Q328" s="83" t="str">
        <f t="shared" ca="1" si="21"/>
        <v>Stale</v>
      </c>
      <c r="R328" s="83" t="str">
        <f t="shared" ca="1" si="22"/>
        <v>Delayed</v>
      </c>
      <c r="S328" s="83" t="str">
        <f t="shared" si="23"/>
        <v/>
      </c>
      <c r="T328" s="101" t="str">
        <f>IFERROR(_xlfn.XLOOKUP(tblRecruitmentPipeline[[#This Row],[REQ_ID]],tblRequisitions[REQ_ID],tblRequisitions[DEPARTMENT],""),"")</f>
        <v>Collections</v>
      </c>
      <c r="U328" s="110" t="str">
        <f>IF(tblRecruitmentPipeline[[#This Row],[REQ_DEPARTMENT]]="","No","Yes")</f>
        <v>Yes</v>
      </c>
    </row>
    <row r="329" spans="1:21">
      <c r="A329" s="100" t="s">
        <v>1789</v>
      </c>
      <c r="B329" s="101" t="s">
        <v>994</v>
      </c>
      <c r="C329" s="101" t="s">
        <v>1790</v>
      </c>
      <c r="D329" s="101" t="s">
        <v>1276</v>
      </c>
      <c r="E329" s="101" t="s">
        <v>412</v>
      </c>
      <c r="F329" s="102">
        <v>45927</v>
      </c>
      <c r="G329" s="83" t="s">
        <v>413</v>
      </c>
      <c r="H329" s="102">
        <v>45937</v>
      </c>
      <c r="I329" s="101" t="s">
        <v>942</v>
      </c>
      <c r="J329" s="101" t="s">
        <v>1030</v>
      </c>
      <c r="K329" s="102"/>
      <c r="L329" s="83" t="s">
        <v>404</v>
      </c>
      <c r="M329" s="102"/>
      <c r="N329" s="101" t="s">
        <v>1085</v>
      </c>
      <c r="O329" s="101"/>
      <c r="P329" s="83">
        <f t="shared" ca="1" si="20"/>
        <v>10</v>
      </c>
      <c r="Q329" s="83" t="str">
        <f t="shared" si="21"/>
        <v>Closed</v>
      </c>
      <c r="R329" s="83" t="str">
        <f t="shared" si="22"/>
        <v>Closed</v>
      </c>
      <c r="S329" s="83" t="str">
        <f t="shared" si="23"/>
        <v/>
      </c>
      <c r="T329" s="101" t="str">
        <f>IFERROR(_xlfn.XLOOKUP(tblRecruitmentPipeline[[#This Row],[REQ_ID]],tblRequisitions[REQ_ID],tblRequisitions[DEPARTMENT],""),"")</f>
        <v>Collections</v>
      </c>
      <c r="U329" s="110" t="str">
        <f>IF(tblRecruitmentPipeline[[#This Row],[REQ_DEPARTMENT]]="","No","Yes")</f>
        <v>Yes</v>
      </c>
    </row>
    <row r="330" spans="1:21">
      <c r="A330" s="100" t="s">
        <v>1791</v>
      </c>
      <c r="B330" s="101" t="s">
        <v>995</v>
      </c>
      <c r="C330" s="101" t="s">
        <v>1792</v>
      </c>
      <c r="D330" s="101" t="s">
        <v>1177</v>
      </c>
      <c r="E330" s="101" t="s">
        <v>403</v>
      </c>
      <c r="F330" s="102">
        <v>46023</v>
      </c>
      <c r="G330" s="83" t="s">
        <v>219</v>
      </c>
      <c r="H330" s="102">
        <v>46035</v>
      </c>
      <c r="I330" s="101" t="s">
        <v>942</v>
      </c>
      <c r="J330" s="101" t="s">
        <v>36</v>
      </c>
      <c r="K330" s="102">
        <v>46031</v>
      </c>
      <c r="L330" s="83" t="s">
        <v>231</v>
      </c>
      <c r="M330" s="102">
        <v>46051</v>
      </c>
      <c r="N330" s="101"/>
      <c r="O330" s="101"/>
      <c r="P330" s="83">
        <f t="shared" ca="1" si="20"/>
        <v>28</v>
      </c>
      <c r="Q330" s="83" t="str">
        <f t="shared" si="21"/>
        <v>Closed</v>
      </c>
      <c r="R330" s="83" t="str">
        <f t="shared" si="22"/>
        <v>Closed</v>
      </c>
      <c r="S330" s="83">
        <f t="shared" si="23"/>
        <v>28</v>
      </c>
      <c r="T330" s="101" t="str">
        <f>IFERROR(_xlfn.XLOOKUP(tblRecruitmentPipeline[[#This Row],[REQ_ID]],tblRequisitions[REQ_ID],tblRequisitions[DEPARTMENT],""),"")</f>
        <v>Information Technology</v>
      </c>
      <c r="U330" s="110" t="str">
        <f>IF(tblRecruitmentPipeline[[#This Row],[REQ_DEPARTMENT]]="","No","Yes")</f>
        <v>Yes</v>
      </c>
    </row>
    <row r="331" spans="1:21">
      <c r="A331" s="100" t="s">
        <v>1793</v>
      </c>
      <c r="B331" s="101" t="s">
        <v>995</v>
      </c>
      <c r="C331" s="101" t="s">
        <v>1794</v>
      </c>
      <c r="D331" s="101" t="s">
        <v>713</v>
      </c>
      <c r="E331" s="101" t="s">
        <v>412</v>
      </c>
      <c r="F331" s="102">
        <v>46001</v>
      </c>
      <c r="G331" s="83" t="s">
        <v>413</v>
      </c>
      <c r="H331" s="102">
        <v>46028</v>
      </c>
      <c r="I331" s="101" t="s">
        <v>942</v>
      </c>
      <c r="J331" s="101" t="s">
        <v>227</v>
      </c>
      <c r="K331" s="102"/>
      <c r="L331" s="83" t="s">
        <v>404</v>
      </c>
      <c r="M331" s="102"/>
      <c r="N331" s="101" t="s">
        <v>1075</v>
      </c>
      <c r="O331" s="101"/>
      <c r="P331" s="83">
        <f t="shared" ca="1" si="20"/>
        <v>27</v>
      </c>
      <c r="Q331" s="83" t="str">
        <f t="shared" si="21"/>
        <v>Closed</v>
      </c>
      <c r="R331" s="83" t="str">
        <f t="shared" si="22"/>
        <v>Closed</v>
      </c>
      <c r="S331" s="83" t="str">
        <f t="shared" si="23"/>
        <v/>
      </c>
      <c r="T331" s="101" t="str">
        <f>IFERROR(_xlfn.XLOOKUP(tblRecruitmentPipeline[[#This Row],[REQ_ID]],tblRequisitions[REQ_ID],tblRequisitions[DEPARTMENT],""),"")</f>
        <v>Information Technology</v>
      </c>
      <c r="U331" s="110" t="str">
        <f>IF(tblRecruitmentPipeline[[#This Row],[REQ_DEPARTMENT]]="","No","Yes")</f>
        <v>Yes</v>
      </c>
    </row>
    <row r="332" spans="1:21">
      <c r="A332" s="100" t="s">
        <v>1795</v>
      </c>
      <c r="B332" s="101" t="s">
        <v>995</v>
      </c>
      <c r="C332" s="101" t="s">
        <v>1796</v>
      </c>
      <c r="D332" s="101" t="s">
        <v>1547</v>
      </c>
      <c r="E332" s="101" t="s">
        <v>213</v>
      </c>
      <c r="F332" s="102">
        <v>45993</v>
      </c>
      <c r="G332" s="83" t="s">
        <v>413</v>
      </c>
      <c r="H332" s="102">
        <v>45999</v>
      </c>
      <c r="I332" s="101" t="s">
        <v>942</v>
      </c>
      <c r="J332" s="101" t="s">
        <v>1030</v>
      </c>
      <c r="K332" s="102"/>
      <c r="L332" s="83" t="s">
        <v>404</v>
      </c>
      <c r="M332" s="102"/>
      <c r="N332" s="101" t="s">
        <v>1078</v>
      </c>
      <c r="O332" s="101"/>
      <c r="P332" s="83">
        <f t="shared" ca="1" si="20"/>
        <v>6</v>
      </c>
      <c r="Q332" s="83" t="str">
        <f t="shared" si="21"/>
        <v>Closed</v>
      </c>
      <c r="R332" s="83" t="str">
        <f t="shared" si="22"/>
        <v>Closed</v>
      </c>
      <c r="S332" s="83" t="str">
        <f t="shared" si="23"/>
        <v/>
      </c>
      <c r="T332" s="101" t="str">
        <f>IFERROR(_xlfn.XLOOKUP(tblRecruitmentPipeline[[#This Row],[REQ_ID]],tblRequisitions[REQ_ID],tblRequisitions[DEPARTMENT],""),"")</f>
        <v>Information Technology</v>
      </c>
      <c r="U332" s="110" t="str">
        <f>IF(tblRecruitmentPipeline[[#This Row],[REQ_DEPARTMENT]]="","No","Yes")</f>
        <v>Yes</v>
      </c>
    </row>
    <row r="333" spans="1:21">
      <c r="A333" s="100" t="s">
        <v>1797</v>
      </c>
      <c r="B333" s="101" t="s">
        <v>996</v>
      </c>
      <c r="C333" s="101" t="s">
        <v>1798</v>
      </c>
      <c r="D333" s="101" t="s">
        <v>790</v>
      </c>
      <c r="E333" s="101" t="s">
        <v>414</v>
      </c>
      <c r="F333" s="102">
        <v>46016</v>
      </c>
      <c r="G333" s="83" t="s">
        <v>219</v>
      </c>
      <c r="H333" s="102">
        <v>46062</v>
      </c>
      <c r="I333" s="101" t="s">
        <v>192</v>
      </c>
      <c r="J333" s="101" t="s">
        <v>227</v>
      </c>
      <c r="K333" s="102">
        <v>46057</v>
      </c>
      <c r="L333" s="83" t="s">
        <v>231</v>
      </c>
      <c r="M333" s="102">
        <v>46072</v>
      </c>
      <c r="N333" s="101"/>
      <c r="O333" s="101"/>
      <c r="P333" s="83">
        <f t="shared" ca="1" si="20"/>
        <v>56</v>
      </c>
      <c r="Q333" s="83" t="str">
        <f t="shared" si="21"/>
        <v>Closed</v>
      </c>
      <c r="R333" s="83" t="str">
        <f t="shared" si="22"/>
        <v>Closed</v>
      </c>
      <c r="S333" s="83">
        <f t="shared" si="23"/>
        <v>56</v>
      </c>
      <c r="T333" s="101" t="str">
        <f>IFERROR(_xlfn.XLOOKUP(tblRecruitmentPipeline[[#This Row],[REQ_ID]],tblRequisitions[REQ_ID],tblRequisitions[DEPARTMENT],""),"")</f>
        <v>Customer Service</v>
      </c>
      <c r="U333" s="110" t="str">
        <f>IF(tblRecruitmentPipeline[[#This Row],[REQ_DEPARTMENT]]="","No","Yes")</f>
        <v>Yes</v>
      </c>
    </row>
    <row r="334" spans="1:21">
      <c r="A334" s="100" t="s">
        <v>1799</v>
      </c>
      <c r="B334" s="101" t="s">
        <v>996</v>
      </c>
      <c r="C334" s="101" t="s">
        <v>1800</v>
      </c>
      <c r="D334" s="101" t="s">
        <v>1423</v>
      </c>
      <c r="E334" s="101" t="s">
        <v>375</v>
      </c>
      <c r="F334" s="102">
        <v>45994</v>
      </c>
      <c r="G334" s="83" t="s">
        <v>219</v>
      </c>
      <c r="H334" s="102">
        <v>46017</v>
      </c>
      <c r="I334" s="101" t="s">
        <v>192</v>
      </c>
      <c r="J334" s="101" t="s">
        <v>1030</v>
      </c>
      <c r="K334" s="102">
        <v>46016</v>
      </c>
      <c r="L334" s="83" t="s">
        <v>231</v>
      </c>
      <c r="M334" s="102">
        <v>46031</v>
      </c>
      <c r="N334" s="101"/>
      <c r="O334" s="101"/>
      <c r="P334" s="83">
        <f t="shared" ca="1" si="20"/>
        <v>37</v>
      </c>
      <c r="Q334" s="83" t="str">
        <f t="shared" si="21"/>
        <v>Closed</v>
      </c>
      <c r="R334" s="83" t="str">
        <f t="shared" si="22"/>
        <v>Closed</v>
      </c>
      <c r="S334" s="83">
        <f t="shared" si="23"/>
        <v>37</v>
      </c>
      <c r="T334" s="101" t="str">
        <f>IFERROR(_xlfn.XLOOKUP(tblRecruitmentPipeline[[#This Row],[REQ_ID]],tblRequisitions[REQ_ID],tblRequisitions[DEPARTMENT],""),"")</f>
        <v>Customer Service</v>
      </c>
      <c r="U334" s="110" t="str">
        <f>IF(tblRecruitmentPipeline[[#This Row],[REQ_DEPARTMENT]]="","No","Yes")</f>
        <v>Yes</v>
      </c>
    </row>
    <row r="335" spans="1:21">
      <c r="A335" s="100" t="s">
        <v>1801</v>
      </c>
      <c r="B335" s="101" t="s">
        <v>996</v>
      </c>
      <c r="C335" s="101" t="s">
        <v>1802</v>
      </c>
      <c r="D335" s="101" t="s">
        <v>1803</v>
      </c>
      <c r="E335" s="101" t="s">
        <v>261</v>
      </c>
      <c r="F335" s="102">
        <v>46013</v>
      </c>
      <c r="G335" s="83" t="s">
        <v>393</v>
      </c>
      <c r="H335" s="102">
        <v>46054</v>
      </c>
      <c r="I335" s="101" t="s">
        <v>192</v>
      </c>
      <c r="J335" s="101" t="s">
        <v>1030</v>
      </c>
      <c r="K335" s="102"/>
      <c r="L335" s="83" t="s">
        <v>404</v>
      </c>
      <c r="M335" s="102"/>
      <c r="N335" s="101"/>
      <c r="O335" s="101"/>
      <c r="P335" s="83">
        <f t="shared" ca="1" si="20"/>
        <v>132</v>
      </c>
      <c r="Q335" s="83" t="str">
        <f t="shared" ca="1" si="21"/>
        <v>Stale</v>
      </c>
      <c r="R335" s="83" t="str">
        <f t="shared" ca="1" si="22"/>
        <v>Delayed</v>
      </c>
      <c r="S335" s="83" t="str">
        <f t="shared" si="23"/>
        <v/>
      </c>
      <c r="T335" s="101" t="str">
        <f>IFERROR(_xlfn.XLOOKUP(tblRecruitmentPipeline[[#This Row],[REQ_ID]],tblRequisitions[REQ_ID],tblRequisitions[DEPARTMENT],""),"")</f>
        <v>Customer Service</v>
      </c>
      <c r="U335" s="110" t="str">
        <f>IF(tblRecruitmentPipeline[[#This Row],[REQ_DEPARTMENT]]="","No","Yes")</f>
        <v>Yes</v>
      </c>
    </row>
    <row r="336" spans="1:21">
      <c r="A336" s="100" t="s">
        <v>1804</v>
      </c>
      <c r="B336" s="101" t="s">
        <v>996</v>
      </c>
      <c r="C336" s="101" t="s">
        <v>1805</v>
      </c>
      <c r="D336" s="101" t="s">
        <v>552</v>
      </c>
      <c r="E336" s="101" t="s">
        <v>213</v>
      </c>
      <c r="F336" s="102">
        <v>46024</v>
      </c>
      <c r="G336" s="83" t="s">
        <v>219</v>
      </c>
      <c r="H336" s="102">
        <v>46061</v>
      </c>
      <c r="I336" s="101" t="s">
        <v>192</v>
      </c>
      <c r="J336" s="101" t="s">
        <v>1030</v>
      </c>
      <c r="K336" s="102">
        <v>46059</v>
      </c>
      <c r="L336" s="83" t="s">
        <v>231</v>
      </c>
      <c r="M336" s="102">
        <v>46068</v>
      </c>
      <c r="N336" s="101"/>
      <c r="O336" s="101"/>
      <c r="P336" s="83">
        <f t="shared" ca="1" si="20"/>
        <v>44</v>
      </c>
      <c r="Q336" s="83" t="str">
        <f t="shared" si="21"/>
        <v>Closed</v>
      </c>
      <c r="R336" s="83" t="str">
        <f t="shared" si="22"/>
        <v>Closed</v>
      </c>
      <c r="S336" s="83">
        <f t="shared" si="23"/>
        <v>44</v>
      </c>
      <c r="T336" s="101" t="str">
        <f>IFERROR(_xlfn.XLOOKUP(tblRecruitmentPipeline[[#This Row],[REQ_ID]],tblRequisitions[REQ_ID],tblRequisitions[DEPARTMENT],""),"")</f>
        <v>Customer Service</v>
      </c>
      <c r="U336" s="110" t="str">
        <f>IF(tblRecruitmentPipeline[[#This Row],[REQ_DEPARTMENT]]="","No","Yes")</f>
        <v>Yes</v>
      </c>
    </row>
    <row r="337" spans="1:21">
      <c r="A337" s="100" t="s">
        <v>1806</v>
      </c>
      <c r="B337" s="101" t="s">
        <v>996</v>
      </c>
      <c r="C337" s="101" t="s">
        <v>1807</v>
      </c>
      <c r="D337" s="101" t="s">
        <v>1515</v>
      </c>
      <c r="E337" s="101" t="s">
        <v>414</v>
      </c>
      <c r="F337" s="102">
        <v>46019</v>
      </c>
      <c r="G337" s="83" t="s">
        <v>219</v>
      </c>
      <c r="H337" s="102">
        <v>46069</v>
      </c>
      <c r="I337" s="101" t="s">
        <v>192</v>
      </c>
      <c r="J337" s="101" t="s">
        <v>227</v>
      </c>
      <c r="K337" s="102">
        <v>46064</v>
      </c>
      <c r="L337" s="83" t="s">
        <v>231</v>
      </c>
      <c r="M337" s="102">
        <v>46084</v>
      </c>
      <c r="N337" s="101"/>
      <c r="O337" s="101"/>
      <c r="P337" s="83">
        <f t="shared" ca="1" si="20"/>
        <v>65</v>
      </c>
      <c r="Q337" s="83" t="str">
        <f t="shared" si="21"/>
        <v>Closed</v>
      </c>
      <c r="R337" s="83" t="str">
        <f t="shared" si="22"/>
        <v>Closed</v>
      </c>
      <c r="S337" s="83">
        <f t="shared" si="23"/>
        <v>65</v>
      </c>
      <c r="T337" s="101" t="str">
        <f>IFERROR(_xlfn.XLOOKUP(tblRecruitmentPipeline[[#This Row],[REQ_ID]],tblRequisitions[REQ_ID],tblRequisitions[DEPARTMENT],""),"")</f>
        <v>Customer Service</v>
      </c>
      <c r="U337" s="110" t="str">
        <f>IF(tblRecruitmentPipeline[[#This Row],[REQ_DEPARTMENT]]="","No","Yes")</f>
        <v>Yes</v>
      </c>
    </row>
    <row r="338" spans="1:21">
      <c r="A338" s="100" t="s">
        <v>1808</v>
      </c>
      <c r="B338" s="101" t="s">
        <v>997</v>
      </c>
      <c r="C338" s="101" t="s">
        <v>1809</v>
      </c>
      <c r="D338" s="101" t="s">
        <v>1131</v>
      </c>
      <c r="E338" s="101" t="s">
        <v>261</v>
      </c>
      <c r="F338" s="102">
        <v>46100</v>
      </c>
      <c r="G338" s="83" t="s">
        <v>393</v>
      </c>
      <c r="H338" s="102">
        <v>46119</v>
      </c>
      <c r="I338" s="101" t="s">
        <v>192</v>
      </c>
      <c r="J338" s="101" t="s">
        <v>1030</v>
      </c>
      <c r="K338" s="102"/>
      <c r="L338" s="83" t="s">
        <v>404</v>
      </c>
      <c r="M338" s="102"/>
      <c r="N338" s="101"/>
      <c r="O338" s="101"/>
      <c r="P338" s="83">
        <f t="shared" ca="1" si="20"/>
        <v>45</v>
      </c>
      <c r="Q338" s="83" t="str">
        <f t="shared" ca="1" si="21"/>
        <v>Stale</v>
      </c>
      <c r="R338" s="83" t="str">
        <f t="shared" ca="1" si="22"/>
        <v>Delayed</v>
      </c>
      <c r="S338" s="83" t="str">
        <f t="shared" si="23"/>
        <v/>
      </c>
      <c r="T338" s="101" t="str">
        <f>IFERROR(_xlfn.XLOOKUP(tblRecruitmentPipeline[[#This Row],[REQ_ID]],tblRequisitions[REQ_ID],tblRequisitions[DEPARTMENT],""),"")</f>
        <v>Finance</v>
      </c>
      <c r="U338" s="110" t="str">
        <f>IF(tblRecruitmentPipeline[[#This Row],[REQ_DEPARTMENT]]="","No","Yes")</f>
        <v>Yes</v>
      </c>
    </row>
    <row r="339" spans="1:21">
      <c r="A339" s="100" t="s">
        <v>1810</v>
      </c>
      <c r="B339" s="101" t="s">
        <v>997</v>
      </c>
      <c r="C339" s="101" t="s">
        <v>1811</v>
      </c>
      <c r="D339" s="101" t="s">
        <v>625</v>
      </c>
      <c r="E339" s="101" t="s">
        <v>403</v>
      </c>
      <c r="F339" s="102">
        <v>46084</v>
      </c>
      <c r="G339" s="83" t="s">
        <v>393</v>
      </c>
      <c r="H339" s="102">
        <v>46114</v>
      </c>
      <c r="I339" s="101" t="s">
        <v>192</v>
      </c>
      <c r="J339" s="101" t="s">
        <v>227</v>
      </c>
      <c r="K339" s="102"/>
      <c r="L339" s="83" t="s">
        <v>404</v>
      </c>
      <c r="M339" s="102"/>
      <c r="N339" s="101"/>
      <c r="O339" s="101"/>
      <c r="P339" s="83">
        <f t="shared" ca="1" si="20"/>
        <v>61</v>
      </c>
      <c r="Q339" s="83" t="str">
        <f t="shared" ca="1" si="21"/>
        <v>Stale</v>
      </c>
      <c r="R339" s="83" t="str">
        <f t="shared" ca="1" si="22"/>
        <v>Delayed</v>
      </c>
      <c r="S339" s="83" t="str">
        <f t="shared" si="23"/>
        <v/>
      </c>
      <c r="T339" s="101" t="str">
        <f>IFERROR(_xlfn.XLOOKUP(tblRecruitmentPipeline[[#This Row],[REQ_ID]],tblRequisitions[REQ_ID],tblRequisitions[DEPARTMENT],""),"")</f>
        <v>Finance</v>
      </c>
      <c r="U339" s="110" t="str">
        <f>IF(tblRecruitmentPipeline[[#This Row],[REQ_DEPARTMENT]]="","No","Yes")</f>
        <v>Yes</v>
      </c>
    </row>
    <row r="340" spans="1:21">
      <c r="A340" s="100" t="s">
        <v>1812</v>
      </c>
      <c r="B340" s="101" t="s">
        <v>997</v>
      </c>
      <c r="C340" s="101" t="s">
        <v>1813</v>
      </c>
      <c r="D340" s="101" t="s">
        <v>696</v>
      </c>
      <c r="E340" s="101" t="s">
        <v>414</v>
      </c>
      <c r="F340" s="102">
        <v>46114</v>
      </c>
      <c r="G340" s="83" t="s">
        <v>219</v>
      </c>
      <c r="H340" s="102">
        <v>46150</v>
      </c>
      <c r="I340" s="101" t="s">
        <v>192</v>
      </c>
      <c r="J340" s="101" t="s">
        <v>227</v>
      </c>
      <c r="K340" s="102">
        <v>46147</v>
      </c>
      <c r="L340" s="83" t="s">
        <v>231</v>
      </c>
      <c r="M340" s="102">
        <v>46161</v>
      </c>
      <c r="N340" s="101"/>
      <c r="O340" s="101"/>
      <c r="P340" s="83">
        <f t="shared" ca="1" si="20"/>
        <v>47</v>
      </c>
      <c r="Q340" s="83" t="str">
        <f t="shared" si="21"/>
        <v>Closed</v>
      </c>
      <c r="R340" s="83" t="str">
        <f t="shared" si="22"/>
        <v>Closed</v>
      </c>
      <c r="S340" s="83">
        <f t="shared" si="23"/>
        <v>47</v>
      </c>
      <c r="T340" s="101" t="str">
        <f>IFERROR(_xlfn.XLOOKUP(tblRecruitmentPipeline[[#This Row],[REQ_ID]],tblRequisitions[REQ_ID],tblRequisitions[DEPARTMENT],""),"")</f>
        <v>Finance</v>
      </c>
      <c r="U340" s="110" t="str">
        <f>IF(tblRecruitmentPipeline[[#This Row],[REQ_DEPARTMENT]]="","No","Yes")</f>
        <v>Yes</v>
      </c>
    </row>
    <row r="341" spans="1:21">
      <c r="A341" s="100" t="s">
        <v>1814</v>
      </c>
      <c r="B341" s="101" t="s">
        <v>997</v>
      </c>
      <c r="C341" s="101" t="s">
        <v>1815</v>
      </c>
      <c r="D341" s="101" t="s">
        <v>436</v>
      </c>
      <c r="E341" s="101" t="s">
        <v>403</v>
      </c>
      <c r="F341" s="102">
        <v>46084</v>
      </c>
      <c r="G341" s="83" t="s">
        <v>382</v>
      </c>
      <c r="H341" s="102">
        <v>46115</v>
      </c>
      <c r="I341" s="101" t="s">
        <v>192</v>
      </c>
      <c r="J341" s="101" t="s">
        <v>1030</v>
      </c>
      <c r="K341" s="102"/>
      <c r="L341" s="83" t="s">
        <v>404</v>
      </c>
      <c r="M341" s="102"/>
      <c r="N341" s="101"/>
      <c r="O341" s="101"/>
      <c r="P341" s="83">
        <f t="shared" ca="1" si="20"/>
        <v>61</v>
      </c>
      <c r="Q341" s="83" t="str">
        <f t="shared" ca="1" si="21"/>
        <v>Stale</v>
      </c>
      <c r="R341" s="83" t="str">
        <f t="shared" ca="1" si="22"/>
        <v>Delayed</v>
      </c>
      <c r="S341" s="83" t="str">
        <f t="shared" si="23"/>
        <v/>
      </c>
      <c r="T341" s="101" t="str">
        <f>IFERROR(_xlfn.XLOOKUP(tblRecruitmentPipeline[[#This Row],[REQ_ID]],tblRequisitions[REQ_ID],tblRequisitions[DEPARTMENT],""),"")</f>
        <v>Finance</v>
      </c>
      <c r="U341" s="110" t="str">
        <f>IF(tblRecruitmentPipeline[[#This Row],[REQ_DEPARTMENT]]="","No","Yes")</f>
        <v>Yes</v>
      </c>
    </row>
    <row r="342" spans="1:21">
      <c r="A342" s="100" t="s">
        <v>1816</v>
      </c>
      <c r="B342" s="101" t="s">
        <v>997</v>
      </c>
      <c r="C342" s="101" t="s">
        <v>1817</v>
      </c>
      <c r="D342" s="101" t="s">
        <v>1818</v>
      </c>
      <c r="E342" s="101" t="s">
        <v>375</v>
      </c>
      <c r="F342" s="102">
        <v>46098</v>
      </c>
      <c r="G342" s="83" t="s">
        <v>418</v>
      </c>
      <c r="H342" s="102">
        <v>46104</v>
      </c>
      <c r="I342" s="101" t="s">
        <v>192</v>
      </c>
      <c r="J342" s="101" t="s">
        <v>227</v>
      </c>
      <c r="K342" s="102"/>
      <c r="L342" s="83" t="s">
        <v>404</v>
      </c>
      <c r="M342" s="102"/>
      <c r="N342" s="101"/>
      <c r="O342" s="101" t="s">
        <v>1690</v>
      </c>
      <c r="P342" s="83">
        <f t="shared" ca="1" si="20"/>
        <v>6</v>
      </c>
      <c r="Q342" s="83" t="str">
        <f t="shared" si="21"/>
        <v>Closed</v>
      </c>
      <c r="R342" s="83" t="str">
        <f t="shared" si="22"/>
        <v>Closed</v>
      </c>
      <c r="S342" s="83" t="str">
        <f t="shared" si="23"/>
        <v/>
      </c>
      <c r="T342" s="101" t="str">
        <f>IFERROR(_xlfn.XLOOKUP(tblRecruitmentPipeline[[#This Row],[REQ_ID]],tblRequisitions[REQ_ID],tblRequisitions[DEPARTMENT],""),"")</f>
        <v>Finance</v>
      </c>
      <c r="U342" s="110" t="str">
        <f>IF(tblRecruitmentPipeline[[#This Row],[REQ_DEPARTMENT]]="","No","Yes")</f>
        <v>Yes</v>
      </c>
    </row>
    <row r="343" spans="1:21">
      <c r="A343" s="100" t="s">
        <v>1819</v>
      </c>
      <c r="B343" s="101" t="s">
        <v>997</v>
      </c>
      <c r="C343" s="101" t="s">
        <v>1820</v>
      </c>
      <c r="D343" s="101" t="s">
        <v>586</v>
      </c>
      <c r="E343" s="101" t="s">
        <v>261</v>
      </c>
      <c r="F343" s="102">
        <v>46089</v>
      </c>
      <c r="G343" s="83" t="s">
        <v>401</v>
      </c>
      <c r="H343" s="102">
        <v>46104</v>
      </c>
      <c r="I343" s="101" t="s">
        <v>192</v>
      </c>
      <c r="J343" s="101" t="s">
        <v>36</v>
      </c>
      <c r="K343" s="102"/>
      <c r="L343" s="83" t="s">
        <v>404</v>
      </c>
      <c r="M343" s="102"/>
      <c r="N343" s="101"/>
      <c r="O343" s="101"/>
      <c r="P343" s="83">
        <f t="shared" ca="1" si="20"/>
        <v>56</v>
      </c>
      <c r="Q343" s="83" t="str">
        <f t="shared" ca="1" si="21"/>
        <v>Stale</v>
      </c>
      <c r="R343" s="83" t="str">
        <f t="shared" ca="1" si="22"/>
        <v>Delayed</v>
      </c>
      <c r="S343" s="83" t="str">
        <f t="shared" si="23"/>
        <v/>
      </c>
      <c r="T343" s="101" t="str">
        <f>IFERROR(_xlfn.XLOOKUP(tblRecruitmentPipeline[[#This Row],[REQ_ID]],tblRequisitions[REQ_ID],tblRequisitions[DEPARTMENT],""),"")</f>
        <v>Finance</v>
      </c>
      <c r="U343" s="110" t="str">
        <f>IF(tblRecruitmentPipeline[[#This Row],[REQ_DEPARTMENT]]="","No","Yes")</f>
        <v>Yes</v>
      </c>
    </row>
    <row r="344" spans="1:21">
      <c r="A344" s="100" t="s">
        <v>1821</v>
      </c>
      <c r="B344" s="101" t="s">
        <v>997</v>
      </c>
      <c r="C344" s="101" t="s">
        <v>1822</v>
      </c>
      <c r="D344" s="101" t="s">
        <v>1823</v>
      </c>
      <c r="E344" s="101" t="s">
        <v>412</v>
      </c>
      <c r="F344" s="102">
        <v>46114</v>
      </c>
      <c r="G344" s="83" t="s">
        <v>413</v>
      </c>
      <c r="H344" s="102">
        <v>46146</v>
      </c>
      <c r="I344" s="101" t="s">
        <v>192</v>
      </c>
      <c r="J344" s="101" t="s">
        <v>227</v>
      </c>
      <c r="K344" s="102"/>
      <c r="L344" s="83" t="s">
        <v>404</v>
      </c>
      <c r="M344" s="102"/>
      <c r="N344" s="101" t="s">
        <v>1085</v>
      </c>
      <c r="O344" s="101"/>
      <c r="P344" s="83">
        <f t="shared" ca="1" si="20"/>
        <v>32</v>
      </c>
      <c r="Q344" s="83" t="str">
        <f t="shared" si="21"/>
        <v>Closed</v>
      </c>
      <c r="R344" s="83" t="str">
        <f t="shared" si="22"/>
        <v>Closed</v>
      </c>
      <c r="S344" s="83" t="str">
        <f t="shared" si="23"/>
        <v/>
      </c>
      <c r="T344" s="101" t="str">
        <f>IFERROR(_xlfn.XLOOKUP(tblRecruitmentPipeline[[#This Row],[REQ_ID]],tblRequisitions[REQ_ID],tblRequisitions[DEPARTMENT],""),"")</f>
        <v>Finance</v>
      </c>
      <c r="U344" s="110" t="str">
        <f>IF(tblRecruitmentPipeline[[#This Row],[REQ_DEPARTMENT]]="","No","Yes")</f>
        <v>Yes</v>
      </c>
    </row>
    <row r="345" spans="1:21">
      <c r="A345" s="100" t="s">
        <v>1824</v>
      </c>
      <c r="B345" s="101" t="s">
        <v>997</v>
      </c>
      <c r="C345" s="101" t="s">
        <v>1825</v>
      </c>
      <c r="D345" s="101" t="s">
        <v>1502</v>
      </c>
      <c r="E345" s="101" t="s">
        <v>414</v>
      </c>
      <c r="F345" s="102">
        <v>46081</v>
      </c>
      <c r="G345" s="83" t="s">
        <v>393</v>
      </c>
      <c r="H345" s="102">
        <v>46087</v>
      </c>
      <c r="I345" s="101" t="s">
        <v>192</v>
      </c>
      <c r="J345" s="101" t="s">
        <v>227</v>
      </c>
      <c r="K345" s="102"/>
      <c r="L345" s="83" t="s">
        <v>404</v>
      </c>
      <c r="M345" s="102"/>
      <c r="N345" s="101"/>
      <c r="O345" s="101"/>
      <c r="P345" s="83">
        <f t="shared" ca="1" si="20"/>
        <v>64</v>
      </c>
      <c r="Q345" s="83" t="str">
        <f t="shared" ca="1" si="21"/>
        <v>Stale</v>
      </c>
      <c r="R345" s="83" t="str">
        <f t="shared" ca="1" si="22"/>
        <v>Delayed</v>
      </c>
      <c r="S345" s="83" t="str">
        <f t="shared" si="23"/>
        <v/>
      </c>
      <c r="T345" s="101" t="str">
        <f>IFERROR(_xlfn.XLOOKUP(tblRecruitmentPipeline[[#This Row],[REQ_ID]],tblRequisitions[REQ_ID],tblRequisitions[DEPARTMENT],""),"")</f>
        <v>Finance</v>
      </c>
      <c r="U345" s="110" t="str">
        <f>IF(tblRecruitmentPipeline[[#This Row],[REQ_DEPARTMENT]]="","No","Yes")</f>
        <v>Yes</v>
      </c>
    </row>
    <row r="346" spans="1:21">
      <c r="A346" s="100" t="s">
        <v>1826</v>
      </c>
      <c r="B346" s="101" t="s">
        <v>997</v>
      </c>
      <c r="C346" s="101" t="s">
        <v>1827</v>
      </c>
      <c r="D346" s="101" t="s">
        <v>517</v>
      </c>
      <c r="E346" s="101" t="s">
        <v>403</v>
      </c>
      <c r="F346" s="102">
        <v>46101</v>
      </c>
      <c r="G346" s="83" t="s">
        <v>393</v>
      </c>
      <c r="H346" s="102">
        <v>46124</v>
      </c>
      <c r="I346" s="101" t="s">
        <v>192</v>
      </c>
      <c r="J346" s="101" t="s">
        <v>227</v>
      </c>
      <c r="K346" s="102"/>
      <c r="L346" s="83" t="s">
        <v>404</v>
      </c>
      <c r="M346" s="102"/>
      <c r="N346" s="101"/>
      <c r="O346" s="101"/>
      <c r="P346" s="83">
        <f t="shared" ca="1" si="20"/>
        <v>44</v>
      </c>
      <c r="Q346" s="83" t="str">
        <f t="shared" ca="1" si="21"/>
        <v>Stale</v>
      </c>
      <c r="R346" s="83" t="str">
        <f t="shared" ca="1" si="22"/>
        <v>Delayed</v>
      </c>
      <c r="S346" s="83" t="str">
        <f t="shared" si="23"/>
        <v/>
      </c>
      <c r="T346" s="101" t="str">
        <f>IFERROR(_xlfn.XLOOKUP(tblRecruitmentPipeline[[#This Row],[REQ_ID]],tblRequisitions[REQ_ID],tblRequisitions[DEPARTMENT],""),"")</f>
        <v>Finance</v>
      </c>
      <c r="U346" s="110" t="str">
        <f>IF(tblRecruitmentPipeline[[#This Row],[REQ_DEPARTMENT]]="","No","Yes")</f>
        <v>Yes</v>
      </c>
    </row>
    <row r="347" spans="1:21">
      <c r="A347" s="100" t="s">
        <v>1828</v>
      </c>
      <c r="B347" s="101" t="s">
        <v>998</v>
      </c>
      <c r="C347" s="101" t="s">
        <v>1829</v>
      </c>
      <c r="D347" s="101" t="s">
        <v>1830</v>
      </c>
      <c r="E347" s="101" t="s">
        <v>414</v>
      </c>
      <c r="F347" s="102">
        <v>45744</v>
      </c>
      <c r="G347" s="83" t="s">
        <v>413</v>
      </c>
      <c r="H347" s="102">
        <v>45774</v>
      </c>
      <c r="I347" s="101" t="s">
        <v>942</v>
      </c>
      <c r="J347" s="101" t="s">
        <v>36</v>
      </c>
      <c r="K347" s="102"/>
      <c r="L347" s="83" t="s">
        <v>404</v>
      </c>
      <c r="M347" s="102"/>
      <c r="N347" s="101" t="s">
        <v>1078</v>
      </c>
      <c r="O347" s="101"/>
      <c r="P347" s="83">
        <f t="shared" ca="1" si="20"/>
        <v>30</v>
      </c>
      <c r="Q347" s="83" t="str">
        <f t="shared" si="21"/>
        <v>Closed</v>
      </c>
      <c r="R347" s="83" t="str">
        <f t="shared" si="22"/>
        <v>Closed</v>
      </c>
      <c r="S347" s="83" t="str">
        <f t="shared" si="23"/>
        <v/>
      </c>
      <c r="T347" s="101" t="str">
        <f>IFERROR(_xlfn.XLOOKUP(tblRecruitmentPipeline[[#This Row],[REQ_ID]],tblRequisitions[REQ_ID],tblRequisitions[DEPARTMENT],""),"")</f>
        <v>Information Technology</v>
      </c>
      <c r="U347" s="110" t="str">
        <f>IF(tblRecruitmentPipeline[[#This Row],[REQ_DEPARTMENT]]="","No","Yes")</f>
        <v>Yes</v>
      </c>
    </row>
    <row r="348" spans="1:21">
      <c r="A348" s="100" t="s">
        <v>1831</v>
      </c>
      <c r="B348" s="101" t="s">
        <v>998</v>
      </c>
      <c r="C348" s="101" t="s">
        <v>1832</v>
      </c>
      <c r="D348" s="101" t="s">
        <v>1833</v>
      </c>
      <c r="E348" s="101" t="s">
        <v>414</v>
      </c>
      <c r="F348" s="102">
        <v>45721</v>
      </c>
      <c r="G348" s="83" t="s">
        <v>413</v>
      </c>
      <c r="H348" s="102">
        <v>45737</v>
      </c>
      <c r="I348" s="101" t="s">
        <v>942</v>
      </c>
      <c r="J348" s="101" t="s">
        <v>1030</v>
      </c>
      <c r="K348" s="102"/>
      <c r="L348" s="83" t="s">
        <v>404</v>
      </c>
      <c r="M348" s="102"/>
      <c r="N348" s="101" t="s">
        <v>1078</v>
      </c>
      <c r="O348" s="101"/>
      <c r="P348" s="83">
        <f t="shared" ca="1" si="20"/>
        <v>16</v>
      </c>
      <c r="Q348" s="83" t="str">
        <f t="shared" si="21"/>
        <v>Closed</v>
      </c>
      <c r="R348" s="83" t="str">
        <f t="shared" si="22"/>
        <v>Closed</v>
      </c>
      <c r="S348" s="83" t="str">
        <f t="shared" si="23"/>
        <v/>
      </c>
      <c r="T348" s="101" t="str">
        <f>IFERROR(_xlfn.XLOOKUP(tblRecruitmentPipeline[[#This Row],[REQ_ID]],tblRequisitions[REQ_ID],tblRequisitions[DEPARTMENT],""),"")</f>
        <v>Information Technology</v>
      </c>
      <c r="U348" s="110" t="str">
        <f>IF(tblRecruitmentPipeline[[#This Row],[REQ_DEPARTMENT]]="","No","Yes")</f>
        <v>Yes</v>
      </c>
    </row>
    <row r="349" spans="1:21">
      <c r="A349" s="100" t="s">
        <v>1834</v>
      </c>
      <c r="B349" s="101" t="s">
        <v>998</v>
      </c>
      <c r="C349" s="101" t="s">
        <v>1835</v>
      </c>
      <c r="D349" s="101" t="s">
        <v>684</v>
      </c>
      <c r="E349" s="101" t="s">
        <v>412</v>
      </c>
      <c r="F349" s="102">
        <v>45720</v>
      </c>
      <c r="G349" s="83" t="s">
        <v>393</v>
      </c>
      <c r="H349" s="102">
        <v>45751</v>
      </c>
      <c r="I349" s="101" t="s">
        <v>942</v>
      </c>
      <c r="J349" s="101" t="s">
        <v>227</v>
      </c>
      <c r="K349" s="102"/>
      <c r="L349" s="83" t="s">
        <v>404</v>
      </c>
      <c r="M349" s="102"/>
      <c r="N349" s="101"/>
      <c r="O349" s="101"/>
      <c r="P349" s="83">
        <f t="shared" ca="1" si="20"/>
        <v>425</v>
      </c>
      <c r="Q349" s="83" t="str">
        <f t="shared" ca="1" si="21"/>
        <v>Stale</v>
      </c>
      <c r="R349" s="83" t="str">
        <f t="shared" ca="1" si="22"/>
        <v>Delayed</v>
      </c>
      <c r="S349" s="83" t="str">
        <f t="shared" si="23"/>
        <v/>
      </c>
      <c r="T349" s="101" t="str">
        <f>IFERROR(_xlfn.XLOOKUP(tblRecruitmentPipeline[[#This Row],[REQ_ID]],tblRequisitions[REQ_ID],tblRequisitions[DEPARTMENT],""),"")</f>
        <v>Information Technology</v>
      </c>
      <c r="U349" s="110" t="str">
        <f>IF(tblRecruitmentPipeline[[#This Row],[REQ_DEPARTMENT]]="","No","Yes")</f>
        <v>Yes</v>
      </c>
    </row>
    <row r="350" spans="1:21">
      <c r="A350" s="100" t="s">
        <v>1836</v>
      </c>
      <c r="B350" s="101" t="s">
        <v>998</v>
      </c>
      <c r="C350" s="101" t="s">
        <v>1837</v>
      </c>
      <c r="D350" s="101" t="s">
        <v>1479</v>
      </c>
      <c r="E350" s="101" t="s">
        <v>384</v>
      </c>
      <c r="F350" s="102">
        <v>45729</v>
      </c>
      <c r="G350" s="83" t="s">
        <v>382</v>
      </c>
      <c r="H350" s="102">
        <v>45742</v>
      </c>
      <c r="I350" s="101" t="s">
        <v>942</v>
      </c>
      <c r="J350" s="101" t="s">
        <v>1030</v>
      </c>
      <c r="K350" s="102"/>
      <c r="L350" s="83" t="s">
        <v>404</v>
      </c>
      <c r="M350" s="102"/>
      <c r="N350" s="101"/>
      <c r="O350" s="101"/>
      <c r="P350" s="83">
        <f t="shared" ca="1" si="20"/>
        <v>416</v>
      </c>
      <c r="Q350" s="83" t="str">
        <f t="shared" ca="1" si="21"/>
        <v>Stale</v>
      </c>
      <c r="R350" s="83" t="str">
        <f t="shared" ca="1" si="22"/>
        <v>Delayed</v>
      </c>
      <c r="S350" s="83" t="str">
        <f t="shared" si="23"/>
        <v/>
      </c>
      <c r="T350" s="101" t="str">
        <f>IFERROR(_xlfn.XLOOKUP(tblRecruitmentPipeline[[#This Row],[REQ_ID]],tblRequisitions[REQ_ID],tblRequisitions[DEPARTMENT],""),"")</f>
        <v>Information Technology</v>
      </c>
      <c r="U350" s="110" t="str">
        <f>IF(tblRecruitmentPipeline[[#This Row],[REQ_DEPARTMENT]]="","No","Yes")</f>
        <v>Yes</v>
      </c>
    </row>
    <row r="351" spans="1:21">
      <c r="A351" s="100" t="s">
        <v>1838</v>
      </c>
      <c r="B351" s="101" t="s">
        <v>998</v>
      </c>
      <c r="C351" s="101" t="s">
        <v>1839</v>
      </c>
      <c r="D351" s="101" t="s">
        <v>1091</v>
      </c>
      <c r="E351" s="101" t="s">
        <v>403</v>
      </c>
      <c r="F351" s="102">
        <v>45718</v>
      </c>
      <c r="G351" s="83" t="s">
        <v>372</v>
      </c>
      <c r="H351" s="102">
        <v>45740</v>
      </c>
      <c r="I351" s="101" t="s">
        <v>942</v>
      </c>
      <c r="J351" s="101" t="s">
        <v>36</v>
      </c>
      <c r="K351" s="102"/>
      <c r="L351" s="83" t="s">
        <v>404</v>
      </c>
      <c r="M351" s="102"/>
      <c r="N351" s="101"/>
      <c r="O351" s="101"/>
      <c r="P351" s="83">
        <f t="shared" ca="1" si="20"/>
        <v>427</v>
      </c>
      <c r="Q351" s="83" t="str">
        <f t="shared" ca="1" si="21"/>
        <v>Stale</v>
      </c>
      <c r="R351" s="83" t="str">
        <f t="shared" ca="1" si="22"/>
        <v>Delayed</v>
      </c>
      <c r="S351" s="83" t="str">
        <f t="shared" si="23"/>
        <v/>
      </c>
      <c r="T351" s="101" t="str">
        <f>IFERROR(_xlfn.XLOOKUP(tblRecruitmentPipeline[[#This Row],[REQ_ID]],tblRequisitions[REQ_ID],tblRequisitions[DEPARTMENT],""),"")</f>
        <v>Information Technology</v>
      </c>
      <c r="U351" s="110" t="str">
        <f>IF(tblRecruitmentPipeline[[#This Row],[REQ_DEPARTMENT]]="","No","Yes")</f>
        <v>Yes</v>
      </c>
    </row>
    <row r="352" spans="1:21">
      <c r="A352" s="100" t="s">
        <v>1840</v>
      </c>
      <c r="B352" s="101" t="s">
        <v>998</v>
      </c>
      <c r="C352" s="101" t="s">
        <v>1841</v>
      </c>
      <c r="D352" s="101" t="s">
        <v>1842</v>
      </c>
      <c r="E352" s="101" t="s">
        <v>412</v>
      </c>
      <c r="F352" s="102">
        <v>45734</v>
      </c>
      <c r="G352" s="83" t="s">
        <v>382</v>
      </c>
      <c r="H352" s="102">
        <v>45771</v>
      </c>
      <c r="I352" s="101" t="s">
        <v>942</v>
      </c>
      <c r="J352" s="101" t="s">
        <v>36</v>
      </c>
      <c r="K352" s="102"/>
      <c r="L352" s="83" t="s">
        <v>404</v>
      </c>
      <c r="M352" s="102"/>
      <c r="N352" s="101"/>
      <c r="O352" s="101"/>
      <c r="P352" s="83">
        <f t="shared" ca="1" si="20"/>
        <v>411</v>
      </c>
      <c r="Q352" s="83" t="str">
        <f t="shared" ca="1" si="21"/>
        <v>Stale</v>
      </c>
      <c r="R352" s="83" t="str">
        <f t="shared" ca="1" si="22"/>
        <v>Delayed</v>
      </c>
      <c r="S352" s="83" t="str">
        <f t="shared" si="23"/>
        <v/>
      </c>
      <c r="T352" s="101" t="str">
        <f>IFERROR(_xlfn.XLOOKUP(tblRecruitmentPipeline[[#This Row],[REQ_ID]],tblRequisitions[REQ_ID],tblRequisitions[DEPARTMENT],""),"")</f>
        <v>Information Technology</v>
      </c>
      <c r="U352" s="110" t="str">
        <f>IF(tblRecruitmentPipeline[[#This Row],[REQ_DEPARTMENT]]="","No","Yes")</f>
        <v>Yes</v>
      </c>
    </row>
    <row r="353" spans="1:21">
      <c r="A353" s="100" t="s">
        <v>1843</v>
      </c>
      <c r="B353" s="101" t="s">
        <v>998</v>
      </c>
      <c r="C353" s="101" t="s">
        <v>1844</v>
      </c>
      <c r="D353" s="101" t="s">
        <v>1599</v>
      </c>
      <c r="E353" s="101" t="s">
        <v>213</v>
      </c>
      <c r="F353" s="102">
        <v>45733</v>
      </c>
      <c r="G353" s="83" t="s">
        <v>382</v>
      </c>
      <c r="H353" s="102">
        <v>45763</v>
      </c>
      <c r="I353" s="101" t="s">
        <v>942</v>
      </c>
      <c r="J353" s="101" t="s">
        <v>36</v>
      </c>
      <c r="K353" s="102"/>
      <c r="L353" s="83" t="s">
        <v>404</v>
      </c>
      <c r="M353" s="102"/>
      <c r="N353" s="101"/>
      <c r="O353" s="101"/>
      <c r="P353" s="83">
        <f t="shared" ca="1" si="20"/>
        <v>412</v>
      </c>
      <c r="Q353" s="83" t="str">
        <f t="shared" ca="1" si="21"/>
        <v>Stale</v>
      </c>
      <c r="R353" s="83" t="str">
        <f t="shared" ca="1" si="22"/>
        <v>Delayed</v>
      </c>
      <c r="S353" s="83" t="str">
        <f t="shared" si="23"/>
        <v/>
      </c>
      <c r="T353" s="101" t="str">
        <f>IFERROR(_xlfn.XLOOKUP(tblRecruitmentPipeline[[#This Row],[REQ_ID]],tblRequisitions[REQ_ID],tblRequisitions[DEPARTMENT],""),"")</f>
        <v>Information Technology</v>
      </c>
      <c r="U353" s="110" t="str">
        <f>IF(tblRecruitmentPipeline[[#This Row],[REQ_DEPARTMENT]]="","No","Yes")</f>
        <v>Yes</v>
      </c>
    </row>
    <row r="354" spans="1:21">
      <c r="A354" s="100" t="s">
        <v>1845</v>
      </c>
      <c r="B354" s="101" t="s">
        <v>998</v>
      </c>
      <c r="C354" s="101" t="s">
        <v>1846</v>
      </c>
      <c r="D354" s="101" t="s">
        <v>1084</v>
      </c>
      <c r="E354" s="101" t="s">
        <v>261</v>
      </c>
      <c r="F354" s="102">
        <v>45718</v>
      </c>
      <c r="G354" s="83" t="s">
        <v>413</v>
      </c>
      <c r="H354" s="102">
        <v>45745</v>
      </c>
      <c r="I354" s="101" t="s">
        <v>942</v>
      </c>
      <c r="J354" s="101" t="s">
        <v>1030</v>
      </c>
      <c r="K354" s="102"/>
      <c r="L354" s="83" t="s">
        <v>404</v>
      </c>
      <c r="M354" s="102"/>
      <c r="N354" s="101" t="s">
        <v>1078</v>
      </c>
      <c r="O354" s="101"/>
      <c r="P354" s="83">
        <f t="shared" ca="1" si="20"/>
        <v>27</v>
      </c>
      <c r="Q354" s="83" t="str">
        <f t="shared" si="21"/>
        <v>Closed</v>
      </c>
      <c r="R354" s="83" t="str">
        <f t="shared" si="22"/>
        <v>Closed</v>
      </c>
      <c r="S354" s="83" t="str">
        <f t="shared" si="23"/>
        <v/>
      </c>
      <c r="T354" s="101" t="str">
        <f>IFERROR(_xlfn.XLOOKUP(tblRecruitmentPipeline[[#This Row],[REQ_ID]],tblRequisitions[REQ_ID],tblRequisitions[DEPARTMENT],""),"")</f>
        <v>Information Technology</v>
      </c>
      <c r="U354" s="110" t="str">
        <f>IF(tblRecruitmentPipeline[[#This Row],[REQ_DEPARTMENT]]="","No","Yes")</f>
        <v>Yes</v>
      </c>
    </row>
    <row r="355" spans="1:21">
      <c r="A355" s="100" t="s">
        <v>1847</v>
      </c>
      <c r="B355" s="101" t="s">
        <v>999</v>
      </c>
      <c r="C355" s="101" t="s">
        <v>1848</v>
      </c>
      <c r="D355" s="101" t="s">
        <v>1830</v>
      </c>
      <c r="E355" s="101" t="s">
        <v>414</v>
      </c>
      <c r="F355" s="102">
        <v>45947</v>
      </c>
      <c r="G355" s="83" t="s">
        <v>219</v>
      </c>
      <c r="H355" s="102">
        <v>45970</v>
      </c>
      <c r="I355" s="101" t="s">
        <v>940</v>
      </c>
      <c r="J355" s="101" t="s">
        <v>227</v>
      </c>
      <c r="K355" s="102">
        <v>45967</v>
      </c>
      <c r="L355" s="83" t="s">
        <v>231</v>
      </c>
      <c r="M355" s="102">
        <v>45981</v>
      </c>
      <c r="N355" s="101"/>
      <c r="O355" s="101"/>
      <c r="P355" s="83">
        <f t="shared" ca="1" si="20"/>
        <v>34</v>
      </c>
      <c r="Q355" s="83" t="str">
        <f t="shared" si="21"/>
        <v>Closed</v>
      </c>
      <c r="R355" s="83" t="str">
        <f t="shared" si="22"/>
        <v>Closed</v>
      </c>
      <c r="S355" s="83">
        <f t="shared" si="23"/>
        <v>34</v>
      </c>
      <c r="T355" s="101" t="str">
        <f>IFERROR(_xlfn.XLOOKUP(tblRecruitmentPipeline[[#This Row],[REQ_ID]],tblRequisitions[REQ_ID],tblRequisitions[DEPARTMENT],""),"")</f>
        <v>Branch Operations</v>
      </c>
      <c r="U355" s="110" t="str">
        <f>IF(tblRecruitmentPipeline[[#This Row],[REQ_DEPARTMENT]]="","No","Yes")</f>
        <v>Yes</v>
      </c>
    </row>
    <row r="356" spans="1:21">
      <c r="A356" s="100" t="s">
        <v>1849</v>
      </c>
      <c r="B356" s="101" t="s">
        <v>999</v>
      </c>
      <c r="C356" s="101" t="s">
        <v>1850</v>
      </c>
      <c r="D356" s="101" t="s">
        <v>732</v>
      </c>
      <c r="E356" s="101" t="s">
        <v>261</v>
      </c>
      <c r="F356" s="102">
        <v>45941</v>
      </c>
      <c r="G356" s="83" t="s">
        <v>219</v>
      </c>
      <c r="H356" s="102">
        <v>45950</v>
      </c>
      <c r="I356" s="101" t="s">
        <v>940</v>
      </c>
      <c r="J356" s="101" t="s">
        <v>1030</v>
      </c>
      <c r="K356" s="102">
        <v>45946</v>
      </c>
      <c r="L356" s="83" t="s">
        <v>231</v>
      </c>
      <c r="M356" s="102">
        <v>45953</v>
      </c>
      <c r="N356" s="101"/>
      <c r="O356" s="101"/>
      <c r="P356" s="83">
        <f t="shared" ca="1" si="20"/>
        <v>12</v>
      </c>
      <c r="Q356" s="83" t="str">
        <f t="shared" si="21"/>
        <v>Closed</v>
      </c>
      <c r="R356" s="83" t="str">
        <f t="shared" si="22"/>
        <v>Closed</v>
      </c>
      <c r="S356" s="83">
        <f t="shared" si="23"/>
        <v>12</v>
      </c>
      <c r="T356" s="101" t="str">
        <f>IFERROR(_xlfn.XLOOKUP(tblRecruitmentPipeline[[#This Row],[REQ_ID]],tblRequisitions[REQ_ID],tblRequisitions[DEPARTMENT],""),"")</f>
        <v>Branch Operations</v>
      </c>
      <c r="U356" s="110" t="str">
        <f>IF(tblRecruitmentPipeline[[#This Row],[REQ_DEPARTMENT]]="","No","Yes")</f>
        <v>Yes</v>
      </c>
    </row>
    <row r="357" spans="1:21">
      <c r="A357" s="100" t="s">
        <v>1851</v>
      </c>
      <c r="B357" s="101" t="s">
        <v>999</v>
      </c>
      <c r="C357" s="101" t="s">
        <v>1852</v>
      </c>
      <c r="D357" s="101" t="s">
        <v>707</v>
      </c>
      <c r="E357" s="101" t="s">
        <v>375</v>
      </c>
      <c r="F357" s="102">
        <v>45938</v>
      </c>
      <c r="G357" s="83" t="s">
        <v>409</v>
      </c>
      <c r="H357" s="102">
        <v>45954</v>
      </c>
      <c r="I357" s="101" t="s">
        <v>940</v>
      </c>
      <c r="J357" s="101" t="s">
        <v>227</v>
      </c>
      <c r="K357" s="102">
        <v>45950</v>
      </c>
      <c r="L357" s="83" t="s">
        <v>385</v>
      </c>
      <c r="M357" s="102"/>
      <c r="N357" s="101"/>
      <c r="O357" s="101"/>
      <c r="P357" s="83">
        <f t="shared" ca="1" si="20"/>
        <v>207</v>
      </c>
      <c r="Q357" s="83" t="str">
        <f t="shared" ca="1" si="21"/>
        <v>Stale</v>
      </c>
      <c r="R357" s="83" t="str">
        <f t="shared" ca="1" si="22"/>
        <v>Delayed</v>
      </c>
      <c r="S357" s="83" t="str">
        <f t="shared" si="23"/>
        <v/>
      </c>
      <c r="T357" s="101" t="str">
        <f>IFERROR(_xlfn.XLOOKUP(tblRecruitmentPipeline[[#This Row],[REQ_ID]],tblRequisitions[REQ_ID],tblRequisitions[DEPARTMENT],""),"")</f>
        <v>Branch Operations</v>
      </c>
      <c r="U357" s="110" t="str">
        <f>IF(tblRecruitmentPipeline[[#This Row],[REQ_DEPARTMENT]]="","No","Yes")</f>
        <v>Yes</v>
      </c>
    </row>
    <row r="358" spans="1:21">
      <c r="A358" s="100" t="s">
        <v>1853</v>
      </c>
      <c r="B358" s="101" t="s">
        <v>1000</v>
      </c>
      <c r="C358" s="101" t="s">
        <v>1854</v>
      </c>
      <c r="D358" s="101" t="s">
        <v>692</v>
      </c>
      <c r="E358" s="101" t="s">
        <v>213</v>
      </c>
      <c r="F358" s="102">
        <v>46113</v>
      </c>
      <c r="G358" s="83" t="s">
        <v>219</v>
      </c>
      <c r="H358" s="102">
        <v>46129</v>
      </c>
      <c r="I358" s="101" t="s">
        <v>942</v>
      </c>
      <c r="J358" s="101" t="s">
        <v>36</v>
      </c>
      <c r="K358" s="102">
        <v>46126</v>
      </c>
      <c r="L358" s="83" t="s">
        <v>231</v>
      </c>
      <c r="M358" s="102">
        <v>46136</v>
      </c>
      <c r="N358" s="101"/>
      <c r="O358" s="101"/>
      <c r="P358" s="83">
        <f t="shared" ca="1" si="20"/>
        <v>23</v>
      </c>
      <c r="Q358" s="83" t="str">
        <f t="shared" si="21"/>
        <v>Closed</v>
      </c>
      <c r="R358" s="83" t="str">
        <f t="shared" si="22"/>
        <v>Closed</v>
      </c>
      <c r="S358" s="83">
        <f t="shared" si="23"/>
        <v>23</v>
      </c>
      <c r="T358" s="101" t="str">
        <f>IFERROR(_xlfn.XLOOKUP(tblRecruitmentPipeline[[#This Row],[REQ_ID]],tblRequisitions[REQ_ID],tblRequisitions[DEPARTMENT],""),"")</f>
        <v>Collections</v>
      </c>
      <c r="U358" s="110" t="str">
        <f>IF(tblRecruitmentPipeline[[#This Row],[REQ_DEPARTMENT]]="","No","Yes")</f>
        <v>Yes</v>
      </c>
    </row>
    <row r="359" spans="1:21">
      <c r="A359" s="100" t="s">
        <v>1855</v>
      </c>
      <c r="B359" s="101" t="s">
        <v>1000</v>
      </c>
      <c r="C359" s="101" t="s">
        <v>1856</v>
      </c>
      <c r="D359" s="101" t="s">
        <v>1857</v>
      </c>
      <c r="E359" s="101" t="s">
        <v>213</v>
      </c>
      <c r="F359" s="102">
        <v>46106</v>
      </c>
      <c r="G359" s="83" t="s">
        <v>418</v>
      </c>
      <c r="H359" s="102">
        <v>46133</v>
      </c>
      <c r="I359" s="101" t="s">
        <v>942</v>
      </c>
      <c r="J359" s="101" t="s">
        <v>227</v>
      </c>
      <c r="K359" s="102"/>
      <c r="L359" s="83" t="s">
        <v>404</v>
      </c>
      <c r="M359" s="102"/>
      <c r="N359" s="101"/>
      <c r="O359" s="101" t="s">
        <v>1690</v>
      </c>
      <c r="P359" s="83">
        <f t="shared" ca="1" si="20"/>
        <v>27</v>
      </c>
      <c r="Q359" s="83" t="str">
        <f t="shared" si="21"/>
        <v>Closed</v>
      </c>
      <c r="R359" s="83" t="str">
        <f t="shared" si="22"/>
        <v>Closed</v>
      </c>
      <c r="S359" s="83" t="str">
        <f t="shared" si="23"/>
        <v/>
      </c>
      <c r="T359" s="101" t="str">
        <f>IFERROR(_xlfn.XLOOKUP(tblRecruitmentPipeline[[#This Row],[REQ_ID]],tblRequisitions[REQ_ID],tblRequisitions[DEPARTMENT],""),"")</f>
        <v>Collections</v>
      </c>
      <c r="U359" s="110" t="str">
        <f>IF(tblRecruitmentPipeline[[#This Row],[REQ_DEPARTMENT]]="","No","Yes")</f>
        <v>Yes</v>
      </c>
    </row>
    <row r="360" spans="1:21">
      <c r="A360" s="100" t="s">
        <v>1858</v>
      </c>
      <c r="B360" s="101" t="s">
        <v>1000</v>
      </c>
      <c r="C360" s="101" t="s">
        <v>1859</v>
      </c>
      <c r="D360" s="101" t="s">
        <v>1860</v>
      </c>
      <c r="E360" s="101" t="s">
        <v>412</v>
      </c>
      <c r="F360" s="102">
        <v>46133</v>
      </c>
      <c r="G360" s="83" t="s">
        <v>413</v>
      </c>
      <c r="H360" s="102">
        <v>46177</v>
      </c>
      <c r="I360" s="101" t="s">
        <v>942</v>
      </c>
      <c r="J360" s="101" t="s">
        <v>36</v>
      </c>
      <c r="K360" s="102"/>
      <c r="L360" s="83" t="s">
        <v>404</v>
      </c>
      <c r="M360" s="102"/>
      <c r="N360" s="101" t="s">
        <v>1085</v>
      </c>
      <c r="O360" s="101"/>
      <c r="P360" s="83">
        <f t="shared" ca="1" si="20"/>
        <v>44</v>
      </c>
      <c r="Q360" s="83" t="str">
        <f t="shared" si="21"/>
        <v>Closed</v>
      </c>
      <c r="R360" s="83" t="str">
        <f t="shared" si="22"/>
        <v>Closed</v>
      </c>
      <c r="S360" s="83" t="str">
        <f t="shared" si="23"/>
        <v/>
      </c>
      <c r="T360" s="101" t="str">
        <f>IFERROR(_xlfn.XLOOKUP(tblRecruitmentPipeline[[#This Row],[REQ_ID]],tblRequisitions[REQ_ID],tblRequisitions[DEPARTMENT],""),"")</f>
        <v>Collections</v>
      </c>
      <c r="U360" s="110" t="str">
        <f>IF(tblRecruitmentPipeline[[#This Row],[REQ_DEPARTMENT]]="","No","Yes")</f>
        <v>Yes</v>
      </c>
    </row>
    <row r="361" spans="1:21">
      <c r="A361" s="100" t="s">
        <v>1861</v>
      </c>
      <c r="B361" s="101" t="s">
        <v>1000</v>
      </c>
      <c r="C361" s="101" t="s">
        <v>1862</v>
      </c>
      <c r="D361" s="101" t="s">
        <v>604</v>
      </c>
      <c r="E361" s="101" t="s">
        <v>261</v>
      </c>
      <c r="F361" s="102">
        <v>46124</v>
      </c>
      <c r="G361" s="83" t="s">
        <v>393</v>
      </c>
      <c r="H361" s="102">
        <v>46126</v>
      </c>
      <c r="I361" s="101" t="s">
        <v>942</v>
      </c>
      <c r="J361" s="101" t="s">
        <v>36</v>
      </c>
      <c r="K361" s="102"/>
      <c r="L361" s="83" t="s">
        <v>404</v>
      </c>
      <c r="M361" s="102"/>
      <c r="N361" s="101"/>
      <c r="O361" s="101"/>
      <c r="P361" s="83">
        <f t="shared" ca="1" si="20"/>
        <v>21</v>
      </c>
      <c r="Q361" s="83" t="str">
        <f t="shared" ca="1" si="21"/>
        <v>Active</v>
      </c>
      <c r="R361" s="83" t="str">
        <f t="shared" ca="1" si="22"/>
        <v>At Risk</v>
      </c>
      <c r="S361" s="83" t="str">
        <f t="shared" si="23"/>
        <v/>
      </c>
      <c r="T361" s="101" t="str">
        <f>IFERROR(_xlfn.XLOOKUP(tblRecruitmentPipeline[[#This Row],[REQ_ID]],tblRequisitions[REQ_ID],tblRequisitions[DEPARTMENT],""),"")</f>
        <v>Collections</v>
      </c>
      <c r="U361" s="110" t="str">
        <f>IF(tblRecruitmentPipeline[[#This Row],[REQ_DEPARTMENT]]="","No","Yes")</f>
        <v>Yes</v>
      </c>
    </row>
    <row r="362" spans="1:21">
      <c r="A362" s="100" t="s">
        <v>1863</v>
      </c>
      <c r="B362" s="101" t="s">
        <v>1000</v>
      </c>
      <c r="C362" s="101" t="s">
        <v>1864</v>
      </c>
      <c r="D362" s="101" t="s">
        <v>1326</v>
      </c>
      <c r="E362" s="101" t="s">
        <v>412</v>
      </c>
      <c r="F362" s="102">
        <v>46129</v>
      </c>
      <c r="G362" s="83" t="s">
        <v>413</v>
      </c>
      <c r="H362" s="102">
        <v>46136</v>
      </c>
      <c r="I362" s="101" t="s">
        <v>942</v>
      </c>
      <c r="J362" s="101" t="s">
        <v>36</v>
      </c>
      <c r="K362" s="102"/>
      <c r="L362" s="83" t="s">
        <v>404</v>
      </c>
      <c r="M362" s="102"/>
      <c r="N362" s="101" t="s">
        <v>1075</v>
      </c>
      <c r="O362" s="101"/>
      <c r="P362" s="83">
        <f t="shared" ca="1" si="20"/>
        <v>7</v>
      </c>
      <c r="Q362" s="83" t="str">
        <f t="shared" si="21"/>
        <v>Closed</v>
      </c>
      <c r="R362" s="83" t="str">
        <f t="shared" si="22"/>
        <v>Closed</v>
      </c>
      <c r="S362" s="83" t="str">
        <f t="shared" si="23"/>
        <v/>
      </c>
      <c r="T362" s="101" t="str">
        <f>IFERROR(_xlfn.XLOOKUP(tblRecruitmentPipeline[[#This Row],[REQ_ID]],tblRequisitions[REQ_ID],tblRequisitions[DEPARTMENT],""),"")</f>
        <v>Collections</v>
      </c>
      <c r="U362" s="110" t="str">
        <f>IF(tblRecruitmentPipeline[[#This Row],[REQ_DEPARTMENT]]="","No","Yes")</f>
        <v>Yes</v>
      </c>
    </row>
    <row r="363" spans="1:21">
      <c r="A363" s="100" t="s">
        <v>1865</v>
      </c>
      <c r="B363" s="101" t="s">
        <v>1000</v>
      </c>
      <c r="C363" s="101" t="s">
        <v>1866</v>
      </c>
      <c r="D363" s="101" t="s">
        <v>1867</v>
      </c>
      <c r="E363" s="101" t="s">
        <v>384</v>
      </c>
      <c r="F363" s="102">
        <v>46129</v>
      </c>
      <c r="G363" s="83" t="s">
        <v>393</v>
      </c>
      <c r="H363" s="102">
        <v>46177</v>
      </c>
      <c r="I363" s="101" t="s">
        <v>942</v>
      </c>
      <c r="J363" s="101" t="s">
        <v>227</v>
      </c>
      <c r="K363" s="102"/>
      <c r="L363" s="83" t="s">
        <v>404</v>
      </c>
      <c r="M363" s="102"/>
      <c r="N363" s="101"/>
      <c r="O363" s="101"/>
      <c r="P363" s="83">
        <f t="shared" ca="1" si="20"/>
        <v>16</v>
      </c>
      <c r="Q363" s="83" t="str">
        <f t="shared" ca="1" si="21"/>
        <v>Active</v>
      </c>
      <c r="R363" s="83" t="str">
        <f t="shared" ca="1" si="22"/>
        <v>At Risk</v>
      </c>
      <c r="S363" s="83" t="str">
        <f t="shared" si="23"/>
        <v/>
      </c>
      <c r="T363" s="101" t="str">
        <f>IFERROR(_xlfn.XLOOKUP(tblRecruitmentPipeline[[#This Row],[REQ_ID]],tblRequisitions[REQ_ID],tblRequisitions[DEPARTMENT],""),"")</f>
        <v>Collections</v>
      </c>
      <c r="U363" s="110" t="str">
        <f>IF(tblRecruitmentPipeline[[#This Row],[REQ_DEPARTMENT]]="","No","Yes")</f>
        <v>Yes</v>
      </c>
    </row>
    <row r="364" spans="1:21">
      <c r="A364" s="100" t="s">
        <v>1868</v>
      </c>
      <c r="B364" s="101" t="s">
        <v>1000</v>
      </c>
      <c r="C364" s="101" t="s">
        <v>1869</v>
      </c>
      <c r="D364" s="101" t="s">
        <v>1857</v>
      </c>
      <c r="E364" s="101" t="s">
        <v>375</v>
      </c>
      <c r="F364" s="102">
        <v>46106</v>
      </c>
      <c r="G364" s="83" t="s">
        <v>382</v>
      </c>
      <c r="H364" s="102">
        <v>46127</v>
      </c>
      <c r="I364" s="101" t="s">
        <v>942</v>
      </c>
      <c r="J364" s="101" t="s">
        <v>227</v>
      </c>
      <c r="K364" s="102"/>
      <c r="L364" s="83" t="s">
        <v>404</v>
      </c>
      <c r="M364" s="102"/>
      <c r="N364" s="101"/>
      <c r="O364" s="101"/>
      <c r="P364" s="83">
        <f t="shared" ca="1" si="20"/>
        <v>39</v>
      </c>
      <c r="Q364" s="83" t="str">
        <f t="shared" ca="1" si="21"/>
        <v>Stale</v>
      </c>
      <c r="R364" s="83" t="str">
        <f t="shared" ca="1" si="22"/>
        <v>Delayed</v>
      </c>
      <c r="S364" s="83" t="str">
        <f t="shared" si="23"/>
        <v/>
      </c>
      <c r="T364" s="101" t="str">
        <f>IFERROR(_xlfn.XLOOKUP(tblRecruitmentPipeline[[#This Row],[REQ_ID]],tblRequisitions[REQ_ID],tblRequisitions[DEPARTMENT],""),"")</f>
        <v>Collections</v>
      </c>
      <c r="U364" s="110" t="str">
        <f>IF(tblRecruitmentPipeline[[#This Row],[REQ_DEPARTMENT]]="","No","Yes")</f>
        <v>Yes</v>
      </c>
    </row>
    <row r="365" spans="1:21">
      <c r="A365" s="100" t="s">
        <v>1870</v>
      </c>
      <c r="B365" s="101" t="s">
        <v>1000</v>
      </c>
      <c r="C365" s="101" t="s">
        <v>1871</v>
      </c>
      <c r="D365" s="101" t="s">
        <v>1098</v>
      </c>
      <c r="E365" s="101" t="s">
        <v>403</v>
      </c>
      <c r="F365" s="102">
        <v>46125</v>
      </c>
      <c r="G365" s="83" t="s">
        <v>372</v>
      </c>
      <c r="H365" s="102">
        <v>46153</v>
      </c>
      <c r="I365" s="101" t="s">
        <v>942</v>
      </c>
      <c r="J365" s="101" t="s">
        <v>1030</v>
      </c>
      <c r="K365" s="102"/>
      <c r="L365" s="83" t="s">
        <v>404</v>
      </c>
      <c r="M365" s="102"/>
      <c r="N365" s="101"/>
      <c r="O365" s="101"/>
      <c r="P365" s="83">
        <f t="shared" ca="1" si="20"/>
        <v>20</v>
      </c>
      <c r="Q365" s="83" t="str">
        <f t="shared" ca="1" si="21"/>
        <v>Active</v>
      </c>
      <c r="R365" s="83" t="str">
        <f t="shared" ca="1" si="22"/>
        <v>At Risk</v>
      </c>
      <c r="S365" s="83" t="str">
        <f t="shared" si="23"/>
        <v/>
      </c>
      <c r="T365" s="101" t="str">
        <f>IFERROR(_xlfn.XLOOKUP(tblRecruitmentPipeline[[#This Row],[REQ_ID]],tblRequisitions[REQ_ID],tblRequisitions[DEPARTMENT],""),"")</f>
        <v>Collections</v>
      </c>
      <c r="U365" s="110" t="str">
        <f>IF(tblRecruitmentPipeline[[#This Row],[REQ_DEPARTMENT]]="","No","Yes")</f>
        <v>Yes</v>
      </c>
    </row>
    <row r="366" spans="1:21">
      <c r="A366" s="100" t="s">
        <v>1872</v>
      </c>
      <c r="B366" s="101" t="s">
        <v>1001</v>
      </c>
      <c r="C366" s="101" t="s">
        <v>1873</v>
      </c>
      <c r="D366" s="101" t="s">
        <v>566</v>
      </c>
      <c r="E366" s="101" t="s">
        <v>375</v>
      </c>
      <c r="F366" s="102">
        <v>46000</v>
      </c>
      <c r="G366" s="83" t="s">
        <v>382</v>
      </c>
      <c r="H366" s="102">
        <v>46026</v>
      </c>
      <c r="I366" s="101" t="s">
        <v>938</v>
      </c>
      <c r="J366" s="101" t="s">
        <v>36</v>
      </c>
      <c r="K366" s="102"/>
      <c r="L366" s="83" t="s">
        <v>404</v>
      </c>
      <c r="M366" s="102"/>
      <c r="N366" s="101"/>
      <c r="O366" s="101"/>
      <c r="P366" s="83">
        <f t="shared" ca="1" si="20"/>
        <v>145</v>
      </c>
      <c r="Q366" s="83" t="str">
        <f t="shared" ca="1" si="21"/>
        <v>Stale</v>
      </c>
      <c r="R366" s="83" t="str">
        <f t="shared" ca="1" si="22"/>
        <v>Delayed</v>
      </c>
      <c r="S366" s="83" t="str">
        <f t="shared" si="23"/>
        <v/>
      </c>
      <c r="T366" s="101" t="str">
        <f>IFERROR(_xlfn.XLOOKUP(tblRecruitmentPipeline[[#This Row],[REQ_ID]],tblRequisitions[REQ_ID],tblRequisitions[DEPARTMENT],""),"")</f>
        <v>Human Resources</v>
      </c>
      <c r="U366" s="110" t="str">
        <f>IF(tblRecruitmentPipeline[[#This Row],[REQ_DEPARTMENT]]="","No","Yes")</f>
        <v>Yes</v>
      </c>
    </row>
    <row r="367" spans="1:21">
      <c r="A367" s="100" t="s">
        <v>1874</v>
      </c>
      <c r="B367" s="101" t="s">
        <v>1001</v>
      </c>
      <c r="C367" s="101" t="s">
        <v>1875</v>
      </c>
      <c r="D367" s="101" t="s">
        <v>1464</v>
      </c>
      <c r="E367" s="101" t="s">
        <v>375</v>
      </c>
      <c r="F367" s="102">
        <v>46011</v>
      </c>
      <c r="G367" s="83" t="s">
        <v>401</v>
      </c>
      <c r="H367" s="102">
        <v>46060</v>
      </c>
      <c r="I367" s="101" t="s">
        <v>938</v>
      </c>
      <c r="J367" s="101" t="s">
        <v>1030</v>
      </c>
      <c r="K367" s="102"/>
      <c r="L367" s="83" t="s">
        <v>404</v>
      </c>
      <c r="M367" s="102"/>
      <c r="N367" s="101"/>
      <c r="O367" s="101"/>
      <c r="P367" s="83">
        <f t="shared" ca="1" si="20"/>
        <v>134</v>
      </c>
      <c r="Q367" s="83" t="str">
        <f t="shared" ca="1" si="21"/>
        <v>Stale</v>
      </c>
      <c r="R367" s="83" t="str">
        <f t="shared" ca="1" si="22"/>
        <v>Delayed</v>
      </c>
      <c r="S367" s="83" t="str">
        <f t="shared" si="23"/>
        <v/>
      </c>
      <c r="T367" s="101" t="str">
        <f>IFERROR(_xlfn.XLOOKUP(tblRecruitmentPipeline[[#This Row],[REQ_ID]],tblRequisitions[REQ_ID],tblRequisitions[DEPARTMENT],""),"")</f>
        <v>Human Resources</v>
      </c>
      <c r="U367" s="110" t="str">
        <f>IF(tblRecruitmentPipeline[[#This Row],[REQ_DEPARTMENT]]="","No","Yes")</f>
        <v>Yes</v>
      </c>
    </row>
    <row r="368" spans="1:21">
      <c r="A368" s="100" t="s">
        <v>1876</v>
      </c>
      <c r="B368" s="101" t="s">
        <v>1001</v>
      </c>
      <c r="C368" s="101" t="s">
        <v>1877</v>
      </c>
      <c r="D368" s="101" t="s">
        <v>821</v>
      </c>
      <c r="E368" s="101" t="s">
        <v>375</v>
      </c>
      <c r="F368" s="102">
        <v>46001</v>
      </c>
      <c r="G368" s="83" t="s">
        <v>382</v>
      </c>
      <c r="H368" s="102">
        <v>46043</v>
      </c>
      <c r="I368" s="101" t="s">
        <v>938</v>
      </c>
      <c r="J368" s="101" t="s">
        <v>227</v>
      </c>
      <c r="K368" s="102"/>
      <c r="L368" s="83" t="s">
        <v>404</v>
      </c>
      <c r="M368" s="102"/>
      <c r="N368" s="101"/>
      <c r="O368" s="101"/>
      <c r="P368" s="83">
        <f t="shared" ca="1" si="20"/>
        <v>144</v>
      </c>
      <c r="Q368" s="83" t="str">
        <f t="shared" ca="1" si="21"/>
        <v>Stale</v>
      </c>
      <c r="R368" s="83" t="str">
        <f t="shared" ca="1" si="22"/>
        <v>Delayed</v>
      </c>
      <c r="S368" s="83" t="str">
        <f t="shared" si="23"/>
        <v/>
      </c>
      <c r="T368" s="101" t="str">
        <f>IFERROR(_xlfn.XLOOKUP(tblRecruitmentPipeline[[#This Row],[REQ_ID]],tblRequisitions[REQ_ID],tblRequisitions[DEPARTMENT],""),"")</f>
        <v>Human Resources</v>
      </c>
      <c r="U368" s="110" t="str">
        <f>IF(tblRecruitmentPipeline[[#This Row],[REQ_DEPARTMENT]]="","No","Yes")</f>
        <v>Yes</v>
      </c>
    </row>
    <row r="369" spans="1:21">
      <c r="A369" s="100" t="s">
        <v>1878</v>
      </c>
      <c r="B369" s="101" t="s">
        <v>1001</v>
      </c>
      <c r="C369" s="101" t="s">
        <v>1879</v>
      </c>
      <c r="D369" s="101" t="s">
        <v>1663</v>
      </c>
      <c r="E369" s="101" t="s">
        <v>375</v>
      </c>
      <c r="F369" s="102">
        <v>46010</v>
      </c>
      <c r="G369" s="83" t="s">
        <v>393</v>
      </c>
      <c r="H369" s="102">
        <v>46043</v>
      </c>
      <c r="I369" s="101" t="s">
        <v>938</v>
      </c>
      <c r="J369" s="101" t="s">
        <v>1030</v>
      </c>
      <c r="K369" s="102"/>
      <c r="L369" s="83" t="s">
        <v>404</v>
      </c>
      <c r="M369" s="102"/>
      <c r="N369" s="101"/>
      <c r="O369" s="101"/>
      <c r="P369" s="83">
        <f t="shared" ca="1" si="20"/>
        <v>135</v>
      </c>
      <c r="Q369" s="83" t="str">
        <f t="shared" ca="1" si="21"/>
        <v>Stale</v>
      </c>
      <c r="R369" s="83" t="str">
        <f t="shared" ca="1" si="22"/>
        <v>Delayed</v>
      </c>
      <c r="S369" s="83" t="str">
        <f t="shared" si="23"/>
        <v/>
      </c>
      <c r="T369" s="101" t="str">
        <f>IFERROR(_xlfn.XLOOKUP(tblRecruitmentPipeline[[#This Row],[REQ_ID]],tblRequisitions[REQ_ID],tblRequisitions[DEPARTMENT],""),"")</f>
        <v>Human Resources</v>
      </c>
      <c r="U369" s="110" t="str">
        <f>IF(tblRecruitmentPipeline[[#This Row],[REQ_DEPARTMENT]]="","No","Yes")</f>
        <v>Yes</v>
      </c>
    </row>
    <row r="370" spans="1:21">
      <c r="A370" s="100" t="s">
        <v>1880</v>
      </c>
      <c r="B370" s="101" t="s">
        <v>1001</v>
      </c>
      <c r="C370" s="101" t="s">
        <v>1881</v>
      </c>
      <c r="D370" s="101" t="s">
        <v>696</v>
      </c>
      <c r="E370" s="101" t="s">
        <v>213</v>
      </c>
      <c r="F370" s="102">
        <v>46009</v>
      </c>
      <c r="G370" s="83" t="s">
        <v>401</v>
      </c>
      <c r="H370" s="102">
        <v>46015</v>
      </c>
      <c r="I370" s="101" t="s">
        <v>938</v>
      </c>
      <c r="J370" s="101" t="s">
        <v>36</v>
      </c>
      <c r="K370" s="102"/>
      <c r="L370" s="83" t="s">
        <v>404</v>
      </c>
      <c r="M370" s="102"/>
      <c r="N370" s="101"/>
      <c r="O370" s="101"/>
      <c r="P370" s="83">
        <f t="shared" ca="1" si="20"/>
        <v>136</v>
      </c>
      <c r="Q370" s="83" t="str">
        <f t="shared" ca="1" si="21"/>
        <v>Stale</v>
      </c>
      <c r="R370" s="83" t="str">
        <f t="shared" ca="1" si="22"/>
        <v>Delayed</v>
      </c>
      <c r="S370" s="83" t="str">
        <f t="shared" si="23"/>
        <v/>
      </c>
      <c r="T370" s="101" t="str">
        <f>IFERROR(_xlfn.XLOOKUP(tblRecruitmentPipeline[[#This Row],[REQ_ID]],tblRequisitions[REQ_ID],tblRequisitions[DEPARTMENT],""),"")</f>
        <v>Human Resources</v>
      </c>
      <c r="U370" s="110" t="str">
        <f>IF(tblRecruitmentPipeline[[#This Row],[REQ_DEPARTMENT]]="","No","Yes")</f>
        <v>Yes</v>
      </c>
    </row>
    <row r="371" spans="1:21">
      <c r="A371" s="100" t="s">
        <v>1882</v>
      </c>
      <c r="B371" s="101" t="s">
        <v>1001</v>
      </c>
      <c r="C371" s="101" t="s">
        <v>1883</v>
      </c>
      <c r="D371" s="101" t="s">
        <v>500</v>
      </c>
      <c r="E371" s="101" t="s">
        <v>261</v>
      </c>
      <c r="F371" s="102">
        <v>46019</v>
      </c>
      <c r="G371" s="83" t="s">
        <v>413</v>
      </c>
      <c r="H371" s="102">
        <v>46061</v>
      </c>
      <c r="I371" s="101" t="s">
        <v>938</v>
      </c>
      <c r="J371" s="101" t="s">
        <v>227</v>
      </c>
      <c r="K371" s="102"/>
      <c r="L371" s="83" t="s">
        <v>404</v>
      </c>
      <c r="M371" s="102"/>
      <c r="N371" s="101" t="s">
        <v>1078</v>
      </c>
      <c r="O371" s="101"/>
      <c r="P371" s="83">
        <f t="shared" ca="1" si="20"/>
        <v>42</v>
      </c>
      <c r="Q371" s="83" t="str">
        <f t="shared" si="21"/>
        <v>Closed</v>
      </c>
      <c r="R371" s="83" t="str">
        <f t="shared" si="22"/>
        <v>Closed</v>
      </c>
      <c r="S371" s="83" t="str">
        <f t="shared" si="23"/>
        <v/>
      </c>
      <c r="T371" s="101" t="str">
        <f>IFERROR(_xlfn.XLOOKUP(tblRecruitmentPipeline[[#This Row],[REQ_ID]],tblRequisitions[REQ_ID],tblRequisitions[DEPARTMENT],""),"")</f>
        <v>Human Resources</v>
      </c>
      <c r="U371" s="110" t="str">
        <f>IF(tblRecruitmentPipeline[[#This Row],[REQ_DEPARTMENT]]="","No","Yes")</f>
        <v>Yes</v>
      </c>
    </row>
    <row r="372" spans="1:21">
      <c r="A372" s="100" t="s">
        <v>1884</v>
      </c>
      <c r="B372" s="101" t="s">
        <v>1001</v>
      </c>
      <c r="C372" s="101" t="s">
        <v>1885</v>
      </c>
      <c r="D372" s="101" t="s">
        <v>598</v>
      </c>
      <c r="E372" s="101" t="s">
        <v>403</v>
      </c>
      <c r="F372" s="102">
        <v>45993</v>
      </c>
      <c r="G372" s="83" t="s">
        <v>413</v>
      </c>
      <c r="H372" s="102">
        <v>46005</v>
      </c>
      <c r="I372" s="101" t="s">
        <v>938</v>
      </c>
      <c r="J372" s="101" t="s">
        <v>227</v>
      </c>
      <c r="K372" s="102"/>
      <c r="L372" s="83" t="s">
        <v>404</v>
      </c>
      <c r="M372" s="102"/>
      <c r="N372" s="101" t="s">
        <v>1027</v>
      </c>
      <c r="O372" s="101"/>
      <c r="P372" s="83">
        <f t="shared" ca="1" si="20"/>
        <v>12</v>
      </c>
      <c r="Q372" s="83" t="str">
        <f t="shared" si="21"/>
        <v>Closed</v>
      </c>
      <c r="R372" s="83" t="str">
        <f t="shared" si="22"/>
        <v>Closed</v>
      </c>
      <c r="S372" s="83" t="str">
        <f t="shared" si="23"/>
        <v/>
      </c>
      <c r="T372" s="101" t="str">
        <f>IFERROR(_xlfn.XLOOKUP(tblRecruitmentPipeline[[#This Row],[REQ_ID]],tblRequisitions[REQ_ID],tblRequisitions[DEPARTMENT],""),"")</f>
        <v>Human Resources</v>
      </c>
      <c r="U372" s="110" t="str">
        <f>IF(tblRecruitmentPipeline[[#This Row],[REQ_DEPARTMENT]]="","No","Yes")</f>
        <v>Yes</v>
      </c>
    </row>
    <row r="373" spans="1:21">
      <c r="A373" s="100" t="s">
        <v>1886</v>
      </c>
      <c r="B373" s="101" t="s">
        <v>1002</v>
      </c>
      <c r="C373" s="101" t="s">
        <v>1887</v>
      </c>
      <c r="D373" s="101" t="s">
        <v>777</v>
      </c>
      <c r="E373" s="101" t="s">
        <v>375</v>
      </c>
      <c r="F373" s="102">
        <v>46057</v>
      </c>
      <c r="G373" s="83" t="s">
        <v>219</v>
      </c>
      <c r="H373" s="102">
        <v>46076</v>
      </c>
      <c r="I373" s="101" t="s">
        <v>940</v>
      </c>
      <c r="J373" s="101" t="s">
        <v>36</v>
      </c>
      <c r="K373" s="102">
        <v>46073</v>
      </c>
      <c r="L373" s="83" t="s">
        <v>231</v>
      </c>
      <c r="M373" s="102">
        <v>46086</v>
      </c>
      <c r="N373" s="101"/>
      <c r="O373" s="101"/>
      <c r="P373" s="83">
        <f t="shared" ca="1" si="20"/>
        <v>29</v>
      </c>
      <c r="Q373" s="83" t="str">
        <f t="shared" si="21"/>
        <v>Closed</v>
      </c>
      <c r="R373" s="83" t="str">
        <f t="shared" si="22"/>
        <v>Closed</v>
      </c>
      <c r="S373" s="83">
        <f t="shared" si="23"/>
        <v>29</v>
      </c>
      <c r="T373" s="101" t="str">
        <f>IFERROR(_xlfn.XLOOKUP(tblRecruitmentPipeline[[#This Row],[REQ_ID]],tblRequisitions[REQ_ID],tblRequisitions[DEPARTMENT],""),"")</f>
        <v>Branch Operations</v>
      </c>
      <c r="U373" s="110" t="str">
        <f>IF(tblRecruitmentPipeline[[#This Row],[REQ_DEPARTMENT]]="","No","Yes")</f>
        <v>Yes</v>
      </c>
    </row>
    <row r="374" spans="1:21">
      <c r="A374" s="100" t="s">
        <v>1888</v>
      </c>
      <c r="B374" s="101" t="s">
        <v>1002</v>
      </c>
      <c r="C374" s="101" t="s">
        <v>1889</v>
      </c>
      <c r="D374" s="101" t="s">
        <v>770</v>
      </c>
      <c r="E374" s="101" t="s">
        <v>414</v>
      </c>
      <c r="F374" s="102">
        <v>46053</v>
      </c>
      <c r="G374" s="83" t="s">
        <v>401</v>
      </c>
      <c r="H374" s="102">
        <v>46059</v>
      </c>
      <c r="I374" s="101" t="s">
        <v>940</v>
      </c>
      <c r="J374" s="101" t="s">
        <v>227</v>
      </c>
      <c r="K374" s="102"/>
      <c r="L374" s="83" t="s">
        <v>404</v>
      </c>
      <c r="M374" s="102"/>
      <c r="N374" s="101"/>
      <c r="O374" s="101"/>
      <c r="P374" s="83">
        <f t="shared" ca="1" si="20"/>
        <v>92</v>
      </c>
      <c r="Q374" s="83" t="str">
        <f t="shared" ca="1" si="21"/>
        <v>Stale</v>
      </c>
      <c r="R374" s="83" t="str">
        <f t="shared" ca="1" si="22"/>
        <v>Delayed</v>
      </c>
      <c r="S374" s="83" t="str">
        <f t="shared" si="23"/>
        <v/>
      </c>
      <c r="T374" s="101" t="str">
        <f>IFERROR(_xlfn.XLOOKUP(tblRecruitmentPipeline[[#This Row],[REQ_ID]],tblRequisitions[REQ_ID],tblRequisitions[DEPARTMENT],""),"")</f>
        <v>Branch Operations</v>
      </c>
      <c r="U374" s="110" t="str">
        <f>IF(tblRecruitmentPipeline[[#This Row],[REQ_DEPARTMENT]]="","No","Yes")</f>
        <v>Yes</v>
      </c>
    </row>
    <row r="375" spans="1:21">
      <c r="A375" s="100" t="s">
        <v>1890</v>
      </c>
      <c r="B375" s="101" t="s">
        <v>1002</v>
      </c>
      <c r="C375" s="101" t="s">
        <v>1891</v>
      </c>
      <c r="D375" s="101" t="s">
        <v>1247</v>
      </c>
      <c r="E375" s="101" t="s">
        <v>414</v>
      </c>
      <c r="F375" s="102">
        <v>46046</v>
      </c>
      <c r="G375" s="83" t="s">
        <v>219</v>
      </c>
      <c r="H375" s="102">
        <v>46086</v>
      </c>
      <c r="I375" s="101" t="s">
        <v>940</v>
      </c>
      <c r="J375" s="101" t="s">
        <v>227</v>
      </c>
      <c r="K375" s="102">
        <v>46084</v>
      </c>
      <c r="L375" s="83" t="s">
        <v>231</v>
      </c>
      <c r="M375" s="102">
        <v>46099</v>
      </c>
      <c r="N375" s="101"/>
      <c r="O375" s="101"/>
      <c r="P375" s="83">
        <f t="shared" ca="1" si="20"/>
        <v>53</v>
      </c>
      <c r="Q375" s="83" t="str">
        <f t="shared" si="21"/>
        <v>Closed</v>
      </c>
      <c r="R375" s="83" t="str">
        <f t="shared" si="22"/>
        <v>Closed</v>
      </c>
      <c r="S375" s="83">
        <f t="shared" si="23"/>
        <v>53</v>
      </c>
      <c r="T375" s="101" t="str">
        <f>IFERROR(_xlfn.XLOOKUP(tblRecruitmentPipeline[[#This Row],[REQ_ID]],tblRequisitions[REQ_ID],tblRequisitions[DEPARTMENT],""),"")</f>
        <v>Branch Operations</v>
      </c>
      <c r="U375" s="110" t="str">
        <f>IF(tblRecruitmentPipeline[[#This Row],[REQ_DEPARTMENT]]="","No","Yes")</f>
        <v>Yes</v>
      </c>
    </row>
    <row r="376" spans="1:21">
      <c r="A376" s="100" t="s">
        <v>1892</v>
      </c>
      <c r="B376" s="101" t="s">
        <v>1002</v>
      </c>
      <c r="C376" s="101" t="s">
        <v>1893</v>
      </c>
      <c r="D376" s="101" t="s">
        <v>1894</v>
      </c>
      <c r="E376" s="101" t="s">
        <v>375</v>
      </c>
      <c r="F376" s="102">
        <v>46054</v>
      </c>
      <c r="G376" s="83" t="s">
        <v>393</v>
      </c>
      <c r="H376" s="102">
        <v>46100</v>
      </c>
      <c r="I376" s="101" t="s">
        <v>940</v>
      </c>
      <c r="J376" s="101" t="s">
        <v>227</v>
      </c>
      <c r="K376" s="102"/>
      <c r="L376" s="83" t="s">
        <v>404</v>
      </c>
      <c r="M376" s="102"/>
      <c r="N376" s="101"/>
      <c r="O376" s="101"/>
      <c r="P376" s="83">
        <f t="shared" ca="1" si="20"/>
        <v>91</v>
      </c>
      <c r="Q376" s="83" t="str">
        <f t="shared" ca="1" si="21"/>
        <v>Stale</v>
      </c>
      <c r="R376" s="83" t="str">
        <f t="shared" ca="1" si="22"/>
        <v>Delayed</v>
      </c>
      <c r="S376" s="83" t="str">
        <f t="shared" si="23"/>
        <v/>
      </c>
      <c r="T376" s="101" t="str">
        <f>IFERROR(_xlfn.XLOOKUP(tblRecruitmentPipeline[[#This Row],[REQ_ID]],tblRequisitions[REQ_ID],tblRequisitions[DEPARTMENT],""),"")</f>
        <v>Branch Operations</v>
      </c>
      <c r="U376" s="110" t="str">
        <f>IF(tblRecruitmentPipeline[[#This Row],[REQ_DEPARTMENT]]="","No","Yes")</f>
        <v>Yes</v>
      </c>
    </row>
    <row r="377" spans="1:21">
      <c r="A377" s="100" t="s">
        <v>1895</v>
      </c>
      <c r="B377" s="101" t="s">
        <v>1003</v>
      </c>
      <c r="C377" s="101" t="s">
        <v>1896</v>
      </c>
      <c r="D377" s="101" t="s">
        <v>604</v>
      </c>
      <c r="E377" s="101" t="s">
        <v>414</v>
      </c>
      <c r="F377" s="102">
        <v>45875</v>
      </c>
      <c r="G377" s="83" t="s">
        <v>372</v>
      </c>
      <c r="H377" s="102">
        <v>45910</v>
      </c>
      <c r="I377" s="101" t="s">
        <v>192</v>
      </c>
      <c r="J377" s="101" t="s">
        <v>36</v>
      </c>
      <c r="K377" s="102"/>
      <c r="L377" s="83" t="s">
        <v>404</v>
      </c>
      <c r="M377" s="102"/>
      <c r="N377" s="101"/>
      <c r="O377" s="101"/>
      <c r="P377" s="83">
        <f t="shared" ca="1" si="20"/>
        <v>270</v>
      </c>
      <c r="Q377" s="83" t="str">
        <f t="shared" ca="1" si="21"/>
        <v>Stale</v>
      </c>
      <c r="R377" s="83" t="str">
        <f t="shared" ca="1" si="22"/>
        <v>Delayed</v>
      </c>
      <c r="S377" s="83" t="str">
        <f t="shared" si="23"/>
        <v/>
      </c>
      <c r="T377" s="101" t="str">
        <f>IFERROR(_xlfn.XLOOKUP(tblRecruitmentPipeline[[#This Row],[REQ_ID]],tblRequisitions[REQ_ID],tblRequisitions[DEPARTMENT],""),"")</f>
        <v>Loan Processing</v>
      </c>
      <c r="U377" s="110" t="str">
        <f>IF(tblRecruitmentPipeline[[#This Row],[REQ_DEPARTMENT]]="","No","Yes")</f>
        <v>Yes</v>
      </c>
    </row>
    <row r="378" spans="1:21">
      <c r="A378" s="100" t="s">
        <v>1897</v>
      </c>
      <c r="B378" s="101" t="s">
        <v>1003</v>
      </c>
      <c r="C378" s="101" t="s">
        <v>1898</v>
      </c>
      <c r="D378" s="101" t="s">
        <v>539</v>
      </c>
      <c r="E378" s="101" t="s">
        <v>384</v>
      </c>
      <c r="F378" s="102">
        <v>45892</v>
      </c>
      <c r="G378" s="83" t="s">
        <v>393</v>
      </c>
      <c r="H378" s="102">
        <v>45904</v>
      </c>
      <c r="I378" s="101" t="s">
        <v>192</v>
      </c>
      <c r="J378" s="101" t="s">
        <v>227</v>
      </c>
      <c r="K378" s="102"/>
      <c r="L378" s="83" t="s">
        <v>404</v>
      </c>
      <c r="M378" s="102"/>
      <c r="N378" s="101"/>
      <c r="O378" s="101"/>
      <c r="P378" s="83">
        <f t="shared" ca="1" si="20"/>
        <v>253</v>
      </c>
      <c r="Q378" s="83" t="str">
        <f t="shared" ca="1" si="21"/>
        <v>Stale</v>
      </c>
      <c r="R378" s="83" t="str">
        <f t="shared" ca="1" si="22"/>
        <v>Delayed</v>
      </c>
      <c r="S378" s="83" t="str">
        <f t="shared" si="23"/>
        <v/>
      </c>
      <c r="T378" s="101" t="str">
        <f>IFERROR(_xlfn.XLOOKUP(tblRecruitmentPipeline[[#This Row],[REQ_ID]],tblRequisitions[REQ_ID],tblRequisitions[DEPARTMENT],""),"")</f>
        <v>Loan Processing</v>
      </c>
      <c r="U378" s="110" t="str">
        <f>IF(tblRecruitmentPipeline[[#This Row],[REQ_DEPARTMENT]]="","No","Yes")</f>
        <v>Yes</v>
      </c>
    </row>
    <row r="379" spans="1:21">
      <c r="A379" s="100" t="s">
        <v>1899</v>
      </c>
      <c r="B379" s="101" t="s">
        <v>1003</v>
      </c>
      <c r="C379" s="101" t="s">
        <v>1900</v>
      </c>
      <c r="D379" s="101" t="s">
        <v>1823</v>
      </c>
      <c r="E379" s="101" t="s">
        <v>375</v>
      </c>
      <c r="F379" s="102">
        <v>45880</v>
      </c>
      <c r="G379" s="83" t="s">
        <v>413</v>
      </c>
      <c r="H379" s="102">
        <v>45917</v>
      </c>
      <c r="I379" s="101" t="s">
        <v>192</v>
      </c>
      <c r="J379" s="101" t="s">
        <v>1030</v>
      </c>
      <c r="K379" s="102"/>
      <c r="L379" s="83" t="s">
        <v>404</v>
      </c>
      <c r="M379" s="102"/>
      <c r="N379" s="101" t="s">
        <v>1027</v>
      </c>
      <c r="O379" s="101"/>
      <c r="P379" s="83">
        <f t="shared" ca="1" si="20"/>
        <v>37</v>
      </c>
      <c r="Q379" s="83" t="str">
        <f t="shared" si="21"/>
        <v>Closed</v>
      </c>
      <c r="R379" s="83" t="str">
        <f t="shared" si="22"/>
        <v>Closed</v>
      </c>
      <c r="S379" s="83" t="str">
        <f t="shared" si="23"/>
        <v/>
      </c>
      <c r="T379" s="101" t="str">
        <f>IFERROR(_xlfn.XLOOKUP(tblRecruitmentPipeline[[#This Row],[REQ_ID]],tblRequisitions[REQ_ID],tblRequisitions[DEPARTMENT],""),"")</f>
        <v>Loan Processing</v>
      </c>
      <c r="U379" s="110" t="str">
        <f>IF(tblRecruitmentPipeline[[#This Row],[REQ_DEPARTMENT]]="","No","Yes")</f>
        <v>Yes</v>
      </c>
    </row>
    <row r="380" spans="1:21">
      <c r="A380" s="100" t="s">
        <v>1901</v>
      </c>
      <c r="B380" s="101" t="s">
        <v>1003</v>
      </c>
      <c r="C380" s="101" t="s">
        <v>1902</v>
      </c>
      <c r="D380" s="101" t="s">
        <v>604</v>
      </c>
      <c r="E380" s="101" t="s">
        <v>384</v>
      </c>
      <c r="F380" s="102">
        <v>45874</v>
      </c>
      <c r="G380" s="83" t="s">
        <v>413</v>
      </c>
      <c r="H380" s="102">
        <v>45906</v>
      </c>
      <c r="I380" s="101" t="s">
        <v>192</v>
      </c>
      <c r="J380" s="101" t="s">
        <v>36</v>
      </c>
      <c r="K380" s="102"/>
      <c r="L380" s="83" t="s">
        <v>404</v>
      </c>
      <c r="M380" s="102"/>
      <c r="N380" s="101" t="s">
        <v>1085</v>
      </c>
      <c r="O380" s="101"/>
      <c r="P380" s="83">
        <f t="shared" ca="1" si="20"/>
        <v>32</v>
      </c>
      <c r="Q380" s="83" t="str">
        <f t="shared" si="21"/>
        <v>Closed</v>
      </c>
      <c r="R380" s="83" t="str">
        <f t="shared" si="22"/>
        <v>Closed</v>
      </c>
      <c r="S380" s="83" t="str">
        <f t="shared" si="23"/>
        <v/>
      </c>
      <c r="T380" s="101" t="str">
        <f>IFERROR(_xlfn.XLOOKUP(tblRecruitmentPipeline[[#This Row],[REQ_ID]],tblRequisitions[REQ_ID],tblRequisitions[DEPARTMENT],""),"")</f>
        <v>Loan Processing</v>
      </c>
      <c r="U380" s="110" t="str">
        <f>IF(tblRecruitmentPipeline[[#This Row],[REQ_DEPARTMENT]]="","No","Yes")</f>
        <v>Yes</v>
      </c>
    </row>
    <row r="381" spans="1:21">
      <c r="A381" s="100" t="s">
        <v>1903</v>
      </c>
      <c r="B381" s="101" t="s">
        <v>1003</v>
      </c>
      <c r="C381" s="101" t="s">
        <v>1904</v>
      </c>
      <c r="D381" s="101" t="s">
        <v>1625</v>
      </c>
      <c r="E381" s="101" t="s">
        <v>412</v>
      </c>
      <c r="F381" s="102">
        <v>45899</v>
      </c>
      <c r="G381" s="83" t="s">
        <v>219</v>
      </c>
      <c r="H381" s="102">
        <v>45922</v>
      </c>
      <c r="I381" s="101" t="s">
        <v>192</v>
      </c>
      <c r="J381" s="101" t="s">
        <v>1030</v>
      </c>
      <c r="K381" s="102">
        <v>45920</v>
      </c>
      <c r="L381" s="83" t="s">
        <v>231</v>
      </c>
      <c r="M381" s="102">
        <v>45938</v>
      </c>
      <c r="N381" s="101"/>
      <c r="O381" s="101"/>
      <c r="P381" s="83">
        <f t="shared" ca="1" si="20"/>
        <v>39</v>
      </c>
      <c r="Q381" s="83" t="str">
        <f t="shared" si="21"/>
        <v>Closed</v>
      </c>
      <c r="R381" s="83" t="str">
        <f t="shared" si="22"/>
        <v>Closed</v>
      </c>
      <c r="S381" s="83">
        <f t="shared" si="23"/>
        <v>39</v>
      </c>
      <c r="T381" s="101" t="str">
        <f>IFERROR(_xlfn.XLOOKUP(tblRecruitmentPipeline[[#This Row],[REQ_ID]],tblRequisitions[REQ_ID],tblRequisitions[DEPARTMENT],""),"")</f>
        <v>Loan Processing</v>
      </c>
      <c r="U381" s="110" t="str">
        <f>IF(tblRecruitmentPipeline[[#This Row],[REQ_DEPARTMENT]]="","No","Yes")</f>
        <v>Yes</v>
      </c>
    </row>
    <row r="382" spans="1:21">
      <c r="A382" s="100" t="s">
        <v>1905</v>
      </c>
      <c r="B382" s="101" t="s">
        <v>1003</v>
      </c>
      <c r="C382" s="101" t="s">
        <v>1906</v>
      </c>
      <c r="D382" s="101" t="s">
        <v>802</v>
      </c>
      <c r="E382" s="101" t="s">
        <v>261</v>
      </c>
      <c r="F382" s="102">
        <v>45880</v>
      </c>
      <c r="G382" s="83" t="s">
        <v>382</v>
      </c>
      <c r="H382" s="102">
        <v>45926</v>
      </c>
      <c r="I382" s="101" t="s">
        <v>192</v>
      </c>
      <c r="J382" s="101" t="s">
        <v>1030</v>
      </c>
      <c r="K382" s="102"/>
      <c r="L382" s="83" t="s">
        <v>404</v>
      </c>
      <c r="M382" s="102"/>
      <c r="N382" s="101"/>
      <c r="O382" s="101"/>
      <c r="P382" s="83">
        <f t="shared" ca="1" si="20"/>
        <v>265</v>
      </c>
      <c r="Q382" s="83" t="str">
        <f t="shared" ca="1" si="21"/>
        <v>Stale</v>
      </c>
      <c r="R382" s="83" t="str">
        <f t="shared" ca="1" si="22"/>
        <v>Delayed</v>
      </c>
      <c r="S382" s="83" t="str">
        <f t="shared" si="23"/>
        <v/>
      </c>
      <c r="T382" s="101" t="str">
        <f>IFERROR(_xlfn.XLOOKUP(tblRecruitmentPipeline[[#This Row],[REQ_ID]],tblRequisitions[REQ_ID],tblRequisitions[DEPARTMENT],""),"")</f>
        <v>Loan Processing</v>
      </c>
      <c r="U382" s="110" t="str">
        <f>IF(tblRecruitmentPipeline[[#This Row],[REQ_DEPARTMENT]]="","No","Yes")</f>
        <v>Yes</v>
      </c>
    </row>
    <row r="383" spans="1:21">
      <c r="A383" s="100" t="s">
        <v>1907</v>
      </c>
      <c r="B383" s="101" t="s">
        <v>1003</v>
      </c>
      <c r="C383" s="101" t="s">
        <v>1908</v>
      </c>
      <c r="D383" s="101" t="s">
        <v>875</v>
      </c>
      <c r="E383" s="101" t="s">
        <v>375</v>
      </c>
      <c r="F383" s="102">
        <v>45879</v>
      </c>
      <c r="G383" s="83" t="s">
        <v>382</v>
      </c>
      <c r="H383" s="102">
        <v>45886</v>
      </c>
      <c r="I383" s="101" t="s">
        <v>192</v>
      </c>
      <c r="J383" s="101" t="s">
        <v>1030</v>
      </c>
      <c r="K383" s="102"/>
      <c r="L383" s="83" t="s">
        <v>404</v>
      </c>
      <c r="M383" s="102"/>
      <c r="N383" s="101"/>
      <c r="O383" s="101"/>
      <c r="P383" s="83">
        <f t="shared" ca="1" si="20"/>
        <v>266</v>
      </c>
      <c r="Q383" s="83" t="str">
        <f t="shared" ca="1" si="21"/>
        <v>Stale</v>
      </c>
      <c r="R383" s="83" t="str">
        <f t="shared" ca="1" si="22"/>
        <v>Delayed</v>
      </c>
      <c r="S383" s="83" t="str">
        <f t="shared" si="23"/>
        <v/>
      </c>
      <c r="T383" s="101" t="str">
        <f>IFERROR(_xlfn.XLOOKUP(tblRecruitmentPipeline[[#This Row],[REQ_ID]],tblRequisitions[REQ_ID],tblRequisitions[DEPARTMENT],""),"")</f>
        <v>Loan Processing</v>
      </c>
      <c r="U383" s="110" t="str">
        <f>IF(tblRecruitmentPipeline[[#This Row],[REQ_DEPARTMENT]]="","No","Yes")</f>
        <v>Yes</v>
      </c>
    </row>
    <row r="384" spans="1:21">
      <c r="A384" s="100" t="s">
        <v>1909</v>
      </c>
      <c r="B384" s="101" t="s">
        <v>1004</v>
      </c>
      <c r="C384" s="101" t="s">
        <v>1910</v>
      </c>
      <c r="D384" s="101" t="s">
        <v>859</v>
      </c>
      <c r="E384" s="101" t="s">
        <v>403</v>
      </c>
      <c r="F384" s="102">
        <v>45843</v>
      </c>
      <c r="G384" s="83" t="s">
        <v>372</v>
      </c>
      <c r="H384" s="102">
        <v>45851</v>
      </c>
      <c r="I384" s="101" t="s">
        <v>192</v>
      </c>
      <c r="J384" s="101" t="s">
        <v>1030</v>
      </c>
      <c r="K384" s="102"/>
      <c r="L384" s="83" t="s">
        <v>404</v>
      </c>
      <c r="M384" s="102"/>
      <c r="N384" s="101"/>
      <c r="O384" s="101"/>
      <c r="P384" s="83">
        <f t="shared" ca="1" si="20"/>
        <v>302</v>
      </c>
      <c r="Q384" s="83" t="str">
        <f t="shared" ca="1" si="21"/>
        <v>Stale</v>
      </c>
      <c r="R384" s="83" t="str">
        <f t="shared" ca="1" si="22"/>
        <v>Delayed</v>
      </c>
      <c r="S384" s="83" t="str">
        <f t="shared" si="23"/>
        <v/>
      </c>
      <c r="T384" s="101" t="str">
        <f>IFERROR(_xlfn.XLOOKUP(tblRecruitmentPipeline[[#This Row],[REQ_ID]],tblRequisitions[REQ_ID],tblRequisitions[DEPARTMENT],""),"")</f>
        <v>Human Resources</v>
      </c>
      <c r="U384" s="110" t="str">
        <f>IF(tblRecruitmentPipeline[[#This Row],[REQ_DEPARTMENT]]="","No","Yes")</f>
        <v>Yes</v>
      </c>
    </row>
    <row r="385" spans="1:21">
      <c r="A385" s="100" t="s">
        <v>1911</v>
      </c>
      <c r="B385" s="101" t="s">
        <v>1004</v>
      </c>
      <c r="C385" s="101" t="s">
        <v>1912</v>
      </c>
      <c r="D385" s="101" t="s">
        <v>1913</v>
      </c>
      <c r="E385" s="101" t="s">
        <v>414</v>
      </c>
      <c r="F385" s="102">
        <v>45832</v>
      </c>
      <c r="G385" s="83" t="s">
        <v>372</v>
      </c>
      <c r="H385" s="102">
        <v>45853</v>
      </c>
      <c r="I385" s="101" t="s">
        <v>192</v>
      </c>
      <c r="J385" s="101" t="s">
        <v>1030</v>
      </c>
      <c r="K385" s="102"/>
      <c r="L385" s="83" t="s">
        <v>404</v>
      </c>
      <c r="M385" s="102"/>
      <c r="N385" s="101"/>
      <c r="O385" s="101"/>
      <c r="P385" s="83">
        <f t="shared" ca="1" si="20"/>
        <v>313</v>
      </c>
      <c r="Q385" s="83" t="str">
        <f t="shared" ca="1" si="21"/>
        <v>Stale</v>
      </c>
      <c r="R385" s="83" t="str">
        <f t="shared" ca="1" si="22"/>
        <v>Delayed</v>
      </c>
      <c r="S385" s="83" t="str">
        <f t="shared" si="23"/>
        <v/>
      </c>
      <c r="T385" s="101" t="str">
        <f>IFERROR(_xlfn.XLOOKUP(tblRecruitmentPipeline[[#This Row],[REQ_ID]],tblRequisitions[REQ_ID],tblRequisitions[DEPARTMENT],""),"")</f>
        <v>Human Resources</v>
      </c>
      <c r="U385" s="110" t="str">
        <f>IF(tblRecruitmentPipeline[[#This Row],[REQ_DEPARTMENT]]="","No","Yes")</f>
        <v>Yes</v>
      </c>
    </row>
    <row r="386" spans="1:21">
      <c r="A386" s="100" t="s">
        <v>1914</v>
      </c>
      <c r="B386" s="101" t="s">
        <v>1004</v>
      </c>
      <c r="C386" s="101" t="s">
        <v>1915</v>
      </c>
      <c r="D386" s="101" t="s">
        <v>655</v>
      </c>
      <c r="E386" s="101" t="s">
        <v>375</v>
      </c>
      <c r="F386" s="102">
        <v>45823</v>
      </c>
      <c r="G386" s="83" t="s">
        <v>413</v>
      </c>
      <c r="H386" s="102">
        <v>45838</v>
      </c>
      <c r="I386" s="101" t="s">
        <v>192</v>
      </c>
      <c r="J386" s="101" t="s">
        <v>1030</v>
      </c>
      <c r="K386" s="102"/>
      <c r="L386" s="83" t="s">
        <v>404</v>
      </c>
      <c r="M386" s="102"/>
      <c r="N386" s="101" t="s">
        <v>1075</v>
      </c>
      <c r="O386" s="101"/>
      <c r="P386" s="83">
        <f t="shared" ca="1" si="20"/>
        <v>15</v>
      </c>
      <c r="Q386" s="83" t="str">
        <f t="shared" si="21"/>
        <v>Closed</v>
      </c>
      <c r="R386" s="83" t="str">
        <f t="shared" si="22"/>
        <v>Closed</v>
      </c>
      <c r="S386" s="83" t="str">
        <f t="shared" si="23"/>
        <v/>
      </c>
      <c r="T386" s="101" t="str">
        <f>IFERROR(_xlfn.XLOOKUP(tblRecruitmentPipeline[[#This Row],[REQ_ID]],tblRequisitions[REQ_ID],tblRequisitions[DEPARTMENT],""),"")</f>
        <v>Human Resources</v>
      </c>
      <c r="U386" s="110" t="str">
        <f>IF(tblRecruitmentPipeline[[#This Row],[REQ_DEPARTMENT]]="","No","Yes")</f>
        <v>Yes</v>
      </c>
    </row>
    <row r="387" spans="1:21">
      <c r="A387" s="100" t="s">
        <v>1916</v>
      </c>
      <c r="B387" s="101" t="s">
        <v>1004</v>
      </c>
      <c r="C387" s="101" t="s">
        <v>1917</v>
      </c>
      <c r="D387" s="101" t="s">
        <v>564</v>
      </c>
      <c r="E387" s="101" t="s">
        <v>414</v>
      </c>
      <c r="F387" s="102">
        <v>45825</v>
      </c>
      <c r="G387" s="83" t="s">
        <v>413</v>
      </c>
      <c r="H387" s="102">
        <v>45844</v>
      </c>
      <c r="I387" s="101" t="s">
        <v>192</v>
      </c>
      <c r="J387" s="101" t="s">
        <v>227</v>
      </c>
      <c r="K387" s="102"/>
      <c r="L387" s="83" t="s">
        <v>404</v>
      </c>
      <c r="M387" s="102"/>
      <c r="N387" s="101" t="s">
        <v>1085</v>
      </c>
      <c r="O387" s="101"/>
      <c r="P387" s="83">
        <f t="shared" ca="1" si="20"/>
        <v>19</v>
      </c>
      <c r="Q387" s="83" t="str">
        <f t="shared" si="21"/>
        <v>Closed</v>
      </c>
      <c r="R387" s="83" t="str">
        <f t="shared" si="22"/>
        <v>Closed</v>
      </c>
      <c r="S387" s="83" t="str">
        <f t="shared" si="23"/>
        <v/>
      </c>
      <c r="T387" s="101" t="str">
        <f>IFERROR(_xlfn.XLOOKUP(tblRecruitmentPipeline[[#This Row],[REQ_ID]],tblRequisitions[REQ_ID],tblRequisitions[DEPARTMENT],""),"")</f>
        <v>Human Resources</v>
      </c>
      <c r="U387" s="110" t="str">
        <f>IF(tblRecruitmentPipeline[[#This Row],[REQ_DEPARTMENT]]="","No","Yes")</f>
        <v>Yes</v>
      </c>
    </row>
    <row r="388" spans="1:21">
      <c r="A388" s="100" t="s">
        <v>1918</v>
      </c>
      <c r="B388" s="101" t="s">
        <v>1004</v>
      </c>
      <c r="C388" s="101" t="s">
        <v>1919</v>
      </c>
      <c r="D388" s="101" t="s">
        <v>661</v>
      </c>
      <c r="E388" s="101" t="s">
        <v>213</v>
      </c>
      <c r="F388" s="102">
        <v>45831</v>
      </c>
      <c r="G388" s="83" t="s">
        <v>401</v>
      </c>
      <c r="H388" s="102">
        <v>45837</v>
      </c>
      <c r="I388" s="101" t="s">
        <v>192</v>
      </c>
      <c r="J388" s="101" t="s">
        <v>1030</v>
      </c>
      <c r="K388" s="102"/>
      <c r="L388" s="83" t="s">
        <v>404</v>
      </c>
      <c r="M388" s="102"/>
      <c r="N388" s="101"/>
      <c r="O388" s="101"/>
      <c r="P388" s="83">
        <f t="shared" ca="1" si="20"/>
        <v>314</v>
      </c>
      <c r="Q388" s="83" t="str">
        <f t="shared" ca="1" si="21"/>
        <v>Stale</v>
      </c>
      <c r="R388" s="83" t="str">
        <f t="shared" ca="1" si="22"/>
        <v>Delayed</v>
      </c>
      <c r="S388" s="83" t="str">
        <f t="shared" si="23"/>
        <v/>
      </c>
      <c r="T388" s="101" t="str">
        <f>IFERROR(_xlfn.XLOOKUP(tblRecruitmentPipeline[[#This Row],[REQ_ID]],tblRequisitions[REQ_ID],tblRequisitions[DEPARTMENT],""),"")</f>
        <v>Human Resources</v>
      </c>
      <c r="U388" s="110" t="str">
        <f>IF(tblRecruitmentPipeline[[#This Row],[REQ_DEPARTMENT]]="","No","Yes")</f>
        <v>Yes</v>
      </c>
    </row>
    <row r="389" spans="1:21">
      <c r="A389" s="100" t="s">
        <v>1920</v>
      </c>
      <c r="B389" s="101" t="s">
        <v>1004</v>
      </c>
      <c r="C389" s="101" t="s">
        <v>1921</v>
      </c>
      <c r="D389" s="101" t="s">
        <v>1922</v>
      </c>
      <c r="E389" s="101" t="s">
        <v>384</v>
      </c>
      <c r="F389" s="102">
        <v>45828</v>
      </c>
      <c r="G389" s="83" t="s">
        <v>418</v>
      </c>
      <c r="H389" s="102">
        <v>45840</v>
      </c>
      <c r="I389" s="101" t="s">
        <v>192</v>
      </c>
      <c r="J389" s="101" t="s">
        <v>227</v>
      </c>
      <c r="K389" s="102"/>
      <c r="L389" s="83" t="s">
        <v>404</v>
      </c>
      <c r="M389" s="102"/>
      <c r="N389" s="101"/>
      <c r="O389" s="101" t="s">
        <v>1183</v>
      </c>
      <c r="P389" s="83">
        <f t="shared" ref="P389:P452" ca="1" si="24">IF($A389="","",IF($G389="Hired",$M389-$F389,IF(OR($G389="Rejected",$G389="Withdrawn"),$H389-$F389,TODAY()-$F389)))</f>
        <v>12</v>
      </c>
      <c r="Q389" s="83" t="str">
        <f t="shared" ref="Q389:Q452" si="25">IF($A389="","",IF(OR($G389="Hired",$G389="Rejected",$G389="Withdrawn"),"Closed",IF($P389&gt;30,"Stale","Active")))</f>
        <v>Closed</v>
      </c>
      <c r="R389" s="83" t="str">
        <f t="shared" ref="R389:R452" si="26">IF($A389="","",IF($Q389="Closed","Closed",IF($P389&lt;=14,"On Track",IF($P389&lt;=30,"At Risk","Delayed"))))</f>
        <v>Closed</v>
      </c>
      <c r="S389" s="83" t="str">
        <f t="shared" ref="S389:S452" si="27">IF($A389="","",IF($G389="Hired",$M389-$F389,""))</f>
        <v/>
      </c>
      <c r="T389" s="101" t="str">
        <f>IFERROR(_xlfn.XLOOKUP(tblRecruitmentPipeline[[#This Row],[REQ_ID]],tblRequisitions[REQ_ID],tblRequisitions[DEPARTMENT],""),"")</f>
        <v>Human Resources</v>
      </c>
      <c r="U389" s="110" t="str">
        <f>IF(tblRecruitmentPipeline[[#This Row],[REQ_DEPARTMENT]]="","No","Yes")</f>
        <v>Yes</v>
      </c>
    </row>
    <row r="390" spans="1:21">
      <c r="A390" s="100" t="s">
        <v>1923</v>
      </c>
      <c r="B390" s="101" t="s">
        <v>1004</v>
      </c>
      <c r="C390" s="101" t="s">
        <v>1924</v>
      </c>
      <c r="D390" s="101" t="s">
        <v>485</v>
      </c>
      <c r="E390" s="101" t="s">
        <v>412</v>
      </c>
      <c r="F390" s="102">
        <v>45846</v>
      </c>
      <c r="G390" s="83" t="s">
        <v>393</v>
      </c>
      <c r="H390" s="102">
        <v>45885</v>
      </c>
      <c r="I390" s="101" t="s">
        <v>192</v>
      </c>
      <c r="J390" s="101" t="s">
        <v>1030</v>
      </c>
      <c r="K390" s="102"/>
      <c r="L390" s="83" t="s">
        <v>404</v>
      </c>
      <c r="M390" s="102"/>
      <c r="N390" s="101"/>
      <c r="O390" s="101"/>
      <c r="P390" s="83">
        <f t="shared" ca="1" si="24"/>
        <v>299</v>
      </c>
      <c r="Q390" s="83" t="str">
        <f t="shared" ca="1" si="25"/>
        <v>Stale</v>
      </c>
      <c r="R390" s="83" t="str">
        <f t="shared" ca="1" si="26"/>
        <v>Delayed</v>
      </c>
      <c r="S390" s="83" t="str">
        <f t="shared" si="27"/>
        <v/>
      </c>
      <c r="T390" s="101" t="str">
        <f>IFERROR(_xlfn.XLOOKUP(tblRecruitmentPipeline[[#This Row],[REQ_ID]],tblRequisitions[REQ_ID],tblRequisitions[DEPARTMENT],""),"")</f>
        <v>Human Resources</v>
      </c>
      <c r="U390" s="110" t="str">
        <f>IF(tblRecruitmentPipeline[[#This Row],[REQ_DEPARTMENT]]="","No","Yes")</f>
        <v>Yes</v>
      </c>
    </row>
    <row r="391" spans="1:21">
      <c r="A391" s="100" t="s">
        <v>1925</v>
      </c>
      <c r="B391" s="101" t="s">
        <v>1004</v>
      </c>
      <c r="C391" s="101" t="s">
        <v>1926</v>
      </c>
      <c r="D391" s="101" t="s">
        <v>1459</v>
      </c>
      <c r="E391" s="101" t="s">
        <v>403</v>
      </c>
      <c r="F391" s="102">
        <v>45827</v>
      </c>
      <c r="G391" s="83" t="s">
        <v>413</v>
      </c>
      <c r="H391" s="102">
        <v>45853</v>
      </c>
      <c r="I391" s="101" t="s">
        <v>192</v>
      </c>
      <c r="J391" s="101" t="s">
        <v>1030</v>
      </c>
      <c r="K391" s="102"/>
      <c r="L391" s="83" t="s">
        <v>404</v>
      </c>
      <c r="M391" s="102"/>
      <c r="N391" s="101" t="s">
        <v>1078</v>
      </c>
      <c r="O391" s="101"/>
      <c r="P391" s="83">
        <f t="shared" ca="1" si="24"/>
        <v>26</v>
      </c>
      <c r="Q391" s="83" t="str">
        <f t="shared" si="25"/>
        <v>Closed</v>
      </c>
      <c r="R391" s="83" t="str">
        <f t="shared" si="26"/>
        <v>Closed</v>
      </c>
      <c r="S391" s="83" t="str">
        <f t="shared" si="27"/>
        <v/>
      </c>
      <c r="T391" s="101" t="str">
        <f>IFERROR(_xlfn.XLOOKUP(tblRecruitmentPipeline[[#This Row],[REQ_ID]],tblRequisitions[REQ_ID],tblRequisitions[DEPARTMENT],""),"")</f>
        <v>Human Resources</v>
      </c>
      <c r="U391" s="110" t="str">
        <f>IF(tblRecruitmentPipeline[[#This Row],[REQ_DEPARTMENT]]="","No","Yes")</f>
        <v>Yes</v>
      </c>
    </row>
    <row r="392" spans="1:21">
      <c r="A392" s="100" t="s">
        <v>1927</v>
      </c>
      <c r="B392" s="101" t="s">
        <v>1004</v>
      </c>
      <c r="C392" s="101" t="s">
        <v>1928</v>
      </c>
      <c r="D392" s="101" t="s">
        <v>1057</v>
      </c>
      <c r="E392" s="101" t="s">
        <v>403</v>
      </c>
      <c r="F392" s="102">
        <v>45836</v>
      </c>
      <c r="G392" s="83" t="s">
        <v>382</v>
      </c>
      <c r="H392" s="102">
        <v>45845</v>
      </c>
      <c r="I392" s="101" t="s">
        <v>192</v>
      </c>
      <c r="J392" s="101" t="s">
        <v>36</v>
      </c>
      <c r="K392" s="102"/>
      <c r="L392" s="83" t="s">
        <v>404</v>
      </c>
      <c r="M392" s="102"/>
      <c r="N392" s="101"/>
      <c r="O392" s="101"/>
      <c r="P392" s="83">
        <f t="shared" ca="1" si="24"/>
        <v>309</v>
      </c>
      <c r="Q392" s="83" t="str">
        <f t="shared" ca="1" si="25"/>
        <v>Stale</v>
      </c>
      <c r="R392" s="83" t="str">
        <f t="shared" ca="1" si="26"/>
        <v>Delayed</v>
      </c>
      <c r="S392" s="83" t="str">
        <f t="shared" si="27"/>
        <v/>
      </c>
      <c r="T392" s="101" t="str">
        <f>IFERROR(_xlfn.XLOOKUP(tblRecruitmentPipeline[[#This Row],[REQ_ID]],tblRequisitions[REQ_ID],tblRequisitions[DEPARTMENT],""),"")</f>
        <v>Human Resources</v>
      </c>
      <c r="U392" s="110" t="str">
        <f>IF(tblRecruitmentPipeline[[#This Row],[REQ_DEPARTMENT]]="","No","Yes")</f>
        <v>Yes</v>
      </c>
    </row>
    <row r="393" spans="1:21">
      <c r="A393" s="100" t="s">
        <v>1929</v>
      </c>
      <c r="B393" s="101" t="s">
        <v>1005</v>
      </c>
      <c r="C393" s="101" t="s">
        <v>1930</v>
      </c>
      <c r="D393" s="101" t="s">
        <v>625</v>
      </c>
      <c r="E393" s="101" t="s">
        <v>403</v>
      </c>
      <c r="F393" s="102">
        <v>45791</v>
      </c>
      <c r="G393" s="83" t="s">
        <v>219</v>
      </c>
      <c r="H393" s="102">
        <v>45795</v>
      </c>
      <c r="I393" s="101" t="s">
        <v>940</v>
      </c>
      <c r="J393" s="101" t="s">
        <v>36</v>
      </c>
      <c r="K393" s="102">
        <v>45794</v>
      </c>
      <c r="L393" s="83" t="s">
        <v>231</v>
      </c>
      <c r="M393" s="102">
        <v>45806</v>
      </c>
      <c r="N393" s="101"/>
      <c r="O393" s="101"/>
      <c r="P393" s="83">
        <f t="shared" ca="1" si="24"/>
        <v>15</v>
      </c>
      <c r="Q393" s="83" t="str">
        <f t="shared" si="25"/>
        <v>Closed</v>
      </c>
      <c r="R393" s="83" t="str">
        <f t="shared" si="26"/>
        <v>Closed</v>
      </c>
      <c r="S393" s="83">
        <f t="shared" si="27"/>
        <v>15</v>
      </c>
      <c r="T393" s="101" t="str">
        <f>IFERROR(_xlfn.XLOOKUP(tblRecruitmentPipeline[[#This Row],[REQ_ID]],tblRequisitions[REQ_ID],tblRequisitions[DEPARTMENT],""),"")</f>
        <v>Compliance</v>
      </c>
      <c r="U393" s="110" t="str">
        <f>IF(tblRecruitmentPipeline[[#This Row],[REQ_DEPARTMENT]]="","No","Yes")</f>
        <v>Yes</v>
      </c>
    </row>
    <row r="394" spans="1:21">
      <c r="A394" s="100" t="s">
        <v>1931</v>
      </c>
      <c r="B394" s="101" t="s">
        <v>1005</v>
      </c>
      <c r="C394" s="101" t="s">
        <v>1932</v>
      </c>
      <c r="D394" s="101" t="s">
        <v>800</v>
      </c>
      <c r="E394" s="101" t="s">
        <v>261</v>
      </c>
      <c r="F394" s="102">
        <v>45802</v>
      </c>
      <c r="G394" s="83" t="s">
        <v>409</v>
      </c>
      <c r="H394" s="102">
        <v>45823</v>
      </c>
      <c r="I394" s="101" t="s">
        <v>940</v>
      </c>
      <c r="J394" s="101" t="s">
        <v>36</v>
      </c>
      <c r="K394" s="102">
        <v>45819</v>
      </c>
      <c r="L394" s="83" t="s">
        <v>323</v>
      </c>
      <c r="M394" s="102"/>
      <c r="N394" s="101"/>
      <c r="O394" s="101"/>
      <c r="P394" s="83">
        <f t="shared" ca="1" si="24"/>
        <v>343</v>
      </c>
      <c r="Q394" s="83" t="str">
        <f t="shared" ca="1" si="25"/>
        <v>Stale</v>
      </c>
      <c r="R394" s="83" t="str">
        <f t="shared" ca="1" si="26"/>
        <v>Delayed</v>
      </c>
      <c r="S394" s="83" t="str">
        <f t="shared" si="27"/>
        <v/>
      </c>
      <c r="T394" s="101" t="str">
        <f>IFERROR(_xlfn.XLOOKUP(tblRecruitmentPipeline[[#This Row],[REQ_ID]],tblRequisitions[REQ_ID],tblRequisitions[DEPARTMENT],""),"")</f>
        <v>Compliance</v>
      </c>
      <c r="U394" s="110" t="str">
        <f>IF(tblRecruitmentPipeline[[#This Row],[REQ_DEPARTMENT]]="","No","Yes")</f>
        <v>Yes</v>
      </c>
    </row>
    <row r="395" spans="1:21">
      <c r="A395" s="100" t="s">
        <v>1933</v>
      </c>
      <c r="B395" s="101" t="s">
        <v>1005</v>
      </c>
      <c r="C395" s="101" t="s">
        <v>1934</v>
      </c>
      <c r="D395" s="101" t="s">
        <v>433</v>
      </c>
      <c r="E395" s="101" t="s">
        <v>412</v>
      </c>
      <c r="F395" s="102">
        <v>45785</v>
      </c>
      <c r="G395" s="83" t="s">
        <v>413</v>
      </c>
      <c r="H395" s="102">
        <v>45817</v>
      </c>
      <c r="I395" s="101" t="s">
        <v>940</v>
      </c>
      <c r="J395" s="101" t="s">
        <v>36</v>
      </c>
      <c r="K395" s="102"/>
      <c r="L395" s="83" t="s">
        <v>404</v>
      </c>
      <c r="M395" s="102"/>
      <c r="N395" s="101" t="s">
        <v>1085</v>
      </c>
      <c r="O395" s="101"/>
      <c r="P395" s="83">
        <f t="shared" ca="1" si="24"/>
        <v>32</v>
      </c>
      <c r="Q395" s="83" t="str">
        <f t="shared" si="25"/>
        <v>Closed</v>
      </c>
      <c r="R395" s="83" t="str">
        <f t="shared" si="26"/>
        <v>Closed</v>
      </c>
      <c r="S395" s="83" t="str">
        <f t="shared" si="27"/>
        <v/>
      </c>
      <c r="T395" s="101" t="str">
        <f>IFERROR(_xlfn.XLOOKUP(tblRecruitmentPipeline[[#This Row],[REQ_ID]],tblRequisitions[REQ_ID],tblRequisitions[DEPARTMENT],""),"")</f>
        <v>Compliance</v>
      </c>
      <c r="U395" s="110" t="str">
        <f>IF(tblRecruitmentPipeline[[#This Row],[REQ_DEPARTMENT]]="","No","Yes")</f>
        <v>Yes</v>
      </c>
    </row>
    <row r="396" spans="1:21">
      <c r="A396" s="100" t="s">
        <v>1935</v>
      </c>
      <c r="B396" s="101" t="s">
        <v>1005</v>
      </c>
      <c r="C396" s="101" t="s">
        <v>1936</v>
      </c>
      <c r="D396" s="101" t="s">
        <v>680</v>
      </c>
      <c r="E396" s="101" t="s">
        <v>375</v>
      </c>
      <c r="F396" s="102">
        <v>45779</v>
      </c>
      <c r="G396" s="83" t="s">
        <v>393</v>
      </c>
      <c r="H396" s="102">
        <v>45814</v>
      </c>
      <c r="I396" s="101" t="s">
        <v>940</v>
      </c>
      <c r="J396" s="101" t="s">
        <v>1030</v>
      </c>
      <c r="K396" s="102"/>
      <c r="L396" s="83" t="s">
        <v>404</v>
      </c>
      <c r="M396" s="102"/>
      <c r="N396" s="101"/>
      <c r="O396" s="101"/>
      <c r="P396" s="83">
        <f t="shared" ca="1" si="24"/>
        <v>366</v>
      </c>
      <c r="Q396" s="83" t="str">
        <f t="shared" ca="1" si="25"/>
        <v>Stale</v>
      </c>
      <c r="R396" s="83" t="str">
        <f t="shared" ca="1" si="26"/>
        <v>Delayed</v>
      </c>
      <c r="S396" s="83" t="str">
        <f t="shared" si="27"/>
        <v/>
      </c>
      <c r="T396" s="101" t="str">
        <f>IFERROR(_xlfn.XLOOKUP(tblRecruitmentPipeline[[#This Row],[REQ_ID]],tblRequisitions[REQ_ID],tblRequisitions[DEPARTMENT],""),"")</f>
        <v>Compliance</v>
      </c>
      <c r="U396" s="110" t="str">
        <f>IF(tblRecruitmentPipeline[[#This Row],[REQ_DEPARTMENT]]="","No","Yes")</f>
        <v>Yes</v>
      </c>
    </row>
    <row r="397" spans="1:21">
      <c r="A397" s="100" t="s">
        <v>1937</v>
      </c>
      <c r="B397" s="101" t="s">
        <v>1005</v>
      </c>
      <c r="C397" s="101" t="s">
        <v>1938</v>
      </c>
      <c r="D397" s="101" t="s">
        <v>834</v>
      </c>
      <c r="E397" s="101" t="s">
        <v>375</v>
      </c>
      <c r="F397" s="102">
        <v>45798</v>
      </c>
      <c r="G397" s="83" t="s">
        <v>393</v>
      </c>
      <c r="H397" s="102">
        <v>45837</v>
      </c>
      <c r="I397" s="101" t="s">
        <v>940</v>
      </c>
      <c r="J397" s="101" t="s">
        <v>36</v>
      </c>
      <c r="K397" s="102"/>
      <c r="L397" s="83" t="s">
        <v>404</v>
      </c>
      <c r="M397" s="102"/>
      <c r="N397" s="101"/>
      <c r="O397" s="101"/>
      <c r="P397" s="83">
        <f t="shared" ca="1" si="24"/>
        <v>347</v>
      </c>
      <c r="Q397" s="83" t="str">
        <f t="shared" ca="1" si="25"/>
        <v>Stale</v>
      </c>
      <c r="R397" s="83" t="str">
        <f t="shared" ca="1" si="26"/>
        <v>Delayed</v>
      </c>
      <c r="S397" s="83" t="str">
        <f t="shared" si="27"/>
        <v/>
      </c>
      <c r="T397" s="101" t="str">
        <f>IFERROR(_xlfn.XLOOKUP(tblRecruitmentPipeline[[#This Row],[REQ_ID]],tblRequisitions[REQ_ID],tblRequisitions[DEPARTMENT],""),"")</f>
        <v>Compliance</v>
      </c>
      <c r="U397" s="110" t="str">
        <f>IF(tblRecruitmentPipeline[[#This Row],[REQ_DEPARTMENT]]="","No","Yes")</f>
        <v>Yes</v>
      </c>
    </row>
    <row r="398" spans="1:21">
      <c r="A398" s="100" t="s">
        <v>1939</v>
      </c>
      <c r="B398" s="101" t="s">
        <v>1005</v>
      </c>
      <c r="C398" s="101" t="s">
        <v>1940</v>
      </c>
      <c r="D398" s="101" t="s">
        <v>1213</v>
      </c>
      <c r="E398" s="101" t="s">
        <v>384</v>
      </c>
      <c r="F398" s="102">
        <v>45785</v>
      </c>
      <c r="G398" s="83" t="s">
        <v>393</v>
      </c>
      <c r="H398" s="102">
        <v>45825</v>
      </c>
      <c r="I398" s="101" t="s">
        <v>940</v>
      </c>
      <c r="J398" s="101" t="s">
        <v>36</v>
      </c>
      <c r="K398" s="102"/>
      <c r="L398" s="83" t="s">
        <v>404</v>
      </c>
      <c r="M398" s="102"/>
      <c r="N398" s="101"/>
      <c r="O398" s="101"/>
      <c r="P398" s="83">
        <f t="shared" ca="1" si="24"/>
        <v>360</v>
      </c>
      <c r="Q398" s="83" t="str">
        <f t="shared" ca="1" si="25"/>
        <v>Stale</v>
      </c>
      <c r="R398" s="83" t="str">
        <f t="shared" ca="1" si="26"/>
        <v>Delayed</v>
      </c>
      <c r="S398" s="83" t="str">
        <f t="shared" si="27"/>
        <v/>
      </c>
      <c r="T398" s="101" t="str">
        <f>IFERROR(_xlfn.XLOOKUP(tblRecruitmentPipeline[[#This Row],[REQ_ID]],tblRequisitions[REQ_ID],tblRequisitions[DEPARTMENT],""),"")</f>
        <v>Compliance</v>
      </c>
      <c r="U398" s="110" t="str">
        <f>IF(tblRecruitmentPipeline[[#This Row],[REQ_DEPARTMENT]]="","No","Yes")</f>
        <v>Yes</v>
      </c>
    </row>
    <row r="399" spans="1:21">
      <c r="A399" s="100" t="s">
        <v>1941</v>
      </c>
      <c r="B399" s="101" t="s">
        <v>1005</v>
      </c>
      <c r="C399" s="101" t="s">
        <v>1942</v>
      </c>
      <c r="D399" s="101" t="s">
        <v>508</v>
      </c>
      <c r="E399" s="101" t="s">
        <v>414</v>
      </c>
      <c r="F399" s="102">
        <v>45804</v>
      </c>
      <c r="G399" s="83" t="s">
        <v>393</v>
      </c>
      <c r="H399" s="102">
        <v>45851</v>
      </c>
      <c r="I399" s="101" t="s">
        <v>940</v>
      </c>
      <c r="J399" s="101" t="s">
        <v>227</v>
      </c>
      <c r="K399" s="102"/>
      <c r="L399" s="83" t="s">
        <v>404</v>
      </c>
      <c r="M399" s="102"/>
      <c r="N399" s="101"/>
      <c r="O399" s="101"/>
      <c r="P399" s="83">
        <f t="shared" ca="1" si="24"/>
        <v>341</v>
      </c>
      <c r="Q399" s="83" t="str">
        <f t="shared" ca="1" si="25"/>
        <v>Stale</v>
      </c>
      <c r="R399" s="83" t="str">
        <f t="shared" ca="1" si="26"/>
        <v>Delayed</v>
      </c>
      <c r="S399" s="83" t="str">
        <f t="shared" si="27"/>
        <v/>
      </c>
      <c r="T399" s="101" t="str">
        <f>IFERROR(_xlfn.XLOOKUP(tblRecruitmentPipeline[[#This Row],[REQ_ID]],tblRequisitions[REQ_ID],tblRequisitions[DEPARTMENT],""),"")</f>
        <v>Compliance</v>
      </c>
      <c r="U399" s="110" t="str">
        <f>IF(tblRecruitmentPipeline[[#This Row],[REQ_DEPARTMENT]]="","No","Yes")</f>
        <v>Yes</v>
      </c>
    </row>
    <row r="400" spans="1:21">
      <c r="A400" s="100" t="s">
        <v>1943</v>
      </c>
      <c r="B400" s="101" t="s">
        <v>1005</v>
      </c>
      <c r="C400" s="101" t="s">
        <v>1944</v>
      </c>
      <c r="D400" s="101" t="s">
        <v>838</v>
      </c>
      <c r="E400" s="101" t="s">
        <v>403</v>
      </c>
      <c r="F400" s="102">
        <v>45798</v>
      </c>
      <c r="G400" s="83" t="s">
        <v>393</v>
      </c>
      <c r="H400" s="102">
        <v>45842</v>
      </c>
      <c r="I400" s="101" t="s">
        <v>940</v>
      </c>
      <c r="J400" s="101" t="s">
        <v>227</v>
      </c>
      <c r="K400" s="102"/>
      <c r="L400" s="83" t="s">
        <v>404</v>
      </c>
      <c r="M400" s="102"/>
      <c r="N400" s="101"/>
      <c r="O400" s="101"/>
      <c r="P400" s="83">
        <f t="shared" ca="1" si="24"/>
        <v>347</v>
      </c>
      <c r="Q400" s="83" t="str">
        <f t="shared" ca="1" si="25"/>
        <v>Stale</v>
      </c>
      <c r="R400" s="83" t="str">
        <f t="shared" ca="1" si="26"/>
        <v>Delayed</v>
      </c>
      <c r="S400" s="83" t="str">
        <f t="shared" si="27"/>
        <v/>
      </c>
      <c r="T400" s="101" t="str">
        <f>IFERROR(_xlfn.XLOOKUP(tblRecruitmentPipeline[[#This Row],[REQ_ID]],tblRequisitions[REQ_ID],tblRequisitions[DEPARTMENT],""),"")</f>
        <v>Compliance</v>
      </c>
      <c r="U400" s="110" t="str">
        <f>IF(tblRecruitmentPipeline[[#This Row],[REQ_DEPARTMENT]]="","No","Yes")</f>
        <v>Yes</v>
      </c>
    </row>
    <row r="401" spans="1:21">
      <c r="A401" s="100" t="s">
        <v>1945</v>
      </c>
      <c r="B401" s="101" t="s">
        <v>1006</v>
      </c>
      <c r="C401" s="101" t="s">
        <v>1946</v>
      </c>
      <c r="D401" s="101" t="s">
        <v>1496</v>
      </c>
      <c r="E401" s="101" t="s">
        <v>384</v>
      </c>
      <c r="F401" s="102">
        <v>46028</v>
      </c>
      <c r="G401" s="83" t="s">
        <v>219</v>
      </c>
      <c r="H401" s="102">
        <v>46036</v>
      </c>
      <c r="I401" s="101" t="s">
        <v>192</v>
      </c>
      <c r="J401" s="101" t="s">
        <v>227</v>
      </c>
      <c r="K401" s="102">
        <v>46035</v>
      </c>
      <c r="L401" s="83" t="s">
        <v>231</v>
      </c>
      <c r="M401" s="102">
        <v>46046</v>
      </c>
      <c r="N401" s="101"/>
      <c r="O401" s="101"/>
      <c r="P401" s="83">
        <f t="shared" ca="1" si="24"/>
        <v>18</v>
      </c>
      <c r="Q401" s="83" t="str">
        <f t="shared" si="25"/>
        <v>Closed</v>
      </c>
      <c r="R401" s="83" t="str">
        <f t="shared" si="26"/>
        <v>Closed</v>
      </c>
      <c r="S401" s="83">
        <f t="shared" si="27"/>
        <v>18</v>
      </c>
      <c r="T401" s="101" t="str">
        <f>IFERROR(_xlfn.XLOOKUP(tblRecruitmentPipeline[[#This Row],[REQ_ID]],tblRequisitions[REQ_ID],tblRequisitions[DEPARTMENT],""),"")</f>
        <v>Compliance</v>
      </c>
      <c r="U401" s="110" t="str">
        <f>IF(tblRecruitmentPipeline[[#This Row],[REQ_DEPARTMENT]]="","No","Yes")</f>
        <v>Yes</v>
      </c>
    </row>
    <row r="402" spans="1:21">
      <c r="A402" s="100" t="s">
        <v>1947</v>
      </c>
      <c r="B402" s="101" t="s">
        <v>1006</v>
      </c>
      <c r="C402" s="101" t="s">
        <v>1948</v>
      </c>
      <c r="D402" s="101" t="s">
        <v>1949</v>
      </c>
      <c r="E402" s="101" t="s">
        <v>403</v>
      </c>
      <c r="F402" s="102">
        <v>46027</v>
      </c>
      <c r="G402" s="83" t="s">
        <v>372</v>
      </c>
      <c r="H402" s="102">
        <v>46076</v>
      </c>
      <c r="I402" s="101" t="s">
        <v>192</v>
      </c>
      <c r="J402" s="101" t="s">
        <v>227</v>
      </c>
      <c r="K402" s="102"/>
      <c r="L402" s="83" t="s">
        <v>404</v>
      </c>
      <c r="M402" s="102"/>
      <c r="N402" s="101"/>
      <c r="O402" s="101"/>
      <c r="P402" s="83">
        <f t="shared" ca="1" si="24"/>
        <v>118</v>
      </c>
      <c r="Q402" s="83" t="str">
        <f t="shared" ca="1" si="25"/>
        <v>Stale</v>
      </c>
      <c r="R402" s="83" t="str">
        <f t="shared" ca="1" si="26"/>
        <v>Delayed</v>
      </c>
      <c r="S402" s="83" t="str">
        <f t="shared" si="27"/>
        <v/>
      </c>
      <c r="T402" s="101" t="str">
        <f>IFERROR(_xlfn.XLOOKUP(tblRecruitmentPipeline[[#This Row],[REQ_ID]],tblRequisitions[REQ_ID],tblRequisitions[DEPARTMENT],""),"")</f>
        <v>Compliance</v>
      </c>
      <c r="U402" s="110" t="str">
        <f>IF(tblRecruitmentPipeline[[#This Row],[REQ_DEPARTMENT]]="","No","Yes")</f>
        <v>Yes</v>
      </c>
    </row>
    <row r="403" spans="1:21">
      <c r="A403" s="100" t="s">
        <v>1950</v>
      </c>
      <c r="B403" s="101" t="s">
        <v>1006</v>
      </c>
      <c r="C403" s="101" t="s">
        <v>1951</v>
      </c>
      <c r="D403" s="101" t="s">
        <v>1193</v>
      </c>
      <c r="E403" s="101" t="s">
        <v>384</v>
      </c>
      <c r="F403" s="102">
        <v>46020</v>
      </c>
      <c r="G403" s="83" t="s">
        <v>418</v>
      </c>
      <c r="H403" s="102">
        <v>46046</v>
      </c>
      <c r="I403" s="101" t="s">
        <v>192</v>
      </c>
      <c r="J403" s="101" t="s">
        <v>36</v>
      </c>
      <c r="K403" s="102"/>
      <c r="L403" s="83" t="s">
        <v>404</v>
      </c>
      <c r="M403" s="102"/>
      <c r="N403" s="101"/>
      <c r="O403" s="101" t="s">
        <v>1183</v>
      </c>
      <c r="P403" s="83">
        <f t="shared" ca="1" si="24"/>
        <v>26</v>
      </c>
      <c r="Q403" s="83" t="str">
        <f t="shared" si="25"/>
        <v>Closed</v>
      </c>
      <c r="R403" s="83" t="str">
        <f t="shared" si="26"/>
        <v>Closed</v>
      </c>
      <c r="S403" s="83" t="str">
        <f t="shared" si="27"/>
        <v/>
      </c>
      <c r="T403" s="101" t="str">
        <f>IFERROR(_xlfn.XLOOKUP(tblRecruitmentPipeline[[#This Row],[REQ_ID]],tblRequisitions[REQ_ID],tblRequisitions[DEPARTMENT],""),"")</f>
        <v>Compliance</v>
      </c>
      <c r="U403" s="110" t="str">
        <f>IF(tblRecruitmentPipeline[[#This Row],[REQ_DEPARTMENT]]="","No","Yes")</f>
        <v>Yes</v>
      </c>
    </row>
    <row r="404" spans="1:21">
      <c r="A404" s="100" t="s">
        <v>1952</v>
      </c>
      <c r="B404" s="101" t="s">
        <v>1006</v>
      </c>
      <c r="C404" s="101" t="s">
        <v>1953</v>
      </c>
      <c r="D404" s="101" t="s">
        <v>734</v>
      </c>
      <c r="E404" s="101" t="s">
        <v>384</v>
      </c>
      <c r="F404" s="102">
        <v>46025</v>
      </c>
      <c r="G404" s="83" t="s">
        <v>219</v>
      </c>
      <c r="H404" s="102">
        <v>46069</v>
      </c>
      <c r="I404" s="101" t="s">
        <v>192</v>
      </c>
      <c r="J404" s="101" t="s">
        <v>36</v>
      </c>
      <c r="K404" s="102">
        <v>46064</v>
      </c>
      <c r="L404" s="83" t="s">
        <v>231</v>
      </c>
      <c r="M404" s="102">
        <v>46083</v>
      </c>
      <c r="N404" s="101"/>
      <c r="O404" s="101"/>
      <c r="P404" s="83">
        <f t="shared" ca="1" si="24"/>
        <v>58</v>
      </c>
      <c r="Q404" s="83" t="str">
        <f t="shared" si="25"/>
        <v>Closed</v>
      </c>
      <c r="R404" s="83" t="str">
        <f t="shared" si="26"/>
        <v>Closed</v>
      </c>
      <c r="S404" s="83">
        <f t="shared" si="27"/>
        <v>58</v>
      </c>
      <c r="T404" s="101" t="str">
        <f>IFERROR(_xlfn.XLOOKUP(tblRecruitmentPipeline[[#This Row],[REQ_ID]],tblRequisitions[REQ_ID],tblRequisitions[DEPARTMENT],""),"")</f>
        <v>Compliance</v>
      </c>
      <c r="U404" s="110" t="str">
        <f>IF(tblRecruitmentPipeline[[#This Row],[REQ_DEPARTMENT]]="","No","Yes")</f>
        <v>Yes</v>
      </c>
    </row>
    <row r="405" spans="1:21">
      <c r="A405" s="100" t="s">
        <v>1954</v>
      </c>
      <c r="B405" s="101" t="s">
        <v>1006</v>
      </c>
      <c r="C405" s="101" t="s">
        <v>1955</v>
      </c>
      <c r="D405" s="101" t="s">
        <v>1956</v>
      </c>
      <c r="E405" s="101" t="s">
        <v>414</v>
      </c>
      <c r="F405" s="102">
        <v>46050</v>
      </c>
      <c r="G405" s="83" t="s">
        <v>401</v>
      </c>
      <c r="H405" s="102">
        <v>46068</v>
      </c>
      <c r="I405" s="101" t="s">
        <v>192</v>
      </c>
      <c r="J405" s="101" t="s">
        <v>227</v>
      </c>
      <c r="K405" s="102"/>
      <c r="L405" s="83" t="s">
        <v>404</v>
      </c>
      <c r="M405" s="102"/>
      <c r="N405" s="101"/>
      <c r="O405" s="101"/>
      <c r="P405" s="83">
        <f t="shared" ca="1" si="24"/>
        <v>95</v>
      </c>
      <c r="Q405" s="83" t="str">
        <f t="shared" ca="1" si="25"/>
        <v>Stale</v>
      </c>
      <c r="R405" s="83" t="str">
        <f t="shared" ca="1" si="26"/>
        <v>Delayed</v>
      </c>
      <c r="S405" s="83" t="str">
        <f t="shared" si="27"/>
        <v/>
      </c>
      <c r="T405" s="101" t="str">
        <f>IFERROR(_xlfn.XLOOKUP(tblRecruitmentPipeline[[#This Row],[REQ_ID]],tblRequisitions[REQ_ID],tblRequisitions[DEPARTMENT],""),"")</f>
        <v>Compliance</v>
      </c>
      <c r="U405" s="110" t="str">
        <f>IF(tblRecruitmentPipeline[[#This Row],[REQ_DEPARTMENT]]="","No","Yes")</f>
        <v>Yes</v>
      </c>
    </row>
    <row r="406" spans="1:21">
      <c r="A406" s="100" t="s">
        <v>1957</v>
      </c>
      <c r="B406" s="101" t="s">
        <v>1007</v>
      </c>
      <c r="C406" s="101" t="s">
        <v>1958</v>
      </c>
      <c r="D406" s="101" t="s">
        <v>749</v>
      </c>
      <c r="E406" s="101" t="s">
        <v>414</v>
      </c>
      <c r="F406" s="102">
        <v>45929</v>
      </c>
      <c r="G406" s="83" t="s">
        <v>418</v>
      </c>
      <c r="H406" s="102">
        <v>45938</v>
      </c>
      <c r="I406" s="101" t="s">
        <v>192</v>
      </c>
      <c r="J406" s="101" t="s">
        <v>36</v>
      </c>
      <c r="K406" s="102"/>
      <c r="L406" s="83" t="s">
        <v>404</v>
      </c>
      <c r="M406" s="102"/>
      <c r="N406" s="101"/>
      <c r="O406" s="101" t="s">
        <v>1406</v>
      </c>
      <c r="P406" s="83">
        <f t="shared" ca="1" si="24"/>
        <v>9</v>
      </c>
      <c r="Q406" s="83" t="str">
        <f t="shared" si="25"/>
        <v>Closed</v>
      </c>
      <c r="R406" s="83" t="str">
        <f t="shared" si="26"/>
        <v>Closed</v>
      </c>
      <c r="S406" s="83" t="str">
        <f t="shared" si="27"/>
        <v/>
      </c>
      <c r="T406" s="101" t="str">
        <f>IFERROR(_xlfn.XLOOKUP(tblRecruitmentPipeline[[#This Row],[REQ_ID]],tblRequisitions[REQ_ID],tblRequisitions[DEPARTMENT],""),"")</f>
        <v>Human Resources</v>
      </c>
      <c r="U406" s="110" t="str">
        <f>IF(tblRecruitmentPipeline[[#This Row],[REQ_DEPARTMENT]]="","No","Yes")</f>
        <v>Yes</v>
      </c>
    </row>
    <row r="407" spans="1:21">
      <c r="A407" s="100" t="s">
        <v>1959</v>
      </c>
      <c r="B407" s="101" t="s">
        <v>1007</v>
      </c>
      <c r="C407" s="101" t="s">
        <v>1960</v>
      </c>
      <c r="D407" s="101" t="s">
        <v>922</v>
      </c>
      <c r="E407" s="101" t="s">
        <v>412</v>
      </c>
      <c r="F407" s="102">
        <v>45955</v>
      </c>
      <c r="G407" s="83" t="s">
        <v>401</v>
      </c>
      <c r="H407" s="102">
        <v>45959</v>
      </c>
      <c r="I407" s="101" t="s">
        <v>192</v>
      </c>
      <c r="J407" s="101" t="s">
        <v>1030</v>
      </c>
      <c r="K407" s="102"/>
      <c r="L407" s="83" t="s">
        <v>404</v>
      </c>
      <c r="M407" s="102"/>
      <c r="N407" s="101"/>
      <c r="O407" s="101"/>
      <c r="P407" s="83">
        <f t="shared" ca="1" si="24"/>
        <v>190</v>
      </c>
      <c r="Q407" s="83" t="str">
        <f t="shared" ca="1" si="25"/>
        <v>Stale</v>
      </c>
      <c r="R407" s="83" t="str">
        <f t="shared" ca="1" si="26"/>
        <v>Delayed</v>
      </c>
      <c r="S407" s="83" t="str">
        <f t="shared" si="27"/>
        <v/>
      </c>
      <c r="T407" s="101" t="str">
        <f>IFERROR(_xlfn.XLOOKUP(tblRecruitmentPipeline[[#This Row],[REQ_ID]],tblRequisitions[REQ_ID],tblRequisitions[DEPARTMENT],""),"")</f>
        <v>Human Resources</v>
      </c>
      <c r="U407" s="110" t="str">
        <f>IF(tblRecruitmentPipeline[[#This Row],[REQ_DEPARTMENT]]="","No","Yes")</f>
        <v>Yes</v>
      </c>
    </row>
    <row r="408" spans="1:21">
      <c r="A408" s="100" t="s">
        <v>1961</v>
      </c>
      <c r="B408" s="101" t="s">
        <v>1007</v>
      </c>
      <c r="C408" s="101" t="s">
        <v>1962</v>
      </c>
      <c r="D408" s="101" t="s">
        <v>809</v>
      </c>
      <c r="E408" s="101" t="s">
        <v>403</v>
      </c>
      <c r="F408" s="102">
        <v>45958</v>
      </c>
      <c r="G408" s="83" t="s">
        <v>393</v>
      </c>
      <c r="H408" s="102">
        <v>45979</v>
      </c>
      <c r="I408" s="101" t="s">
        <v>192</v>
      </c>
      <c r="J408" s="101" t="s">
        <v>1030</v>
      </c>
      <c r="K408" s="102"/>
      <c r="L408" s="83" t="s">
        <v>404</v>
      </c>
      <c r="M408" s="102"/>
      <c r="N408" s="101"/>
      <c r="O408" s="101"/>
      <c r="P408" s="83">
        <f t="shared" ca="1" si="24"/>
        <v>187</v>
      </c>
      <c r="Q408" s="83" t="str">
        <f t="shared" ca="1" si="25"/>
        <v>Stale</v>
      </c>
      <c r="R408" s="83" t="str">
        <f t="shared" ca="1" si="26"/>
        <v>Delayed</v>
      </c>
      <c r="S408" s="83" t="str">
        <f t="shared" si="27"/>
        <v/>
      </c>
      <c r="T408" s="101" t="str">
        <f>IFERROR(_xlfn.XLOOKUP(tblRecruitmentPipeline[[#This Row],[REQ_ID]],tblRequisitions[REQ_ID],tblRequisitions[DEPARTMENT],""),"")</f>
        <v>Human Resources</v>
      </c>
      <c r="U408" s="110" t="str">
        <f>IF(tblRecruitmentPipeline[[#This Row],[REQ_DEPARTMENT]]="","No","Yes")</f>
        <v>Yes</v>
      </c>
    </row>
    <row r="409" spans="1:21">
      <c r="A409" s="100" t="s">
        <v>1963</v>
      </c>
      <c r="B409" s="101" t="s">
        <v>1007</v>
      </c>
      <c r="C409" s="101" t="s">
        <v>1964</v>
      </c>
      <c r="D409" s="101" t="s">
        <v>1496</v>
      </c>
      <c r="E409" s="101" t="s">
        <v>213</v>
      </c>
      <c r="F409" s="102">
        <v>45958</v>
      </c>
      <c r="G409" s="83" t="s">
        <v>219</v>
      </c>
      <c r="H409" s="102">
        <v>46003</v>
      </c>
      <c r="I409" s="101" t="s">
        <v>192</v>
      </c>
      <c r="J409" s="101" t="s">
        <v>1030</v>
      </c>
      <c r="K409" s="102">
        <v>45998</v>
      </c>
      <c r="L409" s="83" t="s">
        <v>231</v>
      </c>
      <c r="M409" s="102">
        <v>46014</v>
      </c>
      <c r="N409" s="101"/>
      <c r="O409" s="101"/>
      <c r="P409" s="83">
        <f t="shared" ca="1" si="24"/>
        <v>56</v>
      </c>
      <c r="Q409" s="83" t="str">
        <f t="shared" si="25"/>
        <v>Closed</v>
      </c>
      <c r="R409" s="83" t="str">
        <f t="shared" si="26"/>
        <v>Closed</v>
      </c>
      <c r="S409" s="83">
        <f t="shared" si="27"/>
        <v>56</v>
      </c>
      <c r="T409" s="101" t="str">
        <f>IFERROR(_xlfn.XLOOKUP(tblRecruitmentPipeline[[#This Row],[REQ_ID]],tblRequisitions[REQ_ID],tblRequisitions[DEPARTMENT],""),"")</f>
        <v>Human Resources</v>
      </c>
      <c r="U409" s="110" t="str">
        <f>IF(tblRecruitmentPipeline[[#This Row],[REQ_DEPARTMENT]]="","No","Yes")</f>
        <v>Yes</v>
      </c>
    </row>
    <row r="410" spans="1:21">
      <c r="A410" s="100" t="s">
        <v>1965</v>
      </c>
      <c r="B410" s="101" t="s">
        <v>1007</v>
      </c>
      <c r="C410" s="101" t="s">
        <v>1966</v>
      </c>
      <c r="D410" s="101" t="s">
        <v>1395</v>
      </c>
      <c r="E410" s="101" t="s">
        <v>213</v>
      </c>
      <c r="F410" s="102">
        <v>45959</v>
      </c>
      <c r="G410" s="83" t="s">
        <v>372</v>
      </c>
      <c r="H410" s="102">
        <v>45977</v>
      </c>
      <c r="I410" s="101" t="s">
        <v>192</v>
      </c>
      <c r="J410" s="101" t="s">
        <v>227</v>
      </c>
      <c r="K410" s="102"/>
      <c r="L410" s="83" t="s">
        <v>404</v>
      </c>
      <c r="M410" s="102"/>
      <c r="N410" s="101"/>
      <c r="O410" s="101"/>
      <c r="P410" s="83">
        <f t="shared" ca="1" si="24"/>
        <v>186</v>
      </c>
      <c r="Q410" s="83" t="str">
        <f t="shared" ca="1" si="25"/>
        <v>Stale</v>
      </c>
      <c r="R410" s="83" t="str">
        <f t="shared" ca="1" si="26"/>
        <v>Delayed</v>
      </c>
      <c r="S410" s="83" t="str">
        <f t="shared" si="27"/>
        <v/>
      </c>
      <c r="T410" s="101" t="str">
        <f>IFERROR(_xlfn.XLOOKUP(tblRecruitmentPipeline[[#This Row],[REQ_ID]],tblRequisitions[REQ_ID],tblRequisitions[DEPARTMENT],""),"")</f>
        <v>Human Resources</v>
      </c>
      <c r="U410" s="110" t="str">
        <f>IF(tblRecruitmentPipeline[[#This Row],[REQ_DEPARTMENT]]="","No","Yes")</f>
        <v>Yes</v>
      </c>
    </row>
    <row r="411" spans="1:21">
      <c r="A411" s="100" t="s">
        <v>1967</v>
      </c>
      <c r="B411" s="101" t="s">
        <v>1007</v>
      </c>
      <c r="C411" s="101" t="s">
        <v>1968</v>
      </c>
      <c r="D411" s="101" t="s">
        <v>1261</v>
      </c>
      <c r="E411" s="101" t="s">
        <v>384</v>
      </c>
      <c r="F411" s="102">
        <v>45949</v>
      </c>
      <c r="G411" s="83" t="s">
        <v>219</v>
      </c>
      <c r="H411" s="102">
        <v>45969</v>
      </c>
      <c r="I411" s="101" t="s">
        <v>192</v>
      </c>
      <c r="J411" s="101" t="s">
        <v>36</v>
      </c>
      <c r="K411" s="102">
        <v>45966</v>
      </c>
      <c r="L411" s="83" t="s">
        <v>231</v>
      </c>
      <c r="M411" s="102">
        <v>45973</v>
      </c>
      <c r="N411" s="101"/>
      <c r="O411" s="101"/>
      <c r="P411" s="83">
        <f t="shared" ca="1" si="24"/>
        <v>24</v>
      </c>
      <c r="Q411" s="83" t="str">
        <f t="shared" si="25"/>
        <v>Closed</v>
      </c>
      <c r="R411" s="83" t="str">
        <f t="shared" si="26"/>
        <v>Closed</v>
      </c>
      <c r="S411" s="83">
        <f t="shared" si="27"/>
        <v>24</v>
      </c>
      <c r="T411" s="101" t="str">
        <f>IFERROR(_xlfn.XLOOKUP(tblRecruitmentPipeline[[#This Row],[REQ_ID]],tblRequisitions[REQ_ID],tblRequisitions[DEPARTMENT],""),"")</f>
        <v>Human Resources</v>
      </c>
      <c r="U411" s="110" t="str">
        <f>IF(tblRecruitmentPipeline[[#This Row],[REQ_DEPARTMENT]]="","No","Yes")</f>
        <v>Yes</v>
      </c>
    </row>
    <row r="412" spans="1:21">
      <c r="A412" s="100" t="s">
        <v>1969</v>
      </c>
      <c r="B412" s="101" t="s">
        <v>1007</v>
      </c>
      <c r="C412" s="101" t="s">
        <v>1970</v>
      </c>
      <c r="D412" s="101" t="s">
        <v>517</v>
      </c>
      <c r="E412" s="101" t="s">
        <v>403</v>
      </c>
      <c r="F412" s="102">
        <v>45949</v>
      </c>
      <c r="G412" s="83" t="s">
        <v>413</v>
      </c>
      <c r="H412" s="102">
        <v>45988</v>
      </c>
      <c r="I412" s="101" t="s">
        <v>192</v>
      </c>
      <c r="J412" s="101" t="s">
        <v>1030</v>
      </c>
      <c r="K412" s="102"/>
      <c r="L412" s="83" t="s">
        <v>404</v>
      </c>
      <c r="M412" s="102"/>
      <c r="N412" s="101" t="s">
        <v>1027</v>
      </c>
      <c r="O412" s="101"/>
      <c r="P412" s="83">
        <f t="shared" ca="1" si="24"/>
        <v>39</v>
      </c>
      <c r="Q412" s="83" t="str">
        <f t="shared" si="25"/>
        <v>Closed</v>
      </c>
      <c r="R412" s="83" t="str">
        <f t="shared" si="26"/>
        <v>Closed</v>
      </c>
      <c r="S412" s="83" t="str">
        <f t="shared" si="27"/>
        <v/>
      </c>
      <c r="T412" s="101" t="str">
        <f>IFERROR(_xlfn.XLOOKUP(tblRecruitmentPipeline[[#This Row],[REQ_ID]],tblRequisitions[REQ_ID],tblRequisitions[DEPARTMENT],""),"")</f>
        <v>Human Resources</v>
      </c>
      <c r="U412" s="110" t="str">
        <f>IF(tblRecruitmentPipeline[[#This Row],[REQ_DEPARTMENT]]="","No","Yes")</f>
        <v>Yes</v>
      </c>
    </row>
    <row r="413" spans="1:21">
      <c r="A413" s="100" t="s">
        <v>1971</v>
      </c>
      <c r="B413" s="101" t="s">
        <v>1008</v>
      </c>
      <c r="C413" s="101" t="s">
        <v>1972</v>
      </c>
      <c r="D413" s="101" t="s">
        <v>1973</v>
      </c>
      <c r="E413" s="101" t="s">
        <v>384</v>
      </c>
      <c r="F413" s="102">
        <v>46034</v>
      </c>
      <c r="G413" s="83" t="s">
        <v>393</v>
      </c>
      <c r="H413" s="102">
        <v>46039</v>
      </c>
      <c r="I413" s="101" t="s">
        <v>192</v>
      </c>
      <c r="J413" s="101" t="s">
        <v>1030</v>
      </c>
      <c r="K413" s="102"/>
      <c r="L413" s="83" t="s">
        <v>404</v>
      </c>
      <c r="M413" s="102"/>
      <c r="N413" s="101"/>
      <c r="O413" s="101"/>
      <c r="P413" s="83">
        <f t="shared" ca="1" si="24"/>
        <v>111</v>
      </c>
      <c r="Q413" s="83" t="str">
        <f t="shared" ca="1" si="25"/>
        <v>Stale</v>
      </c>
      <c r="R413" s="83" t="str">
        <f t="shared" ca="1" si="26"/>
        <v>Delayed</v>
      </c>
      <c r="S413" s="83" t="str">
        <f t="shared" si="27"/>
        <v/>
      </c>
      <c r="T413" s="101" t="str">
        <f>IFERROR(_xlfn.XLOOKUP(tblRecruitmentPipeline[[#This Row],[REQ_ID]],tblRequisitions[REQ_ID],tblRequisitions[DEPARTMENT],""),"")</f>
        <v>Loan Processing</v>
      </c>
      <c r="U413" s="110" t="str">
        <f>IF(tblRecruitmentPipeline[[#This Row],[REQ_DEPARTMENT]]="","No","Yes")</f>
        <v>Yes</v>
      </c>
    </row>
    <row r="414" spans="1:21">
      <c r="A414" s="100" t="s">
        <v>1974</v>
      </c>
      <c r="B414" s="101" t="s">
        <v>1008</v>
      </c>
      <c r="C414" s="101" t="s">
        <v>1975</v>
      </c>
      <c r="D414" s="101" t="s">
        <v>761</v>
      </c>
      <c r="E414" s="101" t="s">
        <v>384</v>
      </c>
      <c r="F414" s="102">
        <v>46031</v>
      </c>
      <c r="G414" s="83" t="s">
        <v>409</v>
      </c>
      <c r="H414" s="102">
        <v>46077</v>
      </c>
      <c r="I414" s="101" t="s">
        <v>192</v>
      </c>
      <c r="J414" s="101" t="s">
        <v>1030</v>
      </c>
      <c r="K414" s="102">
        <v>46076</v>
      </c>
      <c r="L414" s="83" t="s">
        <v>385</v>
      </c>
      <c r="M414" s="102"/>
      <c r="N414" s="101"/>
      <c r="O414" s="101"/>
      <c r="P414" s="83">
        <f t="shared" ca="1" si="24"/>
        <v>114</v>
      </c>
      <c r="Q414" s="83" t="str">
        <f t="shared" ca="1" si="25"/>
        <v>Stale</v>
      </c>
      <c r="R414" s="83" t="str">
        <f t="shared" ca="1" si="26"/>
        <v>Delayed</v>
      </c>
      <c r="S414" s="83" t="str">
        <f t="shared" si="27"/>
        <v/>
      </c>
      <c r="T414" s="101" t="str">
        <f>IFERROR(_xlfn.XLOOKUP(tblRecruitmentPipeline[[#This Row],[REQ_ID]],tblRequisitions[REQ_ID],tblRequisitions[DEPARTMENT],""),"")</f>
        <v>Loan Processing</v>
      </c>
      <c r="U414" s="110" t="str">
        <f>IF(tblRecruitmentPipeline[[#This Row],[REQ_DEPARTMENT]]="","No","Yes")</f>
        <v>Yes</v>
      </c>
    </row>
    <row r="415" spans="1:21">
      <c r="A415" s="100" t="s">
        <v>1976</v>
      </c>
      <c r="B415" s="101" t="s">
        <v>1008</v>
      </c>
      <c r="C415" s="101" t="s">
        <v>1977</v>
      </c>
      <c r="D415" s="101" t="s">
        <v>455</v>
      </c>
      <c r="E415" s="101" t="s">
        <v>213</v>
      </c>
      <c r="F415" s="102">
        <v>46046</v>
      </c>
      <c r="G415" s="83" t="s">
        <v>393</v>
      </c>
      <c r="H415" s="102">
        <v>46077</v>
      </c>
      <c r="I415" s="101" t="s">
        <v>192</v>
      </c>
      <c r="J415" s="101" t="s">
        <v>227</v>
      </c>
      <c r="K415" s="102"/>
      <c r="L415" s="83" t="s">
        <v>404</v>
      </c>
      <c r="M415" s="102"/>
      <c r="N415" s="101"/>
      <c r="O415" s="101"/>
      <c r="P415" s="83">
        <f t="shared" ca="1" si="24"/>
        <v>99</v>
      </c>
      <c r="Q415" s="83" t="str">
        <f t="shared" ca="1" si="25"/>
        <v>Stale</v>
      </c>
      <c r="R415" s="83" t="str">
        <f t="shared" ca="1" si="26"/>
        <v>Delayed</v>
      </c>
      <c r="S415" s="83" t="str">
        <f t="shared" si="27"/>
        <v/>
      </c>
      <c r="T415" s="101" t="str">
        <f>IFERROR(_xlfn.XLOOKUP(tblRecruitmentPipeline[[#This Row],[REQ_ID]],tblRequisitions[REQ_ID],tblRequisitions[DEPARTMENT],""),"")</f>
        <v>Loan Processing</v>
      </c>
      <c r="U415" s="110" t="str">
        <f>IF(tblRecruitmentPipeline[[#This Row],[REQ_DEPARTMENT]]="","No","Yes")</f>
        <v>Yes</v>
      </c>
    </row>
    <row r="416" spans="1:21">
      <c r="A416" s="100" t="s">
        <v>1978</v>
      </c>
      <c r="B416" s="101" t="s">
        <v>1008</v>
      </c>
      <c r="C416" s="101" t="s">
        <v>1979</v>
      </c>
      <c r="D416" s="101" t="s">
        <v>1273</v>
      </c>
      <c r="E416" s="101" t="s">
        <v>261</v>
      </c>
      <c r="F416" s="102">
        <v>46038</v>
      </c>
      <c r="G416" s="83" t="s">
        <v>382</v>
      </c>
      <c r="H416" s="102">
        <v>46084</v>
      </c>
      <c r="I416" s="101" t="s">
        <v>192</v>
      </c>
      <c r="J416" s="101" t="s">
        <v>36</v>
      </c>
      <c r="K416" s="102"/>
      <c r="L416" s="83" t="s">
        <v>404</v>
      </c>
      <c r="M416" s="102"/>
      <c r="N416" s="101"/>
      <c r="O416" s="101"/>
      <c r="P416" s="83">
        <f t="shared" ca="1" si="24"/>
        <v>107</v>
      </c>
      <c r="Q416" s="83" t="str">
        <f t="shared" ca="1" si="25"/>
        <v>Stale</v>
      </c>
      <c r="R416" s="83" t="str">
        <f t="shared" ca="1" si="26"/>
        <v>Delayed</v>
      </c>
      <c r="S416" s="83" t="str">
        <f t="shared" si="27"/>
        <v/>
      </c>
      <c r="T416" s="101" t="str">
        <f>IFERROR(_xlfn.XLOOKUP(tblRecruitmentPipeline[[#This Row],[REQ_ID]],tblRequisitions[REQ_ID],tblRequisitions[DEPARTMENT],""),"")</f>
        <v>Loan Processing</v>
      </c>
      <c r="U416" s="110" t="str">
        <f>IF(tblRecruitmentPipeline[[#This Row],[REQ_DEPARTMENT]]="","No","Yes")</f>
        <v>Yes</v>
      </c>
    </row>
    <row r="417" spans="1:21">
      <c r="A417" s="100" t="s">
        <v>1980</v>
      </c>
      <c r="B417" s="101" t="s">
        <v>1008</v>
      </c>
      <c r="C417" s="101" t="s">
        <v>1981</v>
      </c>
      <c r="D417" s="101" t="s">
        <v>625</v>
      </c>
      <c r="E417" s="101" t="s">
        <v>412</v>
      </c>
      <c r="F417" s="102">
        <v>46036</v>
      </c>
      <c r="G417" s="83" t="s">
        <v>393</v>
      </c>
      <c r="H417" s="102">
        <v>46044</v>
      </c>
      <c r="I417" s="101" t="s">
        <v>192</v>
      </c>
      <c r="J417" s="101" t="s">
        <v>227</v>
      </c>
      <c r="K417" s="102"/>
      <c r="L417" s="83" t="s">
        <v>404</v>
      </c>
      <c r="M417" s="102"/>
      <c r="N417" s="101"/>
      <c r="O417" s="101"/>
      <c r="P417" s="83">
        <f t="shared" ca="1" si="24"/>
        <v>109</v>
      </c>
      <c r="Q417" s="83" t="str">
        <f t="shared" ca="1" si="25"/>
        <v>Stale</v>
      </c>
      <c r="R417" s="83" t="str">
        <f t="shared" ca="1" si="26"/>
        <v>Delayed</v>
      </c>
      <c r="S417" s="83" t="str">
        <f t="shared" si="27"/>
        <v/>
      </c>
      <c r="T417" s="101" t="str">
        <f>IFERROR(_xlfn.XLOOKUP(tblRecruitmentPipeline[[#This Row],[REQ_ID]],tblRequisitions[REQ_ID],tblRequisitions[DEPARTMENT],""),"")</f>
        <v>Loan Processing</v>
      </c>
      <c r="U417" s="110" t="str">
        <f>IF(tblRecruitmentPipeline[[#This Row],[REQ_DEPARTMENT]]="","No","Yes")</f>
        <v>Yes</v>
      </c>
    </row>
    <row r="418" spans="1:21">
      <c r="A418" s="100" t="s">
        <v>1982</v>
      </c>
      <c r="B418" s="101" t="s">
        <v>1008</v>
      </c>
      <c r="C418" s="101" t="s">
        <v>1983</v>
      </c>
      <c r="D418" s="101" t="s">
        <v>1193</v>
      </c>
      <c r="E418" s="101" t="s">
        <v>384</v>
      </c>
      <c r="F418" s="102">
        <v>46025</v>
      </c>
      <c r="G418" s="83" t="s">
        <v>393</v>
      </c>
      <c r="H418" s="102">
        <v>46059</v>
      </c>
      <c r="I418" s="101" t="s">
        <v>192</v>
      </c>
      <c r="J418" s="101" t="s">
        <v>227</v>
      </c>
      <c r="K418" s="102"/>
      <c r="L418" s="83" t="s">
        <v>404</v>
      </c>
      <c r="M418" s="102"/>
      <c r="N418" s="101"/>
      <c r="O418" s="101"/>
      <c r="P418" s="83">
        <f t="shared" ca="1" si="24"/>
        <v>120</v>
      </c>
      <c r="Q418" s="83" t="str">
        <f t="shared" ca="1" si="25"/>
        <v>Stale</v>
      </c>
      <c r="R418" s="83" t="str">
        <f t="shared" ca="1" si="26"/>
        <v>Delayed</v>
      </c>
      <c r="S418" s="83" t="str">
        <f t="shared" si="27"/>
        <v/>
      </c>
      <c r="T418" s="101" t="str">
        <f>IFERROR(_xlfn.XLOOKUP(tblRecruitmentPipeline[[#This Row],[REQ_ID]],tblRequisitions[REQ_ID],tblRequisitions[DEPARTMENT],""),"")</f>
        <v>Loan Processing</v>
      </c>
      <c r="U418" s="110" t="str">
        <f>IF(tblRecruitmentPipeline[[#This Row],[REQ_DEPARTMENT]]="","No","Yes")</f>
        <v>Yes</v>
      </c>
    </row>
    <row r="419" spans="1:21">
      <c r="A419" s="100" t="s">
        <v>1984</v>
      </c>
      <c r="B419" s="101" t="s">
        <v>1009</v>
      </c>
      <c r="C419" s="101" t="s">
        <v>1985</v>
      </c>
      <c r="D419" s="101" t="s">
        <v>1986</v>
      </c>
      <c r="E419" s="101" t="s">
        <v>261</v>
      </c>
      <c r="F419" s="102">
        <v>46005</v>
      </c>
      <c r="G419" s="83" t="s">
        <v>219</v>
      </c>
      <c r="H419" s="102">
        <v>46019</v>
      </c>
      <c r="I419" s="101" t="s">
        <v>192</v>
      </c>
      <c r="J419" s="101" t="s">
        <v>36</v>
      </c>
      <c r="K419" s="102">
        <v>46015</v>
      </c>
      <c r="L419" s="83" t="s">
        <v>231</v>
      </c>
      <c r="M419" s="102">
        <v>46032</v>
      </c>
      <c r="N419" s="101"/>
      <c r="O419" s="101"/>
      <c r="P419" s="83">
        <f t="shared" ca="1" si="24"/>
        <v>27</v>
      </c>
      <c r="Q419" s="83" t="str">
        <f t="shared" si="25"/>
        <v>Closed</v>
      </c>
      <c r="R419" s="83" t="str">
        <f t="shared" si="26"/>
        <v>Closed</v>
      </c>
      <c r="S419" s="83">
        <f t="shared" si="27"/>
        <v>27</v>
      </c>
      <c r="T419" s="101" t="str">
        <f>IFERROR(_xlfn.XLOOKUP(tblRecruitmentPipeline[[#This Row],[REQ_ID]],tblRequisitions[REQ_ID],tblRequisitions[DEPARTMENT],""),"")</f>
        <v>Information Technology</v>
      </c>
      <c r="U419" s="110" t="str">
        <f>IF(tblRecruitmentPipeline[[#This Row],[REQ_DEPARTMENT]]="","No","Yes")</f>
        <v>Yes</v>
      </c>
    </row>
    <row r="420" spans="1:21">
      <c r="A420" s="100" t="s">
        <v>1987</v>
      </c>
      <c r="B420" s="101" t="s">
        <v>1009</v>
      </c>
      <c r="C420" s="101" t="s">
        <v>1988</v>
      </c>
      <c r="D420" s="101" t="s">
        <v>1989</v>
      </c>
      <c r="E420" s="101" t="s">
        <v>412</v>
      </c>
      <c r="F420" s="102">
        <v>45985</v>
      </c>
      <c r="G420" s="83" t="s">
        <v>219</v>
      </c>
      <c r="H420" s="102">
        <v>46023</v>
      </c>
      <c r="I420" s="101" t="s">
        <v>192</v>
      </c>
      <c r="J420" s="101" t="s">
        <v>227</v>
      </c>
      <c r="K420" s="102">
        <v>46019</v>
      </c>
      <c r="L420" s="83" t="s">
        <v>231</v>
      </c>
      <c r="M420" s="102">
        <v>46038</v>
      </c>
      <c r="N420" s="101"/>
      <c r="O420" s="101"/>
      <c r="P420" s="83">
        <f t="shared" ca="1" si="24"/>
        <v>53</v>
      </c>
      <c r="Q420" s="83" t="str">
        <f t="shared" si="25"/>
        <v>Closed</v>
      </c>
      <c r="R420" s="83" t="str">
        <f t="shared" si="26"/>
        <v>Closed</v>
      </c>
      <c r="S420" s="83">
        <f t="shared" si="27"/>
        <v>53</v>
      </c>
      <c r="T420" s="101" t="str">
        <f>IFERROR(_xlfn.XLOOKUP(tblRecruitmentPipeline[[#This Row],[REQ_ID]],tblRequisitions[REQ_ID],tblRequisitions[DEPARTMENT],""),"")</f>
        <v>Information Technology</v>
      </c>
      <c r="U420" s="110" t="str">
        <f>IF(tblRecruitmentPipeline[[#This Row],[REQ_DEPARTMENT]]="","No","Yes")</f>
        <v>Yes</v>
      </c>
    </row>
    <row r="421" spans="1:21">
      <c r="A421" s="100" t="s">
        <v>1990</v>
      </c>
      <c r="B421" s="101" t="s">
        <v>1009</v>
      </c>
      <c r="C421" s="101" t="s">
        <v>1991</v>
      </c>
      <c r="D421" s="101" t="s">
        <v>1219</v>
      </c>
      <c r="E421" s="101" t="s">
        <v>261</v>
      </c>
      <c r="F421" s="102">
        <v>45988</v>
      </c>
      <c r="G421" s="83" t="s">
        <v>409</v>
      </c>
      <c r="H421" s="102">
        <v>46007</v>
      </c>
      <c r="I421" s="101" t="s">
        <v>192</v>
      </c>
      <c r="J421" s="101" t="s">
        <v>1030</v>
      </c>
      <c r="K421" s="102">
        <v>46006</v>
      </c>
      <c r="L421" s="83" t="s">
        <v>385</v>
      </c>
      <c r="M421" s="102"/>
      <c r="N421" s="101"/>
      <c r="O421" s="101"/>
      <c r="P421" s="83">
        <f t="shared" ca="1" si="24"/>
        <v>157</v>
      </c>
      <c r="Q421" s="83" t="str">
        <f t="shared" ca="1" si="25"/>
        <v>Stale</v>
      </c>
      <c r="R421" s="83" t="str">
        <f t="shared" ca="1" si="26"/>
        <v>Delayed</v>
      </c>
      <c r="S421" s="83" t="str">
        <f t="shared" si="27"/>
        <v/>
      </c>
      <c r="T421" s="101" t="str">
        <f>IFERROR(_xlfn.XLOOKUP(tblRecruitmentPipeline[[#This Row],[REQ_ID]],tblRequisitions[REQ_ID],tblRequisitions[DEPARTMENT],""),"")</f>
        <v>Information Technology</v>
      </c>
      <c r="U421" s="110" t="str">
        <f>IF(tblRecruitmentPipeline[[#This Row],[REQ_DEPARTMENT]]="","No","Yes")</f>
        <v>Yes</v>
      </c>
    </row>
    <row r="422" spans="1:21">
      <c r="A422" s="100" t="s">
        <v>1992</v>
      </c>
      <c r="B422" s="101" t="s">
        <v>1009</v>
      </c>
      <c r="C422" s="101" t="s">
        <v>1993</v>
      </c>
      <c r="D422" s="101" t="s">
        <v>1740</v>
      </c>
      <c r="E422" s="101" t="s">
        <v>384</v>
      </c>
      <c r="F422" s="102">
        <v>46001</v>
      </c>
      <c r="G422" s="83" t="s">
        <v>401</v>
      </c>
      <c r="H422" s="102">
        <v>46022</v>
      </c>
      <c r="I422" s="101" t="s">
        <v>192</v>
      </c>
      <c r="J422" s="101" t="s">
        <v>36</v>
      </c>
      <c r="K422" s="102"/>
      <c r="L422" s="83" t="s">
        <v>404</v>
      </c>
      <c r="M422" s="102"/>
      <c r="N422" s="101"/>
      <c r="O422" s="101"/>
      <c r="P422" s="83">
        <f t="shared" ca="1" si="24"/>
        <v>144</v>
      </c>
      <c r="Q422" s="83" t="str">
        <f t="shared" ca="1" si="25"/>
        <v>Stale</v>
      </c>
      <c r="R422" s="83" t="str">
        <f t="shared" ca="1" si="26"/>
        <v>Delayed</v>
      </c>
      <c r="S422" s="83" t="str">
        <f t="shared" si="27"/>
        <v/>
      </c>
      <c r="T422" s="101" t="str">
        <f>IFERROR(_xlfn.XLOOKUP(tblRecruitmentPipeline[[#This Row],[REQ_ID]],tblRequisitions[REQ_ID],tblRequisitions[DEPARTMENT],""),"")</f>
        <v>Information Technology</v>
      </c>
      <c r="U422" s="110" t="str">
        <f>IF(tblRecruitmentPipeline[[#This Row],[REQ_DEPARTMENT]]="","No","Yes")</f>
        <v>Yes</v>
      </c>
    </row>
    <row r="423" spans="1:21">
      <c r="A423" s="100" t="s">
        <v>1994</v>
      </c>
      <c r="B423" s="101" t="s">
        <v>1009</v>
      </c>
      <c r="C423" s="101" t="s">
        <v>1995</v>
      </c>
      <c r="D423" s="101" t="s">
        <v>717</v>
      </c>
      <c r="E423" s="101" t="s">
        <v>375</v>
      </c>
      <c r="F423" s="102">
        <v>46007</v>
      </c>
      <c r="G423" s="83" t="s">
        <v>382</v>
      </c>
      <c r="H423" s="102">
        <v>46041</v>
      </c>
      <c r="I423" s="101" t="s">
        <v>192</v>
      </c>
      <c r="J423" s="101" t="s">
        <v>227</v>
      </c>
      <c r="K423" s="102"/>
      <c r="L423" s="83" t="s">
        <v>404</v>
      </c>
      <c r="M423" s="102"/>
      <c r="N423" s="101"/>
      <c r="O423" s="101"/>
      <c r="P423" s="83">
        <f t="shared" ca="1" si="24"/>
        <v>138</v>
      </c>
      <c r="Q423" s="83" t="str">
        <f t="shared" ca="1" si="25"/>
        <v>Stale</v>
      </c>
      <c r="R423" s="83" t="str">
        <f t="shared" ca="1" si="26"/>
        <v>Delayed</v>
      </c>
      <c r="S423" s="83" t="str">
        <f t="shared" si="27"/>
        <v/>
      </c>
      <c r="T423" s="101" t="str">
        <f>IFERROR(_xlfn.XLOOKUP(tblRecruitmentPipeline[[#This Row],[REQ_ID]],tblRequisitions[REQ_ID],tblRequisitions[DEPARTMENT],""),"")</f>
        <v>Information Technology</v>
      </c>
      <c r="U423" s="110" t="str">
        <f>IF(tblRecruitmentPipeline[[#This Row],[REQ_DEPARTMENT]]="","No","Yes")</f>
        <v>Yes</v>
      </c>
    </row>
    <row r="424" spans="1:21">
      <c r="A424" s="100" t="s">
        <v>1996</v>
      </c>
      <c r="B424" s="101" t="s">
        <v>1010</v>
      </c>
      <c r="C424" s="101" t="s">
        <v>1997</v>
      </c>
      <c r="D424" s="101" t="s">
        <v>1998</v>
      </c>
      <c r="E424" s="101" t="s">
        <v>213</v>
      </c>
      <c r="F424" s="102">
        <v>45874</v>
      </c>
      <c r="G424" s="83" t="s">
        <v>413</v>
      </c>
      <c r="H424" s="102">
        <v>45918</v>
      </c>
      <c r="I424" s="101" t="s">
        <v>942</v>
      </c>
      <c r="J424" s="101" t="s">
        <v>227</v>
      </c>
      <c r="K424" s="102"/>
      <c r="L424" s="83" t="s">
        <v>404</v>
      </c>
      <c r="M424" s="102"/>
      <c r="N424" s="101" t="s">
        <v>1078</v>
      </c>
      <c r="O424" s="101"/>
      <c r="P424" s="83">
        <f t="shared" ca="1" si="24"/>
        <v>44</v>
      </c>
      <c r="Q424" s="83" t="str">
        <f t="shared" si="25"/>
        <v>Closed</v>
      </c>
      <c r="R424" s="83" t="str">
        <f t="shared" si="26"/>
        <v>Closed</v>
      </c>
      <c r="S424" s="83" t="str">
        <f t="shared" si="27"/>
        <v/>
      </c>
      <c r="T424" s="101" t="str">
        <f>IFERROR(_xlfn.XLOOKUP(tblRecruitmentPipeline[[#This Row],[REQ_ID]],tblRequisitions[REQ_ID],tblRequisitions[DEPARTMENT],""),"")</f>
        <v>Branch Operations</v>
      </c>
      <c r="U424" s="110" t="str">
        <f>IF(tblRecruitmentPipeline[[#This Row],[REQ_DEPARTMENT]]="","No","Yes")</f>
        <v>Yes</v>
      </c>
    </row>
    <row r="425" spans="1:21">
      <c r="A425" s="100" t="s">
        <v>1999</v>
      </c>
      <c r="B425" s="101" t="s">
        <v>1010</v>
      </c>
      <c r="C425" s="101" t="s">
        <v>2000</v>
      </c>
      <c r="D425" s="101" t="s">
        <v>795</v>
      </c>
      <c r="E425" s="101" t="s">
        <v>412</v>
      </c>
      <c r="F425" s="102">
        <v>45866</v>
      </c>
      <c r="G425" s="83" t="s">
        <v>418</v>
      </c>
      <c r="H425" s="102">
        <v>45897</v>
      </c>
      <c r="I425" s="101" t="s">
        <v>942</v>
      </c>
      <c r="J425" s="101" t="s">
        <v>227</v>
      </c>
      <c r="K425" s="102"/>
      <c r="L425" s="83" t="s">
        <v>404</v>
      </c>
      <c r="M425" s="102"/>
      <c r="N425" s="101"/>
      <c r="O425" s="101" t="s">
        <v>1690</v>
      </c>
      <c r="P425" s="83">
        <f t="shared" ca="1" si="24"/>
        <v>31</v>
      </c>
      <c r="Q425" s="83" t="str">
        <f t="shared" si="25"/>
        <v>Closed</v>
      </c>
      <c r="R425" s="83" t="str">
        <f t="shared" si="26"/>
        <v>Closed</v>
      </c>
      <c r="S425" s="83" t="str">
        <f t="shared" si="27"/>
        <v/>
      </c>
      <c r="T425" s="101" t="str">
        <f>IFERROR(_xlfn.XLOOKUP(tblRecruitmentPipeline[[#This Row],[REQ_ID]],tblRequisitions[REQ_ID],tblRequisitions[DEPARTMENT],""),"")</f>
        <v>Branch Operations</v>
      </c>
      <c r="U425" s="110" t="str">
        <f>IF(tblRecruitmentPipeline[[#This Row],[REQ_DEPARTMENT]]="","No","Yes")</f>
        <v>Yes</v>
      </c>
    </row>
    <row r="426" spans="1:21">
      <c r="A426" s="100" t="s">
        <v>2001</v>
      </c>
      <c r="B426" s="101" t="s">
        <v>1010</v>
      </c>
      <c r="C426" s="101" t="s">
        <v>2002</v>
      </c>
      <c r="D426" s="101" t="s">
        <v>1024</v>
      </c>
      <c r="E426" s="101" t="s">
        <v>414</v>
      </c>
      <c r="F426" s="102">
        <v>45882</v>
      </c>
      <c r="G426" s="83" t="s">
        <v>418</v>
      </c>
      <c r="H426" s="102">
        <v>45904</v>
      </c>
      <c r="I426" s="101" t="s">
        <v>942</v>
      </c>
      <c r="J426" s="101" t="s">
        <v>36</v>
      </c>
      <c r="K426" s="102"/>
      <c r="L426" s="83" t="s">
        <v>404</v>
      </c>
      <c r="M426" s="102"/>
      <c r="N426" s="101"/>
      <c r="O426" s="101" t="s">
        <v>1690</v>
      </c>
      <c r="P426" s="83">
        <f t="shared" ca="1" si="24"/>
        <v>22</v>
      </c>
      <c r="Q426" s="83" t="str">
        <f t="shared" si="25"/>
        <v>Closed</v>
      </c>
      <c r="R426" s="83" t="str">
        <f t="shared" si="26"/>
        <v>Closed</v>
      </c>
      <c r="S426" s="83" t="str">
        <f t="shared" si="27"/>
        <v/>
      </c>
      <c r="T426" s="101" t="str">
        <f>IFERROR(_xlfn.XLOOKUP(tblRecruitmentPipeline[[#This Row],[REQ_ID]],tblRequisitions[REQ_ID],tblRequisitions[DEPARTMENT],""),"")</f>
        <v>Branch Operations</v>
      </c>
      <c r="U426" s="110" t="str">
        <f>IF(tblRecruitmentPipeline[[#This Row],[REQ_DEPARTMENT]]="","No","Yes")</f>
        <v>Yes</v>
      </c>
    </row>
    <row r="427" spans="1:21">
      <c r="A427" s="100" t="s">
        <v>2003</v>
      </c>
      <c r="B427" s="101" t="s">
        <v>1010</v>
      </c>
      <c r="C427" s="101" t="s">
        <v>2004</v>
      </c>
      <c r="D427" s="101" t="s">
        <v>1188</v>
      </c>
      <c r="E427" s="101" t="s">
        <v>375</v>
      </c>
      <c r="F427" s="102">
        <v>45880</v>
      </c>
      <c r="G427" s="83" t="s">
        <v>413</v>
      </c>
      <c r="H427" s="102">
        <v>45898</v>
      </c>
      <c r="I427" s="101" t="s">
        <v>942</v>
      </c>
      <c r="J427" s="101" t="s">
        <v>1030</v>
      </c>
      <c r="K427" s="102"/>
      <c r="L427" s="83" t="s">
        <v>404</v>
      </c>
      <c r="M427" s="102"/>
      <c r="N427" s="101" t="s">
        <v>1075</v>
      </c>
      <c r="O427" s="101"/>
      <c r="P427" s="83">
        <f t="shared" ca="1" si="24"/>
        <v>18</v>
      </c>
      <c r="Q427" s="83" t="str">
        <f t="shared" si="25"/>
        <v>Closed</v>
      </c>
      <c r="R427" s="83" t="str">
        <f t="shared" si="26"/>
        <v>Closed</v>
      </c>
      <c r="S427" s="83" t="str">
        <f t="shared" si="27"/>
        <v/>
      </c>
      <c r="T427" s="101" t="str">
        <f>IFERROR(_xlfn.XLOOKUP(tblRecruitmentPipeline[[#This Row],[REQ_ID]],tblRequisitions[REQ_ID],tblRequisitions[DEPARTMENT],""),"")</f>
        <v>Branch Operations</v>
      </c>
      <c r="U427" s="110" t="str">
        <f>IF(tblRecruitmentPipeline[[#This Row],[REQ_DEPARTMENT]]="","No","Yes")</f>
        <v>Yes</v>
      </c>
    </row>
    <row r="428" spans="1:21">
      <c r="A428" s="100" t="s">
        <v>2005</v>
      </c>
      <c r="B428" s="101" t="s">
        <v>1010</v>
      </c>
      <c r="C428" s="101" t="s">
        <v>2006</v>
      </c>
      <c r="D428" s="101" t="s">
        <v>800</v>
      </c>
      <c r="E428" s="101" t="s">
        <v>403</v>
      </c>
      <c r="F428" s="102">
        <v>45875</v>
      </c>
      <c r="G428" s="83" t="s">
        <v>418</v>
      </c>
      <c r="H428" s="102">
        <v>45906</v>
      </c>
      <c r="I428" s="101" t="s">
        <v>942</v>
      </c>
      <c r="J428" s="101" t="s">
        <v>227</v>
      </c>
      <c r="K428" s="102"/>
      <c r="L428" s="83" t="s">
        <v>404</v>
      </c>
      <c r="M428" s="102"/>
      <c r="N428" s="101"/>
      <c r="O428" s="101" t="s">
        <v>1406</v>
      </c>
      <c r="P428" s="83">
        <f t="shared" ca="1" si="24"/>
        <v>31</v>
      </c>
      <c r="Q428" s="83" t="str">
        <f t="shared" si="25"/>
        <v>Closed</v>
      </c>
      <c r="R428" s="83" t="str">
        <f t="shared" si="26"/>
        <v>Closed</v>
      </c>
      <c r="S428" s="83" t="str">
        <f t="shared" si="27"/>
        <v/>
      </c>
      <c r="T428" s="101" t="str">
        <f>IFERROR(_xlfn.XLOOKUP(tblRecruitmentPipeline[[#This Row],[REQ_ID]],tblRequisitions[REQ_ID],tblRequisitions[DEPARTMENT],""),"")</f>
        <v>Branch Operations</v>
      </c>
      <c r="U428" s="110" t="str">
        <f>IF(tblRecruitmentPipeline[[#This Row],[REQ_DEPARTMENT]]="","No","Yes")</f>
        <v>Yes</v>
      </c>
    </row>
    <row r="429" spans="1:21">
      <c r="A429" s="100" t="s">
        <v>2007</v>
      </c>
      <c r="B429" s="101" t="s">
        <v>1010</v>
      </c>
      <c r="C429" s="101" t="s">
        <v>2008</v>
      </c>
      <c r="D429" s="101" t="s">
        <v>898</v>
      </c>
      <c r="E429" s="101" t="s">
        <v>412</v>
      </c>
      <c r="F429" s="102">
        <v>45865</v>
      </c>
      <c r="G429" s="83" t="s">
        <v>418</v>
      </c>
      <c r="H429" s="102">
        <v>45875</v>
      </c>
      <c r="I429" s="101" t="s">
        <v>942</v>
      </c>
      <c r="J429" s="101" t="s">
        <v>227</v>
      </c>
      <c r="K429" s="102"/>
      <c r="L429" s="83" t="s">
        <v>404</v>
      </c>
      <c r="M429" s="102"/>
      <c r="N429" s="101"/>
      <c r="O429" s="101" t="s">
        <v>1690</v>
      </c>
      <c r="P429" s="83">
        <f t="shared" ca="1" si="24"/>
        <v>10</v>
      </c>
      <c r="Q429" s="83" t="str">
        <f t="shared" si="25"/>
        <v>Closed</v>
      </c>
      <c r="R429" s="83" t="str">
        <f t="shared" si="26"/>
        <v>Closed</v>
      </c>
      <c r="S429" s="83" t="str">
        <f t="shared" si="27"/>
        <v/>
      </c>
      <c r="T429" s="101" t="str">
        <f>IFERROR(_xlfn.XLOOKUP(tblRecruitmentPipeline[[#This Row],[REQ_ID]],tblRequisitions[REQ_ID],tblRequisitions[DEPARTMENT],""),"")</f>
        <v>Branch Operations</v>
      </c>
      <c r="U429" s="110" t="str">
        <f>IF(tblRecruitmentPipeline[[#This Row],[REQ_DEPARTMENT]]="","No","Yes")</f>
        <v>Yes</v>
      </c>
    </row>
    <row r="430" spans="1:21">
      <c r="A430" s="100" t="s">
        <v>2009</v>
      </c>
      <c r="B430" s="101" t="s">
        <v>1010</v>
      </c>
      <c r="C430" s="101" t="s">
        <v>2010</v>
      </c>
      <c r="D430" s="101" t="s">
        <v>1261</v>
      </c>
      <c r="E430" s="101" t="s">
        <v>414</v>
      </c>
      <c r="F430" s="102">
        <v>45874</v>
      </c>
      <c r="G430" s="83" t="s">
        <v>413</v>
      </c>
      <c r="H430" s="102">
        <v>45922</v>
      </c>
      <c r="I430" s="101" t="s">
        <v>942</v>
      </c>
      <c r="J430" s="101" t="s">
        <v>1030</v>
      </c>
      <c r="K430" s="102"/>
      <c r="L430" s="83" t="s">
        <v>404</v>
      </c>
      <c r="M430" s="102"/>
      <c r="N430" s="101" t="s">
        <v>1078</v>
      </c>
      <c r="O430" s="101"/>
      <c r="P430" s="83">
        <f t="shared" ca="1" si="24"/>
        <v>48</v>
      </c>
      <c r="Q430" s="83" t="str">
        <f t="shared" si="25"/>
        <v>Closed</v>
      </c>
      <c r="R430" s="83" t="str">
        <f t="shared" si="26"/>
        <v>Closed</v>
      </c>
      <c r="S430" s="83" t="str">
        <f t="shared" si="27"/>
        <v/>
      </c>
      <c r="T430" s="101" t="str">
        <f>IFERROR(_xlfn.XLOOKUP(tblRecruitmentPipeline[[#This Row],[REQ_ID]],tblRequisitions[REQ_ID],tblRequisitions[DEPARTMENT],""),"")</f>
        <v>Branch Operations</v>
      </c>
      <c r="U430" s="110" t="str">
        <f>IF(tblRecruitmentPipeline[[#This Row],[REQ_DEPARTMENT]]="","No","Yes")</f>
        <v>Yes</v>
      </c>
    </row>
    <row r="431" spans="1:21">
      <c r="A431" s="100" t="s">
        <v>2011</v>
      </c>
      <c r="B431" s="101" t="s">
        <v>1010</v>
      </c>
      <c r="C431" s="101" t="s">
        <v>2012</v>
      </c>
      <c r="D431" s="101" t="s">
        <v>680</v>
      </c>
      <c r="E431" s="101" t="s">
        <v>403</v>
      </c>
      <c r="F431" s="102">
        <v>45883</v>
      </c>
      <c r="G431" s="83" t="s">
        <v>413</v>
      </c>
      <c r="H431" s="102">
        <v>45911</v>
      </c>
      <c r="I431" s="101" t="s">
        <v>942</v>
      </c>
      <c r="J431" s="101" t="s">
        <v>227</v>
      </c>
      <c r="K431" s="102"/>
      <c r="L431" s="83" t="s">
        <v>404</v>
      </c>
      <c r="M431" s="102"/>
      <c r="N431" s="101" t="s">
        <v>1085</v>
      </c>
      <c r="O431" s="101"/>
      <c r="P431" s="83">
        <f t="shared" ca="1" si="24"/>
        <v>28</v>
      </c>
      <c r="Q431" s="83" t="str">
        <f t="shared" si="25"/>
        <v>Closed</v>
      </c>
      <c r="R431" s="83" t="str">
        <f t="shared" si="26"/>
        <v>Closed</v>
      </c>
      <c r="S431" s="83" t="str">
        <f t="shared" si="27"/>
        <v/>
      </c>
      <c r="T431" s="101" t="str">
        <f>IFERROR(_xlfn.XLOOKUP(tblRecruitmentPipeline[[#This Row],[REQ_ID]],tblRequisitions[REQ_ID],tblRequisitions[DEPARTMENT],""),"")</f>
        <v>Branch Operations</v>
      </c>
      <c r="U431" s="110" t="str">
        <f>IF(tblRecruitmentPipeline[[#This Row],[REQ_DEPARTMENT]]="","No","Yes")</f>
        <v>Yes</v>
      </c>
    </row>
    <row r="432" spans="1:21">
      <c r="A432" s="100" t="s">
        <v>2013</v>
      </c>
      <c r="B432" s="101" t="s">
        <v>1011</v>
      </c>
      <c r="C432" s="101" t="s">
        <v>2014</v>
      </c>
      <c r="D432" s="101" t="s">
        <v>1594</v>
      </c>
      <c r="E432" s="101" t="s">
        <v>213</v>
      </c>
      <c r="F432" s="102">
        <v>45998</v>
      </c>
      <c r="G432" s="83" t="s">
        <v>372</v>
      </c>
      <c r="H432" s="102">
        <v>46047</v>
      </c>
      <c r="I432" s="101" t="s">
        <v>940</v>
      </c>
      <c r="J432" s="101" t="s">
        <v>227</v>
      </c>
      <c r="K432" s="102"/>
      <c r="L432" s="83" t="s">
        <v>404</v>
      </c>
      <c r="M432" s="102"/>
      <c r="N432" s="101"/>
      <c r="O432" s="101"/>
      <c r="P432" s="83">
        <f t="shared" ca="1" si="24"/>
        <v>147</v>
      </c>
      <c r="Q432" s="83" t="str">
        <f t="shared" ca="1" si="25"/>
        <v>Stale</v>
      </c>
      <c r="R432" s="83" t="str">
        <f t="shared" ca="1" si="26"/>
        <v>Delayed</v>
      </c>
      <c r="S432" s="83" t="str">
        <f t="shared" si="27"/>
        <v/>
      </c>
      <c r="T432" s="101" t="str">
        <f>IFERROR(_xlfn.XLOOKUP(tblRecruitmentPipeline[[#This Row],[REQ_ID]],tblRequisitions[REQ_ID],tblRequisitions[DEPARTMENT],""),"")</f>
        <v>Sales &amp; Marketing</v>
      </c>
      <c r="U432" s="110" t="str">
        <f>IF(tblRecruitmentPipeline[[#This Row],[REQ_DEPARTMENT]]="","No","Yes")</f>
        <v>Yes</v>
      </c>
    </row>
    <row r="433" spans="1:21">
      <c r="A433" s="100" t="s">
        <v>2015</v>
      </c>
      <c r="B433" s="101" t="s">
        <v>1011</v>
      </c>
      <c r="C433" s="101" t="s">
        <v>2016</v>
      </c>
      <c r="D433" s="101" t="s">
        <v>2017</v>
      </c>
      <c r="E433" s="101" t="s">
        <v>414</v>
      </c>
      <c r="F433" s="102">
        <v>46016</v>
      </c>
      <c r="G433" s="83" t="s">
        <v>382</v>
      </c>
      <c r="H433" s="102">
        <v>46023</v>
      </c>
      <c r="I433" s="101" t="s">
        <v>940</v>
      </c>
      <c r="J433" s="101" t="s">
        <v>36</v>
      </c>
      <c r="K433" s="102"/>
      <c r="L433" s="83" t="s">
        <v>404</v>
      </c>
      <c r="M433" s="102"/>
      <c r="N433" s="101"/>
      <c r="O433" s="101"/>
      <c r="P433" s="83">
        <f t="shared" ca="1" si="24"/>
        <v>129</v>
      </c>
      <c r="Q433" s="83" t="str">
        <f t="shared" ca="1" si="25"/>
        <v>Stale</v>
      </c>
      <c r="R433" s="83" t="str">
        <f t="shared" ca="1" si="26"/>
        <v>Delayed</v>
      </c>
      <c r="S433" s="83" t="str">
        <f t="shared" si="27"/>
        <v/>
      </c>
      <c r="T433" s="101" t="str">
        <f>IFERROR(_xlfn.XLOOKUP(tblRecruitmentPipeline[[#This Row],[REQ_ID]],tblRequisitions[REQ_ID],tblRequisitions[DEPARTMENT],""),"")</f>
        <v>Sales &amp; Marketing</v>
      </c>
      <c r="U433" s="110" t="str">
        <f>IF(tblRecruitmentPipeline[[#This Row],[REQ_DEPARTMENT]]="","No","Yes")</f>
        <v>Yes</v>
      </c>
    </row>
    <row r="434" spans="1:21">
      <c r="A434" s="100" t="s">
        <v>2018</v>
      </c>
      <c r="B434" s="101" t="s">
        <v>1011</v>
      </c>
      <c r="C434" s="101" t="s">
        <v>2019</v>
      </c>
      <c r="D434" s="101" t="s">
        <v>1673</v>
      </c>
      <c r="E434" s="101" t="s">
        <v>403</v>
      </c>
      <c r="F434" s="102">
        <v>46004</v>
      </c>
      <c r="G434" s="83" t="s">
        <v>413</v>
      </c>
      <c r="H434" s="102">
        <v>46053</v>
      </c>
      <c r="I434" s="101" t="s">
        <v>940</v>
      </c>
      <c r="J434" s="101" t="s">
        <v>1030</v>
      </c>
      <c r="K434" s="102"/>
      <c r="L434" s="83" t="s">
        <v>404</v>
      </c>
      <c r="M434" s="102"/>
      <c r="N434" s="101" t="s">
        <v>1078</v>
      </c>
      <c r="O434" s="101"/>
      <c r="P434" s="83">
        <f t="shared" ca="1" si="24"/>
        <v>49</v>
      </c>
      <c r="Q434" s="83" t="str">
        <f t="shared" si="25"/>
        <v>Closed</v>
      </c>
      <c r="R434" s="83" t="str">
        <f t="shared" si="26"/>
        <v>Closed</v>
      </c>
      <c r="S434" s="83" t="str">
        <f t="shared" si="27"/>
        <v/>
      </c>
      <c r="T434" s="101" t="str">
        <f>IFERROR(_xlfn.XLOOKUP(tblRecruitmentPipeline[[#This Row],[REQ_ID]],tblRequisitions[REQ_ID],tblRequisitions[DEPARTMENT],""),"")</f>
        <v>Sales &amp; Marketing</v>
      </c>
      <c r="U434" s="110" t="str">
        <f>IF(tblRecruitmentPipeline[[#This Row],[REQ_DEPARTMENT]]="","No","Yes")</f>
        <v>Yes</v>
      </c>
    </row>
    <row r="435" spans="1:21">
      <c r="A435" s="100" t="s">
        <v>2020</v>
      </c>
      <c r="B435" s="101" t="s">
        <v>1011</v>
      </c>
      <c r="C435" s="101" t="s">
        <v>2021</v>
      </c>
      <c r="D435" s="101" t="s">
        <v>1182</v>
      </c>
      <c r="E435" s="101" t="s">
        <v>403</v>
      </c>
      <c r="F435" s="102">
        <v>45992</v>
      </c>
      <c r="G435" s="83" t="s">
        <v>372</v>
      </c>
      <c r="H435" s="102">
        <v>46007</v>
      </c>
      <c r="I435" s="101" t="s">
        <v>940</v>
      </c>
      <c r="J435" s="101" t="s">
        <v>36</v>
      </c>
      <c r="K435" s="102"/>
      <c r="L435" s="83" t="s">
        <v>404</v>
      </c>
      <c r="M435" s="102"/>
      <c r="N435" s="101"/>
      <c r="O435" s="101"/>
      <c r="P435" s="83">
        <f t="shared" ca="1" si="24"/>
        <v>153</v>
      </c>
      <c r="Q435" s="83" t="str">
        <f t="shared" ca="1" si="25"/>
        <v>Stale</v>
      </c>
      <c r="R435" s="83" t="str">
        <f t="shared" ca="1" si="26"/>
        <v>Delayed</v>
      </c>
      <c r="S435" s="83" t="str">
        <f t="shared" si="27"/>
        <v/>
      </c>
      <c r="T435" s="101" t="str">
        <f>IFERROR(_xlfn.XLOOKUP(tblRecruitmentPipeline[[#This Row],[REQ_ID]],tblRequisitions[REQ_ID],tblRequisitions[DEPARTMENT],""),"")</f>
        <v>Sales &amp; Marketing</v>
      </c>
      <c r="U435" s="110" t="str">
        <f>IF(tblRecruitmentPipeline[[#This Row],[REQ_DEPARTMENT]]="","No","Yes")</f>
        <v>Yes</v>
      </c>
    </row>
    <row r="436" spans="1:21">
      <c r="A436" s="100" t="s">
        <v>2022</v>
      </c>
      <c r="B436" s="101" t="s">
        <v>1011</v>
      </c>
      <c r="C436" s="101" t="s">
        <v>2023</v>
      </c>
      <c r="D436" s="101" t="s">
        <v>500</v>
      </c>
      <c r="E436" s="101" t="s">
        <v>261</v>
      </c>
      <c r="F436" s="102">
        <v>45986</v>
      </c>
      <c r="G436" s="83" t="s">
        <v>401</v>
      </c>
      <c r="H436" s="102">
        <v>46011</v>
      </c>
      <c r="I436" s="101" t="s">
        <v>940</v>
      </c>
      <c r="J436" s="101" t="s">
        <v>227</v>
      </c>
      <c r="K436" s="102"/>
      <c r="L436" s="83" t="s">
        <v>404</v>
      </c>
      <c r="M436" s="102"/>
      <c r="N436" s="101"/>
      <c r="O436" s="101"/>
      <c r="P436" s="83">
        <f t="shared" ca="1" si="24"/>
        <v>159</v>
      </c>
      <c r="Q436" s="83" t="str">
        <f t="shared" ca="1" si="25"/>
        <v>Stale</v>
      </c>
      <c r="R436" s="83" t="str">
        <f t="shared" ca="1" si="26"/>
        <v>Delayed</v>
      </c>
      <c r="S436" s="83" t="str">
        <f t="shared" si="27"/>
        <v/>
      </c>
      <c r="T436" s="101" t="str">
        <f>IFERROR(_xlfn.XLOOKUP(tblRecruitmentPipeline[[#This Row],[REQ_ID]],tblRequisitions[REQ_ID],tblRequisitions[DEPARTMENT],""),"")</f>
        <v>Sales &amp; Marketing</v>
      </c>
      <c r="U436" s="110" t="str">
        <f>IF(tblRecruitmentPipeline[[#This Row],[REQ_DEPARTMENT]]="","No","Yes")</f>
        <v>Yes</v>
      </c>
    </row>
    <row r="437" spans="1:21">
      <c r="A437" s="100" t="s">
        <v>2024</v>
      </c>
      <c r="B437" s="101" t="s">
        <v>1011</v>
      </c>
      <c r="C437" s="101" t="s">
        <v>2025</v>
      </c>
      <c r="D437" s="101" t="s">
        <v>634</v>
      </c>
      <c r="E437" s="101" t="s">
        <v>261</v>
      </c>
      <c r="F437" s="102">
        <v>46010</v>
      </c>
      <c r="G437" s="83" t="s">
        <v>401</v>
      </c>
      <c r="H437" s="102">
        <v>46027</v>
      </c>
      <c r="I437" s="101" t="s">
        <v>940</v>
      </c>
      <c r="J437" s="101" t="s">
        <v>36</v>
      </c>
      <c r="K437" s="102"/>
      <c r="L437" s="83" t="s">
        <v>404</v>
      </c>
      <c r="M437" s="102"/>
      <c r="N437" s="101"/>
      <c r="O437" s="101"/>
      <c r="P437" s="83">
        <f t="shared" ca="1" si="24"/>
        <v>135</v>
      </c>
      <c r="Q437" s="83" t="str">
        <f t="shared" ca="1" si="25"/>
        <v>Stale</v>
      </c>
      <c r="R437" s="83" t="str">
        <f t="shared" ca="1" si="26"/>
        <v>Delayed</v>
      </c>
      <c r="S437" s="83" t="str">
        <f t="shared" si="27"/>
        <v/>
      </c>
      <c r="T437" s="101" t="str">
        <f>IFERROR(_xlfn.XLOOKUP(tblRecruitmentPipeline[[#This Row],[REQ_ID]],tblRequisitions[REQ_ID],tblRequisitions[DEPARTMENT],""),"")</f>
        <v>Sales &amp; Marketing</v>
      </c>
      <c r="U437" s="110" t="str">
        <f>IF(tblRecruitmentPipeline[[#This Row],[REQ_DEPARTMENT]]="","No","Yes")</f>
        <v>Yes</v>
      </c>
    </row>
    <row r="438" spans="1:21">
      <c r="A438" s="100" t="s">
        <v>2026</v>
      </c>
      <c r="B438" s="101" t="s">
        <v>1011</v>
      </c>
      <c r="C438" s="101" t="s">
        <v>2027</v>
      </c>
      <c r="D438" s="101" t="s">
        <v>613</v>
      </c>
      <c r="E438" s="101" t="s">
        <v>412</v>
      </c>
      <c r="F438" s="102">
        <v>46006</v>
      </c>
      <c r="G438" s="83" t="s">
        <v>413</v>
      </c>
      <c r="H438" s="102">
        <v>46009</v>
      </c>
      <c r="I438" s="101" t="s">
        <v>940</v>
      </c>
      <c r="J438" s="101" t="s">
        <v>227</v>
      </c>
      <c r="K438" s="102"/>
      <c r="L438" s="83" t="s">
        <v>404</v>
      </c>
      <c r="M438" s="102"/>
      <c r="N438" s="101" t="s">
        <v>1027</v>
      </c>
      <c r="O438" s="101"/>
      <c r="P438" s="83">
        <f t="shared" ca="1" si="24"/>
        <v>3</v>
      </c>
      <c r="Q438" s="83" t="str">
        <f t="shared" si="25"/>
        <v>Closed</v>
      </c>
      <c r="R438" s="83" t="str">
        <f t="shared" si="26"/>
        <v>Closed</v>
      </c>
      <c r="S438" s="83" t="str">
        <f t="shared" si="27"/>
        <v/>
      </c>
      <c r="T438" s="101" t="str">
        <f>IFERROR(_xlfn.XLOOKUP(tblRecruitmentPipeline[[#This Row],[REQ_ID]],tblRequisitions[REQ_ID],tblRequisitions[DEPARTMENT],""),"")</f>
        <v>Sales &amp; Marketing</v>
      </c>
      <c r="U438" s="110" t="str">
        <f>IF(tblRecruitmentPipeline[[#This Row],[REQ_DEPARTMENT]]="","No","Yes")</f>
        <v>Yes</v>
      </c>
    </row>
    <row r="439" spans="1:21">
      <c r="A439" s="100" t="s">
        <v>2028</v>
      </c>
      <c r="B439" s="101" t="s">
        <v>1011</v>
      </c>
      <c r="C439" s="101" t="s">
        <v>2029</v>
      </c>
      <c r="D439" s="101" t="s">
        <v>604</v>
      </c>
      <c r="E439" s="101" t="s">
        <v>414</v>
      </c>
      <c r="F439" s="102">
        <v>45998</v>
      </c>
      <c r="G439" s="83" t="s">
        <v>382</v>
      </c>
      <c r="H439" s="102">
        <v>46024</v>
      </c>
      <c r="I439" s="101" t="s">
        <v>940</v>
      </c>
      <c r="J439" s="101" t="s">
        <v>227</v>
      </c>
      <c r="K439" s="102"/>
      <c r="L439" s="83" t="s">
        <v>404</v>
      </c>
      <c r="M439" s="102"/>
      <c r="N439" s="101"/>
      <c r="O439" s="101"/>
      <c r="P439" s="83">
        <f t="shared" ca="1" si="24"/>
        <v>147</v>
      </c>
      <c r="Q439" s="83" t="str">
        <f t="shared" ca="1" si="25"/>
        <v>Stale</v>
      </c>
      <c r="R439" s="83" t="str">
        <f t="shared" ca="1" si="26"/>
        <v>Delayed</v>
      </c>
      <c r="S439" s="83" t="str">
        <f t="shared" si="27"/>
        <v/>
      </c>
      <c r="T439" s="101" t="str">
        <f>IFERROR(_xlfn.XLOOKUP(tblRecruitmentPipeline[[#This Row],[REQ_ID]],tblRequisitions[REQ_ID],tblRequisitions[DEPARTMENT],""),"")</f>
        <v>Sales &amp; Marketing</v>
      </c>
      <c r="U439" s="110" t="str">
        <f>IF(tblRecruitmentPipeline[[#This Row],[REQ_DEPARTMENT]]="","No","Yes")</f>
        <v>Yes</v>
      </c>
    </row>
    <row r="440" spans="1:21">
      <c r="A440" s="100" t="s">
        <v>2030</v>
      </c>
      <c r="B440" s="101" t="s">
        <v>1011</v>
      </c>
      <c r="C440" s="101" t="s">
        <v>2031</v>
      </c>
      <c r="D440" s="101" t="s">
        <v>1558</v>
      </c>
      <c r="E440" s="101" t="s">
        <v>375</v>
      </c>
      <c r="F440" s="102">
        <v>45990</v>
      </c>
      <c r="G440" s="83" t="s">
        <v>401</v>
      </c>
      <c r="H440" s="102">
        <v>46007</v>
      </c>
      <c r="I440" s="101" t="s">
        <v>940</v>
      </c>
      <c r="J440" s="101" t="s">
        <v>36</v>
      </c>
      <c r="K440" s="102"/>
      <c r="L440" s="83" t="s">
        <v>404</v>
      </c>
      <c r="M440" s="102"/>
      <c r="N440" s="101"/>
      <c r="O440" s="101"/>
      <c r="P440" s="83">
        <f t="shared" ca="1" si="24"/>
        <v>155</v>
      </c>
      <c r="Q440" s="83" t="str">
        <f t="shared" ca="1" si="25"/>
        <v>Stale</v>
      </c>
      <c r="R440" s="83" t="str">
        <f t="shared" ca="1" si="26"/>
        <v>Delayed</v>
      </c>
      <c r="S440" s="83" t="str">
        <f t="shared" si="27"/>
        <v/>
      </c>
      <c r="T440" s="101" t="str">
        <f>IFERROR(_xlfn.XLOOKUP(tblRecruitmentPipeline[[#This Row],[REQ_ID]],tblRequisitions[REQ_ID],tblRequisitions[DEPARTMENT],""),"")</f>
        <v>Sales &amp; Marketing</v>
      </c>
      <c r="U440" s="110" t="str">
        <f>IF(tblRecruitmentPipeline[[#This Row],[REQ_DEPARTMENT]]="","No","Yes")</f>
        <v>Yes</v>
      </c>
    </row>
    <row r="441" spans="1:21">
      <c r="A441" s="100" t="s">
        <v>2032</v>
      </c>
      <c r="B441" s="101" t="s">
        <v>1012</v>
      </c>
      <c r="C441" s="101" t="s">
        <v>2033</v>
      </c>
      <c r="D441" s="101" t="s">
        <v>1054</v>
      </c>
      <c r="E441" s="101" t="s">
        <v>414</v>
      </c>
      <c r="F441" s="102">
        <v>45895</v>
      </c>
      <c r="G441" s="83" t="s">
        <v>413</v>
      </c>
      <c r="H441" s="102">
        <v>45945</v>
      </c>
      <c r="I441" s="101" t="s">
        <v>938</v>
      </c>
      <c r="J441" s="101" t="s">
        <v>1030</v>
      </c>
      <c r="K441" s="102"/>
      <c r="L441" s="83" t="s">
        <v>404</v>
      </c>
      <c r="M441" s="102"/>
      <c r="N441" s="101" t="s">
        <v>1075</v>
      </c>
      <c r="O441" s="101"/>
      <c r="P441" s="83">
        <f t="shared" ca="1" si="24"/>
        <v>50</v>
      </c>
      <c r="Q441" s="83" t="str">
        <f t="shared" si="25"/>
        <v>Closed</v>
      </c>
      <c r="R441" s="83" t="str">
        <f t="shared" si="26"/>
        <v>Closed</v>
      </c>
      <c r="S441" s="83" t="str">
        <f t="shared" si="27"/>
        <v/>
      </c>
      <c r="T441" s="101" t="str">
        <f>IFERROR(_xlfn.XLOOKUP(tblRecruitmentPipeline[[#This Row],[REQ_ID]],tblRequisitions[REQ_ID],tblRequisitions[DEPARTMENT],""),"")</f>
        <v>Collections</v>
      </c>
      <c r="U441" s="110" t="str">
        <f>IF(tblRecruitmentPipeline[[#This Row],[REQ_DEPARTMENT]]="","No","Yes")</f>
        <v>Yes</v>
      </c>
    </row>
    <row r="442" spans="1:21">
      <c r="A442" s="100" t="s">
        <v>2034</v>
      </c>
      <c r="B442" s="101" t="s">
        <v>1012</v>
      </c>
      <c r="C442" s="101" t="s">
        <v>2035</v>
      </c>
      <c r="D442" s="101" t="s">
        <v>836</v>
      </c>
      <c r="E442" s="101" t="s">
        <v>414</v>
      </c>
      <c r="F442" s="102">
        <v>45918</v>
      </c>
      <c r="G442" s="83" t="s">
        <v>409</v>
      </c>
      <c r="H442" s="102">
        <v>45961</v>
      </c>
      <c r="I442" s="101" t="s">
        <v>938</v>
      </c>
      <c r="J442" s="101" t="s">
        <v>36</v>
      </c>
      <c r="K442" s="102">
        <v>45957</v>
      </c>
      <c r="L442" s="83" t="s">
        <v>323</v>
      </c>
      <c r="M442" s="102"/>
      <c r="N442" s="101"/>
      <c r="O442" s="101"/>
      <c r="P442" s="83">
        <f t="shared" ca="1" si="24"/>
        <v>227</v>
      </c>
      <c r="Q442" s="83" t="str">
        <f t="shared" ca="1" si="25"/>
        <v>Stale</v>
      </c>
      <c r="R442" s="83" t="str">
        <f t="shared" ca="1" si="26"/>
        <v>Delayed</v>
      </c>
      <c r="S442" s="83" t="str">
        <f t="shared" si="27"/>
        <v/>
      </c>
      <c r="T442" s="101" t="str">
        <f>IFERROR(_xlfn.XLOOKUP(tblRecruitmentPipeline[[#This Row],[REQ_ID]],tblRequisitions[REQ_ID],tblRequisitions[DEPARTMENT],""),"")</f>
        <v>Collections</v>
      </c>
      <c r="U442" s="110" t="str">
        <f>IF(tblRecruitmentPipeline[[#This Row],[REQ_DEPARTMENT]]="","No","Yes")</f>
        <v>Yes</v>
      </c>
    </row>
    <row r="443" spans="1:21">
      <c r="A443" s="100" t="s">
        <v>2036</v>
      </c>
      <c r="B443" s="101" t="s">
        <v>1012</v>
      </c>
      <c r="C443" s="101" t="s">
        <v>2037</v>
      </c>
      <c r="D443" s="101" t="s">
        <v>834</v>
      </c>
      <c r="E443" s="101" t="s">
        <v>412</v>
      </c>
      <c r="F443" s="102">
        <v>45920</v>
      </c>
      <c r="G443" s="83" t="s">
        <v>219</v>
      </c>
      <c r="H443" s="102">
        <v>45943</v>
      </c>
      <c r="I443" s="101" t="s">
        <v>938</v>
      </c>
      <c r="J443" s="101" t="s">
        <v>36</v>
      </c>
      <c r="K443" s="102">
        <v>45939</v>
      </c>
      <c r="L443" s="83" t="s">
        <v>231</v>
      </c>
      <c r="M443" s="102">
        <v>45959</v>
      </c>
      <c r="N443" s="101"/>
      <c r="O443" s="101"/>
      <c r="P443" s="83">
        <f t="shared" ca="1" si="24"/>
        <v>39</v>
      </c>
      <c r="Q443" s="83" t="str">
        <f t="shared" si="25"/>
        <v>Closed</v>
      </c>
      <c r="R443" s="83" t="str">
        <f t="shared" si="26"/>
        <v>Closed</v>
      </c>
      <c r="S443" s="83">
        <f t="shared" si="27"/>
        <v>39</v>
      </c>
      <c r="T443" s="101" t="str">
        <f>IFERROR(_xlfn.XLOOKUP(tblRecruitmentPipeline[[#This Row],[REQ_ID]],tblRequisitions[REQ_ID],tblRequisitions[DEPARTMENT],""),"")</f>
        <v>Collections</v>
      </c>
      <c r="U443" s="110" t="str">
        <f>IF(tblRecruitmentPipeline[[#This Row],[REQ_DEPARTMENT]]="","No","Yes")</f>
        <v>Yes</v>
      </c>
    </row>
    <row r="444" spans="1:21">
      <c r="A444" s="100" t="s">
        <v>2038</v>
      </c>
      <c r="B444" s="101" t="s">
        <v>1012</v>
      </c>
      <c r="C444" s="101" t="s">
        <v>2039</v>
      </c>
      <c r="D444" s="101" t="s">
        <v>623</v>
      </c>
      <c r="E444" s="101" t="s">
        <v>403</v>
      </c>
      <c r="F444" s="102">
        <v>45922</v>
      </c>
      <c r="G444" s="83" t="s">
        <v>372</v>
      </c>
      <c r="H444" s="102">
        <v>45950</v>
      </c>
      <c r="I444" s="101" t="s">
        <v>938</v>
      </c>
      <c r="J444" s="101" t="s">
        <v>227</v>
      </c>
      <c r="K444" s="102"/>
      <c r="L444" s="83" t="s">
        <v>404</v>
      </c>
      <c r="M444" s="102"/>
      <c r="N444" s="101"/>
      <c r="O444" s="101"/>
      <c r="P444" s="83">
        <f t="shared" ca="1" si="24"/>
        <v>223</v>
      </c>
      <c r="Q444" s="83" t="str">
        <f t="shared" ca="1" si="25"/>
        <v>Stale</v>
      </c>
      <c r="R444" s="83" t="str">
        <f t="shared" ca="1" si="26"/>
        <v>Delayed</v>
      </c>
      <c r="S444" s="83" t="str">
        <f t="shared" si="27"/>
        <v/>
      </c>
      <c r="T444" s="101" t="str">
        <f>IFERROR(_xlfn.XLOOKUP(tblRecruitmentPipeline[[#This Row],[REQ_ID]],tblRequisitions[REQ_ID],tblRequisitions[DEPARTMENT],""),"")</f>
        <v>Collections</v>
      </c>
      <c r="U444" s="110" t="str">
        <f>IF(tblRecruitmentPipeline[[#This Row],[REQ_DEPARTMENT]]="","No","Yes")</f>
        <v>Yes</v>
      </c>
    </row>
    <row r="445" spans="1:21">
      <c r="A445" s="100" t="s">
        <v>2040</v>
      </c>
      <c r="B445" s="101" t="s">
        <v>1012</v>
      </c>
      <c r="C445" s="101" t="s">
        <v>2041</v>
      </c>
      <c r="D445" s="101" t="s">
        <v>548</v>
      </c>
      <c r="E445" s="101" t="s">
        <v>375</v>
      </c>
      <c r="F445" s="102">
        <v>45891</v>
      </c>
      <c r="G445" s="83" t="s">
        <v>219</v>
      </c>
      <c r="H445" s="102">
        <v>45934</v>
      </c>
      <c r="I445" s="101" t="s">
        <v>938</v>
      </c>
      <c r="J445" s="101" t="s">
        <v>36</v>
      </c>
      <c r="K445" s="102">
        <v>45932</v>
      </c>
      <c r="L445" s="83" t="s">
        <v>231</v>
      </c>
      <c r="M445" s="102">
        <v>45949</v>
      </c>
      <c r="N445" s="101"/>
      <c r="O445" s="101"/>
      <c r="P445" s="83">
        <f t="shared" ca="1" si="24"/>
        <v>58</v>
      </c>
      <c r="Q445" s="83" t="str">
        <f t="shared" si="25"/>
        <v>Closed</v>
      </c>
      <c r="R445" s="83" t="str">
        <f t="shared" si="26"/>
        <v>Closed</v>
      </c>
      <c r="S445" s="83">
        <f t="shared" si="27"/>
        <v>58</v>
      </c>
      <c r="T445" s="101" t="str">
        <f>IFERROR(_xlfn.XLOOKUP(tblRecruitmentPipeline[[#This Row],[REQ_ID]],tblRequisitions[REQ_ID],tblRequisitions[DEPARTMENT],""),"")</f>
        <v>Collections</v>
      </c>
      <c r="U445" s="110" t="str">
        <f>IF(tblRecruitmentPipeline[[#This Row],[REQ_DEPARTMENT]]="","No","Yes")</f>
        <v>Yes</v>
      </c>
    </row>
    <row r="446" spans="1:21">
      <c r="A446" s="100" t="s">
        <v>2042</v>
      </c>
      <c r="B446" s="101" t="s">
        <v>1013</v>
      </c>
      <c r="C446" s="101" t="s">
        <v>2043</v>
      </c>
      <c r="D446" s="101" t="s">
        <v>834</v>
      </c>
      <c r="E446" s="101" t="s">
        <v>384</v>
      </c>
      <c r="F446" s="102">
        <v>45828</v>
      </c>
      <c r="G446" s="83" t="s">
        <v>393</v>
      </c>
      <c r="H446" s="102">
        <v>45835</v>
      </c>
      <c r="I446" s="101" t="s">
        <v>938</v>
      </c>
      <c r="J446" s="101" t="s">
        <v>227</v>
      </c>
      <c r="K446" s="102"/>
      <c r="L446" s="83" t="s">
        <v>404</v>
      </c>
      <c r="M446" s="102"/>
      <c r="N446" s="101"/>
      <c r="O446" s="101"/>
      <c r="P446" s="83">
        <f t="shared" ca="1" si="24"/>
        <v>317</v>
      </c>
      <c r="Q446" s="83" t="str">
        <f t="shared" ca="1" si="25"/>
        <v>Stale</v>
      </c>
      <c r="R446" s="83" t="str">
        <f t="shared" ca="1" si="26"/>
        <v>Delayed</v>
      </c>
      <c r="S446" s="83" t="str">
        <f t="shared" si="27"/>
        <v/>
      </c>
      <c r="T446" s="101" t="str">
        <f>IFERROR(_xlfn.XLOOKUP(tblRecruitmentPipeline[[#This Row],[REQ_ID]],tblRequisitions[REQ_ID],tblRequisitions[DEPARTMENT],""),"")</f>
        <v>Branch Operations</v>
      </c>
      <c r="U446" s="110" t="str">
        <f>IF(tblRecruitmentPipeline[[#This Row],[REQ_DEPARTMENT]]="","No","Yes")</f>
        <v>Yes</v>
      </c>
    </row>
    <row r="447" spans="1:21">
      <c r="A447" s="100" t="s">
        <v>2044</v>
      </c>
      <c r="B447" s="101" t="s">
        <v>1013</v>
      </c>
      <c r="C447" s="101" t="s">
        <v>2045</v>
      </c>
      <c r="D447" s="101" t="s">
        <v>1589</v>
      </c>
      <c r="E447" s="101" t="s">
        <v>403</v>
      </c>
      <c r="F447" s="102">
        <v>45817</v>
      </c>
      <c r="G447" s="83" t="s">
        <v>413</v>
      </c>
      <c r="H447" s="102">
        <v>45862</v>
      </c>
      <c r="I447" s="101" t="s">
        <v>938</v>
      </c>
      <c r="J447" s="101" t="s">
        <v>227</v>
      </c>
      <c r="K447" s="102"/>
      <c r="L447" s="83" t="s">
        <v>404</v>
      </c>
      <c r="M447" s="102"/>
      <c r="N447" s="101" t="s">
        <v>1078</v>
      </c>
      <c r="O447" s="101"/>
      <c r="P447" s="83">
        <f t="shared" ca="1" si="24"/>
        <v>45</v>
      </c>
      <c r="Q447" s="83" t="str">
        <f t="shared" si="25"/>
        <v>Closed</v>
      </c>
      <c r="R447" s="83" t="str">
        <f t="shared" si="26"/>
        <v>Closed</v>
      </c>
      <c r="S447" s="83" t="str">
        <f t="shared" si="27"/>
        <v/>
      </c>
      <c r="T447" s="101" t="str">
        <f>IFERROR(_xlfn.XLOOKUP(tblRecruitmentPipeline[[#This Row],[REQ_ID]],tblRequisitions[REQ_ID],tblRequisitions[DEPARTMENT],""),"")</f>
        <v>Branch Operations</v>
      </c>
      <c r="U447" s="110" t="str">
        <f>IF(tblRecruitmentPipeline[[#This Row],[REQ_DEPARTMENT]]="","No","Yes")</f>
        <v>Yes</v>
      </c>
    </row>
    <row r="448" spans="1:21">
      <c r="A448" s="100" t="s">
        <v>2046</v>
      </c>
      <c r="B448" s="101" t="s">
        <v>1013</v>
      </c>
      <c r="C448" s="101" t="s">
        <v>2047</v>
      </c>
      <c r="D448" s="101" t="s">
        <v>2048</v>
      </c>
      <c r="E448" s="101" t="s">
        <v>414</v>
      </c>
      <c r="F448" s="102">
        <v>45817</v>
      </c>
      <c r="G448" s="83" t="s">
        <v>382</v>
      </c>
      <c r="H448" s="102">
        <v>45862</v>
      </c>
      <c r="I448" s="101" t="s">
        <v>938</v>
      </c>
      <c r="J448" s="101" t="s">
        <v>36</v>
      </c>
      <c r="K448" s="102"/>
      <c r="L448" s="83" t="s">
        <v>404</v>
      </c>
      <c r="M448" s="102"/>
      <c r="N448" s="101"/>
      <c r="O448" s="101"/>
      <c r="P448" s="83">
        <f t="shared" ca="1" si="24"/>
        <v>328</v>
      </c>
      <c r="Q448" s="83" t="str">
        <f t="shared" ca="1" si="25"/>
        <v>Stale</v>
      </c>
      <c r="R448" s="83" t="str">
        <f t="shared" ca="1" si="26"/>
        <v>Delayed</v>
      </c>
      <c r="S448" s="83" t="str">
        <f t="shared" si="27"/>
        <v/>
      </c>
      <c r="T448" s="101" t="str">
        <f>IFERROR(_xlfn.XLOOKUP(tblRecruitmentPipeline[[#This Row],[REQ_ID]],tblRequisitions[REQ_ID],tblRequisitions[DEPARTMENT],""),"")</f>
        <v>Branch Operations</v>
      </c>
      <c r="U448" s="110" t="str">
        <f>IF(tblRecruitmentPipeline[[#This Row],[REQ_DEPARTMENT]]="","No","Yes")</f>
        <v>Yes</v>
      </c>
    </row>
    <row r="449" spans="1:21">
      <c r="A449" s="100" t="s">
        <v>2049</v>
      </c>
      <c r="B449" s="101" t="s">
        <v>1013</v>
      </c>
      <c r="C449" s="101" t="s">
        <v>2050</v>
      </c>
      <c r="D449" s="101" t="s">
        <v>917</v>
      </c>
      <c r="E449" s="101" t="s">
        <v>403</v>
      </c>
      <c r="F449" s="102">
        <v>45821</v>
      </c>
      <c r="G449" s="83" t="s">
        <v>372</v>
      </c>
      <c r="H449" s="102">
        <v>45846</v>
      </c>
      <c r="I449" s="101" t="s">
        <v>938</v>
      </c>
      <c r="J449" s="101" t="s">
        <v>227</v>
      </c>
      <c r="K449" s="102"/>
      <c r="L449" s="83" t="s">
        <v>404</v>
      </c>
      <c r="M449" s="102"/>
      <c r="N449" s="101"/>
      <c r="O449" s="101"/>
      <c r="P449" s="83">
        <f t="shared" ca="1" si="24"/>
        <v>324</v>
      </c>
      <c r="Q449" s="83" t="str">
        <f t="shared" ca="1" si="25"/>
        <v>Stale</v>
      </c>
      <c r="R449" s="83" t="str">
        <f t="shared" ca="1" si="26"/>
        <v>Delayed</v>
      </c>
      <c r="S449" s="83" t="str">
        <f t="shared" si="27"/>
        <v/>
      </c>
      <c r="T449" s="101" t="str">
        <f>IFERROR(_xlfn.XLOOKUP(tblRecruitmentPipeline[[#This Row],[REQ_ID]],tblRequisitions[REQ_ID],tblRequisitions[DEPARTMENT],""),"")</f>
        <v>Branch Operations</v>
      </c>
      <c r="U449" s="110" t="str">
        <f>IF(tblRecruitmentPipeline[[#This Row],[REQ_DEPARTMENT]]="","No","Yes")</f>
        <v>Yes</v>
      </c>
    </row>
    <row r="450" spans="1:21">
      <c r="A450" s="100" t="s">
        <v>2051</v>
      </c>
      <c r="B450" s="101" t="s">
        <v>1014</v>
      </c>
      <c r="C450" s="101" t="s">
        <v>2052</v>
      </c>
      <c r="D450" s="101" t="s">
        <v>1989</v>
      </c>
      <c r="E450" s="101" t="s">
        <v>403</v>
      </c>
      <c r="F450" s="102">
        <v>45743</v>
      </c>
      <c r="G450" s="83" t="s">
        <v>219</v>
      </c>
      <c r="H450" s="102">
        <v>45780</v>
      </c>
      <c r="I450" s="101" t="s">
        <v>938</v>
      </c>
      <c r="J450" s="101" t="s">
        <v>1030</v>
      </c>
      <c r="K450" s="102">
        <v>45775</v>
      </c>
      <c r="L450" s="83" t="s">
        <v>231</v>
      </c>
      <c r="M450" s="102">
        <v>45792</v>
      </c>
      <c r="N450" s="101"/>
      <c r="O450" s="101"/>
      <c r="P450" s="83">
        <f t="shared" ca="1" si="24"/>
        <v>49</v>
      </c>
      <c r="Q450" s="83" t="str">
        <f t="shared" si="25"/>
        <v>Closed</v>
      </c>
      <c r="R450" s="83" t="str">
        <f t="shared" si="26"/>
        <v>Closed</v>
      </c>
      <c r="S450" s="83">
        <f t="shared" si="27"/>
        <v>49</v>
      </c>
      <c r="T450" s="101" t="str">
        <f>IFERROR(_xlfn.XLOOKUP(tblRecruitmentPipeline[[#This Row],[REQ_ID]],tblRequisitions[REQ_ID],tblRequisitions[DEPARTMENT],""),"")</f>
        <v>Loan Processing</v>
      </c>
      <c r="U450" s="110" t="str">
        <f>IF(tblRecruitmentPipeline[[#This Row],[REQ_DEPARTMENT]]="","No","Yes")</f>
        <v>Yes</v>
      </c>
    </row>
    <row r="451" spans="1:21">
      <c r="A451" s="100" t="s">
        <v>2053</v>
      </c>
      <c r="B451" s="101" t="s">
        <v>1014</v>
      </c>
      <c r="C451" s="101" t="s">
        <v>2054</v>
      </c>
      <c r="D451" s="101" t="s">
        <v>443</v>
      </c>
      <c r="E451" s="101" t="s">
        <v>213</v>
      </c>
      <c r="F451" s="102">
        <v>45758</v>
      </c>
      <c r="G451" s="83" t="s">
        <v>219</v>
      </c>
      <c r="H451" s="102">
        <v>45770</v>
      </c>
      <c r="I451" s="101" t="s">
        <v>938</v>
      </c>
      <c r="J451" s="101" t="s">
        <v>36</v>
      </c>
      <c r="K451" s="102">
        <v>45769</v>
      </c>
      <c r="L451" s="83" t="s">
        <v>231</v>
      </c>
      <c r="M451" s="102">
        <v>45782</v>
      </c>
      <c r="N451" s="101"/>
      <c r="O451" s="101"/>
      <c r="P451" s="83">
        <f t="shared" ca="1" si="24"/>
        <v>24</v>
      </c>
      <c r="Q451" s="83" t="str">
        <f t="shared" si="25"/>
        <v>Closed</v>
      </c>
      <c r="R451" s="83" t="str">
        <f t="shared" si="26"/>
        <v>Closed</v>
      </c>
      <c r="S451" s="83">
        <f t="shared" si="27"/>
        <v>24</v>
      </c>
      <c r="T451" s="101" t="str">
        <f>IFERROR(_xlfn.XLOOKUP(tblRecruitmentPipeline[[#This Row],[REQ_ID]],tblRequisitions[REQ_ID],tblRequisitions[DEPARTMENT],""),"")</f>
        <v>Loan Processing</v>
      </c>
      <c r="U451" s="110" t="str">
        <f>IF(tblRecruitmentPipeline[[#This Row],[REQ_DEPARTMENT]]="","No","Yes")</f>
        <v>Yes</v>
      </c>
    </row>
    <row r="452" spans="1:21">
      <c r="A452" s="100" t="s">
        <v>2055</v>
      </c>
      <c r="B452" s="101" t="s">
        <v>1014</v>
      </c>
      <c r="C452" s="101" t="s">
        <v>2056</v>
      </c>
      <c r="D452" s="101" t="s">
        <v>1493</v>
      </c>
      <c r="E452" s="101" t="s">
        <v>375</v>
      </c>
      <c r="F452" s="102">
        <v>45751</v>
      </c>
      <c r="G452" s="83" t="s">
        <v>372</v>
      </c>
      <c r="H452" s="102">
        <v>45776</v>
      </c>
      <c r="I452" s="101" t="s">
        <v>938</v>
      </c>
      <c r="J452" s="101" t="s">
        <v>227</v>
      </c>
      <c r="K452" s="102"/>
      <c r="L452" s="83" t="s">
        <v>404</v>
      </c>
      <c r="M452" s="102"/>
      <c r="N452" s="101"/>
      <c r="O452" s="101"/>
      <c r="P452" s="83">
        <f t="shared" ca="1" si="24"/>
        <v>394</v>
      </c>
      <c r="Q452" s="83" t="str">
        <f t="shared" ca="1" si="25"/>
        <v>Stale</v>
      </c>
      <c r="R452" s="83" t="str">
        <f t="shared" ca="1" si="26"/>
        <v>Delayed</v>
      </c>
      <c r="S452" s="83" t="str">
        <f t="shared" si="27"/>
        <v/>
      </c>
      <c r="T452" s="101" t="str">
        <f>IFERROR(_xlfn.XLOOKUP(tblRecruitmentPipeline[[#This Row],[REQ_ID]],tblRequisitions[REQ_ID],tblRequisitions[DEPARTMENT],""),"")</f>
        <v>Loan Processing</v>
      </c>
      <c r="U452" s="110" t="str">
        <f>IF(tblRecruitmentPipeline[[#This Row],[REQ_DEPARTMENT]]="","No","Yes")</f>
        <v>Yes</v>
      </c>
    </row>
    <row r="453" spans="1:21">
      <c r="A453" s="100" t="s">
        <v>2057</v>
      </c>
      <c r="B453" s="101" t="s">
        <v>1014</v>
      </c>
      <c r="C453" s="101" t="s">
        <v>2058</v>
      </c>
      <c r="D453" s="101" t="s">
        <v>1499</v>
      </c>
      <c r="E453" s="101" t="s">
        <v>375</v>
      </c>
      <c r="F453" s="102">
        <v>45775</v>
      </c>
      <c r="G453" s="83" t="s">
        <v>393</v>
      </c>
      <c r="H453" s="102">
        <v>45806</v>
      </c>
      <c r="I453" s="101" t="s">
        <v>938</v>
      </c>
      <c r="J453" s="101" t="s">
        <v>1030</v>
      </c>
      <c r="K453" s="102"/>
      <c r="L453" s="83" t="s">
        <v>404</v>
      </c>
      <c r="M453" s="102"/>
      <c r="N453" s="101"/>
      <c r="O453" s="101"/>
      <c r="P453" s="83">
        <f t="shared" ref="P453:P481" ca="1" si="28">IF($A453="","",IF($G453="Hired",$M453-$F453,IF(OR($G453="Rejected",$G453="Withdrawn"),$H453-$F453,TODAY()-$F453)))</f>
        <v>370</v>
      </c>
      <c r="Q453" s="83" t="str">
        <f t="shared" ref="Q453:Q481" ca="1" si="29">IF($A453="","",IF(OR($G453="Hired",$G453="Rejected",$G453="Withdrawn"),"Closed",IF($P453&gt;30,"Stale","Active")))</f>
        <v>Stale</v>
      </c>
      <c r="R453" s="83" t="str">
        <f t="shared" ref="R453:R481" ca="1" si="30">IF($A453="","",IF($Q453="Closed","Closed",IF($P453&lt;=14,"On Track",IF($P453&lt;=30,"At Risk","Delayed"))))</f>
        <v>Delayed</v>
      </c>
      <c r="S453" s="83" t="str">
        <f t="shared" ref="S453:S481" si="31">IF($A453="","",IF($G453="Hired",$M453-$F453,""))</f>
        <v/>
      </c>
      <c r="T453" s="101" t="str">
        <f>IFERROR(_xlfn.XLOOKUP(tblRecruitmentPipeline[[#This Row],[REQ_ID]],tblRequisitions[REQ_ID],tblRequisitions[DEPARTMENT],""),"")</f>
        <v>Loan Processing</v>
      </c>
      <c r="U453" s="110" t="str">
        <f>IF(tblRecruitmentPipeline[[#This Row],[REQ_DEPARTMENT]]="","No","Yes")</f>
        <v>Yes</v>
      </c>
    </row>
    <row r="454" spans="1:21">
      <c r="A454" s="100" t="s">
        <v>2059</v>
      </c>
      <c r="B454" s="101" t="s">
        <v>1015</v>
      </c>
      <c r="C454" s="101" t="s">
        <v>2060</v>
      </c>
      <c r="D454" s="101" t="s">
        <v>2061</v>
      </c>
      <c r="E454" s="101" t="s">
        <v>403</v>
      </c>
      <c r="F454" s="102">
        <v>45855</v>
      </c>
      <c r="G454" s="83" t="s">
        <v>413</v>
      </c>
      <c r="H454" s="102">
        <v>45874</v>
      </c>
      <c r="I454" s="101" t="s">
        <v>940</v>
      </c>
      <c r="J454" s="101" t="s">
        <v>1030</v>
      </c>
      <c r="K454" s="102"/>
      <c r="L454" s="83" t="s">
        <v>404</v>
      </c>
      <c r="M454" s="102"/>
      <c r="N454" s="101" t="s">
        <v>1085</v>
      </c>
      <c r="O454" s="101"/>
      <c r="P454" s="83">
        <f t="shared" ca="1" si="28"/>
        <v>19</v>
      </c>
      <c r="Q454" s="83" t="str">
        <f t="shared" si="29"/>
        <v>Closed</v>
      </c>
      <c r="R454" s="83" t="str">
        <f t="shared" si="30"/>
        <v>Closed</v>
      </c>
      <c r="S454" s="83" t="str">
        <f t="shared" si="31"/>
        <v/>
      </c>
      <c r="T454" s="101" t="str">
        <f>IFERROR(_xlfn.XLOOKUP(tblRecruitmentPipeline[[#This Row],[REQ_ID]],tblRequisitions[REQ_ID],tblRequisitions[DEPARTMENT],""),"")</f>
        <v>Customer Service</v>
      </c>
      <c r="U454" s="110" t="str">
        <f>IF(tblRecruitmentPipeline[[#This Row],[REQ_DEPARTMENT]]="","No","Yes")</f>
        <v>Yes</v>
      </c>
    </row>
    <row r="455" spans="1:21">
      <c r="A455" s="100" t="s">
        <v>2062</v>
      </c>
      <c r="B455" s="101" t="s">
        <v>1015</v>
      </c>
      <c r="C455" s="101" t="s">
        <v>2063</v>
      </c>
      <c r="D455" s="101" t="s">
        <v>1054</v>
      </c>
      <c r="E455" s="101" t="s">
        <v>403</v>
      </c>
      <c r="F455" s="102">
        <v>45870</v>
      </c>
      <c r="G455" s="83" t="s">
        <v>413</v>
      </c>
      <c r="H455" s="102">
        <v>45910</v>
      </c>
      <c r="I455" s="101" t="s">
        <v>940</v>
      </c>
      <c r="J455" s="101" t="s">
        <v>1030</v>
      </c>
      <c r="K455" s="102"/>
      <c r="L455" s="83" t="s">
        <v>404</v>
      </c>
      <c r="M455" s="102"/>
      <c r="N455" s="101" t="s">
        <v>1075</v>
      </c>
      <c r="O455" s="101"/>
      <c r="P455" s="83">
        <f t="shared" ca="1" si="28"/>
        <v>40</v>
      </c>
      <c r="Q455" s="83" t="str">
        <f t="shared" si="29"/>
        <v>Closed</v>
      </c>
      <c r="R455" s="83" t="str">
        <f t="shared" si="30"/>
        <v>Closed</v>
      </c>
      <c r="S455" s="83" t="str">
        <f t="shared" si="31"/>
        <v/>
      </c>
      <c r="T455" s="101" t="str">
        <f>IFERROR(_xlfn.XLOOKUP(tblRecruitmentPipeline[[#This Row],[REQ_ID]],tblRequisitions[REQ_ID],tblRequisitions[DEPARTMENT],""),"")</f>
        <v>Customer Service</v>
      </c>
      <c r="U455" s="110" t="str">
        <f>IF(tblRecruitmentPipeline[[#This Row],[REQ_DEPARTMENT]]="","No","Yes")</f>
        <v>Yes</v>
      </c>
    </row>
    <row r="456" spans="1:21">
      <c r="A456" s="100" t="s">
        <v>2064</v>
      </c>
      <c r="B456" s="101" t="s">
        <v>1015</v>
      </c>
      <c r="C456" s="101" t="s">
        <v>2065</v>
      </c>
      <c r="D456" s="101" t="s">
        <v>2066</v>
      </c>
      <c r="E456" s="101" t="s">
        <v>213</v>
      </c>
      <c r="F456" s="102">
        <v>45869</v>
      </c>
      <c r="G456" s="83" t="s">
        <v>413</v>
      </c>
      <c r="H456" s="102">
        <v>45872</v>
      </c>
      <c r="I456" s="101" t="s">
        <v>940</v>
      </c>
      <c r="J456" s="101" t="s">
        <v>36</v>
      </c>
      <c r="K456" s="102"/>
      <c r="L456" s="83" t="s">
        <v>404</v>
      </c>
      <c r="M456" s="102"/>
      <c r="N456" s="101" t="s">
        <v>1085</v>
      </c>
      <c r="O456" s="101"/>
      <c r="P456" s="83">
        <f t="shared" ca="1" si="28"/>
        <v>3</v>
      </c>
      <c r="Q456" s="83" t="str">
        <f t="shared" si="29"/>
        <v>Closed</v>
      </c>
      <c r="R456" s="83" t="str">
        <f t="shared" si="30"/>
        <v>Closed</v>
      </c>
      <c r="S456" s="83" t="str">
        <f t="shared" si="31"/>
        <v/>
      </c>
      <c r="T456" s="101" t="str">
        <f>IFERROR(_xlfn.XLOOKUP(tblRecruitmentPipeline[[#This Row],[REQ_ID]],tblRequisitions[REQ_ID],tblRequisitions[DEPARTMENT],""),"")</f>
        <v>Customer Service</v>
      </c>
      <c r="U456" s="110" t="str">
        <f>IF(tblRecruitmentPipeline[[#This Row],[REQ_DEPARTMENT]]="","No","Yes")</f>
        <v>Yes</v>
      </c>
    </row>
    <row r="457" spans="1:21">
      <c r="A457" s="100" t="s">
        <v>2067</v>
      </c>
      <c r="B457" s="101" t="s">
        <v>1015</v>
      </c>
      <c r="C457" s="101" t="s">
        <v>2068</v>
      </c>
      <c r="D457" s="101" t="s">
        <v>2069</v>
      </c>
      <c r="E457" s="101" t="s">
        <v>375</v>
      </c>
      <c r="F457" s="102">
        <v>45858</v>
      </c>
      <c r="G457" s="83" t="s">
        <v>393</v>
      </c>
      <c r="H457" s="102">
        <v>45903</v>
      </c>
      <c r="I457" s="101" t="s">
        <v>940</v>
      </c>
      <c r="J457" s="101" t="s">
        <v>1030</v>
      </c>
      <c r="K457" s="102"/>
      <c r="L457" s="83" t="s">
        <v>404</v>
      </c>
      <c r="M457" s="102"/>
      <c r="N457" s="101"/>
      <c r="O457" s="101"/>
      <c r="P457" s="83">
        <f t="shared" ca="1" si="28"/>
        <v>287</v>
      </c>
      <c r="Q457" s="83" t="str">
        <f t="shared" ca="1" si="29"/>
        <v>Stale</v>
      </c>
      <c r="R457" s="83" t="str">
        <f t="shared" ca="1" si="30"/>
        <v>Delayed</v>
      </c>
      <c r="S457" s="83" t="str">
        <f t="shared" si="31"/>
        <v/>
      </c>
      <c r="T457" s="101" t="str">
        <f>IFERROR(_xlfn.XLOOKUP(tblRecruitmentPipeline[[#This Row],[REQ_ID]],tblRequisitions[REQ_ID],tblRequisitions[DEPARTMENT],""),"")</f>
        <v>Customer Service</v>
      </c>
      <c r="U457" s="110" t="str">
        <f>IF(tblRecruitmentPipeline[[#This Row],[REQ_DEPARTMENT]]="","No","Yes")</f>
        <v>Yes</v>
      </c>
    </row>
    <row r="458" spans="1:21">
      <c r="A458" s="100" t="s">
        <v>2070</v>
      </c>
      <c r="B458" s="101" t="s">
        <v>1015</v>
      </c>
      <c r="C458" s="101" t="s">
        <v>2071</v>
      </c>
      <c r="D458" s="101" t="s">
        <v>809</v>
      </c>
      <c r="E458" s="101" t="s">
        <v>412</v>
      </c>
      <c r="F458" s="102">
        <v>45873</v>
      </c>
      <c r="G458" s="83" t="s">
        <v>382</v>
      </c>
      <c r="H458" s="102">
        <v>45895</v>
      </c>
      <c r="I458" s="101" t="s">
        <v>940</v>
      </c>
      <c r="J458" s="101" t="s">
        <v>1030</v>
      </c>
      <c r="K458" s="102"/>
      <c r="L458" s="83" t="s">
        <v>404</v>
      </c>
      <c r="M458" s="102"/>
      <c r="N458" s="101"/>
      <c r="O458" s="101"/>
      <c r="P458" s="83">
        <f t="shared" ca="1" si="28"/>
        <v>272</v>
      </c>
      <c r="Q458" s="83" t="str">
        <f t="shared" ca="1" si="29"/>
        <v>Stale</v>
      </c>
      <c r="R458" s="83" t="str">
        <f t="shared" ca="1" si="30"/>
        <v>Delayed</v>
      </c>
      <c r="S458" s="83" t="str">
        <f t="shared" si="31"/>
        <v/>
      </c>
      <c r="T458" s="101" t="str">
        <f>IFERROR(_xlfn.XLOOKUP(tblRecruitmentPipeline[[#This Row],[REQ_ID]],tblRequisitions[REQ_ID],tblRequisitions[DEPARTMENT],""),"")</f>
        <v>Customer Service</v>
      </c>
      <c r="U458" s="110" t="str">
        <f>IF(tblRecruitmentPipeline[[#This Row],[REQ_DEPARTMENT]]="","No","Yes")</f>
        <v>Yes</v>
      </c>
    </row>
    <row r="459" spans="1:21">
      <c r="A459" s="100" t="s">
        <v>2072</v>
      </c>
      <c r="B459" s="101" t="s">
        <v>1015</v>
      </c>
      <c r="C459" s="101" t="s">
        <v>2073</v>
      </c>
      <c r="D459" s="101" t="s">
        <v>781</v>
      </c>
      <c r="E459" s="101" t="s">
        <v>213</v>
      </c>
      <c r="F459" s="102">
        <v>45867</v>
      </c>
      <c r="G459" s="83" t="s">
        <v>219</v>
      </c>
      <c r="H459" s="102">
        <v>45916</v>
      </c>
      <c r="I459" s="101" t="s">
        <v>940</v>
      </c>
      <c r="J459" s="101" t="s">
        <v>1030</v>
      </c>
      <c r="K459" s="102">
        <v>45911</v>
      </c>
      <c r="L459" s="83" t="s">
        <v>231</v>
      </c>
      <c r="M459" s="102">
        <v>45922</v>
      </c>
      <c r="N459" s="101"/>
      <c r="O459" s="101"/>
      <c r="P459" s="83">
        <f t="shared" ca="1" si="28"/>
        <v>55</v>
      </c>
      <c r="Q459" s="83" t="str">
        <f t="shared" si="29"/>
        <v>Closed</v>
      </c>
      <c r="R459" s="83" t="str">
        <f t="shared" si="30"/>
        <v>Closed</v>
      </c>
      <c r="S459" s="83">
        <f t="shared" si="31"/>
        <v>55</v>
      </c>
      <c r="T459" s="101" t="str">
        <f>IFERROR(_xlfn.XLOOKUP(tblRecruitmentPipeline[[#This Row],[REQ_ID]],tblRequisitions[REQ_ID],tblRequisitions[DEPARTMENT],""),"")</f>
        <v>Customer Service</v>
      </c>
      <c r="U459" s="110" t="str">
        <f>IF(tblRecruitmentPipeline[[#This Row],[REQ_DEPARTMENT]]="","No","Yes")</f>
        <v>Yes</v>
      </c>
    </row>
    <row r="460" spans="1:21">
      <c r="A460" s="100" t="s">
        <v>2074</v>
      </c>
      <c r="B460" s="101" t="s">
        <v>1015</v>
      </c>
      <c r="C460" s="101" t="s">
        <v>2075</v>
      </c>
      <c r="D460" s="101" t="s">
        <v>705</v>
      </c>
      <c r="E460" s="101" t="s">
        <v>213</v>
      </c>
      <c r="F460" s="102">
        <v>45846</v>
      </c>
      <c r="G460" s="83" t="s">
        <v>393</v>
      </c>
      <c r="H460" s="102">
        <v>45863</v>
      </c>
      <c r="I460" s="101" t="s">
        <v>940</v>
      </c>
      <c r="J460" s="101" t="s">
        <v>227</v>
      </c>
      <c r="K460" s="102"/>
      <c r="L460" s="83" t="s">
        <v>404</v>
      </c>
      <c r="M460" s="102"/>
      <c r="N460" s="101"/>
      <c r="O460" s="101"/>
      <c r="P460" s="83">
        <f t="shared" ca="1" si="28"/>
        <v>299</v>
      </c>
      <c r="Q460" s="83" t="str">
        <f t="shared" ca="1" si="29"/>
        <v>Stale</v>
      </c>
      <c r="R460" s="83" t="str">
        <f t="shared" ca="1" si="30"/>
        <v>Delayed</v>
      </c>
      <c r="S460" s="83" t="str">
        <f t="shared" si="31"/>
        <v/>
      </c>
      <c r="T460" s="101" t="str">
        <f>IFERROR(_xlfn.XLOOKUP(tblRecruitmentPipeline[[#This Row],[REQ_ID]],tblRequisitions[REQ_ID],tblRequisitions[DEPARTMENT],""),"")</f>
        <v>Customer Service</v>
      </c>
      <c r="U460" s="110" t="str">
        <f>IF(tblRecruitmentPipeline[[#This Row],[REQ_DEPARTMENT]]="","No","Yes")</f>
        <v>Yes</v>
      </c>
    </row>
    <row r="461" spans="1:21">
      <c r="A461" s="100" t="s">
        <v>2076</v>
      </c>
      <c r="B461" s="101" t="s">
        <v>1015</v>
      </c>
      <c r="C461" s="101" t="s">
        <v>2077</v>
      </c>
      <c r="D461" s="101" t="s">
        <v>838</v>
      </c>
      <c r="E461" s="101" t="s">
        <v>261</v>
      </c>
      <c r="F461" s="102">
        <v>45845</v>
      </c>
      <c r="G461" s="83" t="s">
        <v>372</v>
      </c>
      <c r="H461" s="102">
        <v>45879</v>
      </c>
      <c r="I461" s="101" t="s">
        <v>940</v>
      </c>
      <c r="J461" s="101" t="s">
        <v>36</v>
      </c>
      <c r="K461" s="102"/>
      <c r="L461" s="83" t="s">
        <v>404</v>
      </c>
      <c r="M461" s="102"/>
      <c r="N461" s="101"/>
      <c r="O461" s="101"/>
      <c r="P461" s="83">
        <f t="shared" ca="1" si="28"/>
        <v>300</v>
      </c>
      <c r="Q461" s="83" t="str">
        <f t="shared" ca="1" si="29"/>
        <v>Stale</v>
      </c>
      <c r="R461" s="83" t="str">
        <f t="shared" ca="1" si="30"/>
        <v>Delayed</v>
      </c>
      <c r="S461" s="83" t="str">
        <f t="shared" si="31"/>
        <v/>
      </c>
      <c r="T461" s="101" t="str">
        <f>IFERROR(_xlfn.XLOOKUP(tblRecruitmentPipeline[[#This Row],[REQ_ID]],tblRequisitions[REQ_ID],tblRequisitions[DEPARTMENT],""),"")</f>
        <v>Customer Service</v>
      </c>
      <c r="U461" s="110" t="str">
        <f>IF(tblRecruitmentPipeline[[#This Row],[REQ_DEPARTMENT]]="","No","Yes")</f>
        <v>Yes</v>
      </c>
    </row>
    <row r="462" spans="1:21">
      <c r="A462" s="100" t="s">
        <v>2078</v>
      </c>
      <c r="B462" s="101" t="s">
        <v>1016</v>
      </c>
      <c r="C462" s="101" t="s">
        <v>2079</v>
      </c>
      <c r="D462" s="101" t="s">
        <v>825</v>
      </c>
      <c r="E462" s="101" t="s">
        <v>261</v>
      </c>
      <c r="F462" s="102">
        <v>45947</v>
      </c>
      <c r="G462" s="83" t="s">
        <v>418</v>
      </c>
      <c r="H462" s="102">
        <v>45984</v>
      </c>
      <c r="I462" s="101" t="s">
        <v>192</v>
      </c>
      <c r="J462" s="101" t="s">
        <v>1030</v>
      </c>
      <c r="K462" s="102"/>
      <c r="L462" s="83" t="s">
        <v>404</v>
      </c>
      <c r="M462" s="102"/>
      <c r="N462" s="101"/>
      <c r="O462" s="101" t="s">
        <v>1690</v>
      </c>
      <c r="P462" s="83">
        <f t="shared" ca="1" si="28"/>
        <v>37</v>
      </c>
      <c r="Q462" s="83" t="str">
        <f t="shared" si="29"/>
        <v>Closed</v>
      </c>
      <c r="R462" s="83" t="str">
        <f t="shared" si="30"/>
        <v>Closed</v>
      </c>
      <c r="S462" s="83" t="str">
        <f t="shared" si="31"/>
        <v/>
      </c>
      <c r="T462" s="101" t="str">
        <f>IFERROR(_xlfn.XLOOKUP(tblRecruitmentPipeline[[#This Row],[REQ_ID]],tblRequisitions[REQ_ID],tblRequisitions[DEPARTMENT],""),"")</f>
        <v>Human Resources</v>
      </c>
      <c r="U462" s="110" t="str">
        <f>IF(tblRecruitmentPipeline[[#This Row],[REQ_DEPARTMENT]]="","No","Yes")</f>
        <v>Yes</v>
      </c>
    </row>
    <row r="463" spans="1:21">
      <c r="A463" s="100" t="s">
        <v>2080</v>
      </c>
      <c r="B463" s="101" t="s">
        <v>1016</v>
      </c>
      <c r="C463" s="101" t="s">
        <v>2081</v>
      </c>
      <c r="D463" s="101" t="s">
        <v>548</v>
      </c>
      <c r="E463" s="101" t="s">
        <v>375</v>
      </c>
      <c r="F463" s="102">
        <v>45971</v>
      </c>
      <c r="G463" s="83" t="s">
        <v>401</v>
      </c>
      <c r="H463" s="102">
        <v>45994</v>
      </c>
      <c r="I463" s="101" t="s">
        <v>192</v>
      </c>
      <c r="J463" s="101" t="s">
        <v>36</v>
      </c>
      <c r="K463" s="102"/>
      <c r="L463" s="83" t="s">
        <v>404</v>
      </c>
      <c r="M463" s="102"/>
      <c r="N463" s="101"/>
      <c r="O463" s="101"/>
      <c r="P463" s="83">
        <f t="shared" ca="1" si="28"/>
        <v>174</v>
      </c>
      <c r="Q463" s="83" t="str">
        <f t="shared" ca="1" si="29"/>
        <v>Stale</v>
      </c>
      <c r="R463" s="83" t="str">
        <f t="shared" ca="1" si="30"/>
        <v>Delayed</v>
      </c>
      <c r="S463" s="83" t="str">
        <f t="shared" si="31"/>
        <v/>
      </c>
      <c r="T463" s="101" t="str">
        <f>IFERROR(_xlfn.XLOOKUP(tblRecruitmentPipeline[[#This Row],[REQ_ID]],tblRequisitions[REQ_ID],tblRequisitions[DEPARTMENT],""),"")</f>
        <v>Human Resources</v>
      </c>
      <c r="U463" s="110" t="str">
        <f>IF(tblRecruitmentPipeline[[#This Row],[REQ_DEPARTMENT]]="","No","Yes")</f>
        <v>Yes</v>
      </c>
    </row>
    <row r="464" spans="1:21">
      <c r="A464" s="100" t="s">
        <v>2082</v>
      </c>
      <c r="B464" s="101" t="s">
        <v>1016</v>
      </c>
      <c r="C464" s="101" t="s">
        <v>2083</v>
      </c>
      <c r="D464" s="101" t="s">
        <v>761</v>
      </c>
      <c r="E464" s="101" t="s">
        <v>375</v>
      </c>
      <c r="F464" s="102">
        <v>45972</v>
      </c>
      <c r="G464" s="83" t="s">
        <v>393</v>
      </c>
      <c r="H464" s="102">
        <v>45990</v>
      </c>
      <c r="I464" s="101" t="s">
        <v>192</v>
      </c>
      <c r="J464" s="101" t="s">
        <v>1030</v>
      </c>
      <c r="K464" s="102"/>
      <c r="L464" s="83" t="s">
        <v>404</v>
      </c>
      <c r="M464" s="102"/>
      <c r="N464" s="101"/>
      <c r="O464" s="101"/>
      <c r="P464" s="83">
        <f t="shared" ca="1" si="28"/>
        <v>173</v>
      </c>
      <c r="Q464" s="83" t="str">
        <f t="shared" ca="1" si="29"/>
        <v>Stale</v>
      </c>
      <c r="R464" s="83" t="str">
        <f t="shared" ca="1" si="30"/>
        <v>Delayed</v>
      </c>
      <c r="S464" s="83" t="str">
        <f t="shared" si="31"/>
        <v/>
      </c>
      <c r="T464" s="101" t="str">
        <f>IFERROR(_xlfn.XLOOKUP(tblRecruitmentPipeline[[#This Row],[REQ_ID]],tblRequisitions[REQ_ID],tblRequisitions[DEPARTMENT],""),"")</f>
        <v>Human Resources</v>
      </c>
      <c r="U464" s="110" t="str">
        <f>IF(tblRecruitmentPipeline[[#This Row],[REQ_DEPARTMENT]]="","No","Yes")</f>
        <v>Yes</v>
      </c>
    </row>
    <row r="465" spans="1:21">
      <c r="A465" s="100" t="s">
        <v>2084</v>
      </c>
      <c r="B465" s="101" t="s">
        <v>1016</v>
      </c>
      <c r="C465" s="101" t="s">
        <v>2085</v>
      </c>
      <c r="D465" s="101" t="s">
        <v>1450</v>
      </c>
      <c r="E465" s="101" t="s">
        <v>261</v>
      </c>
      <c r="F465" s="102">
        <v>45970</v>
      </c>
      <c r="G465" s="83" t="s">
        <v>413</v>
      </c>
      <c r="H465" s="102">
        <v>45989</v>
      </c>
      <c r="I465" s="101" t="s">
        <v>192</v>
      </c>
      <c r="J465" s="101" t="s">
        <v>227</v>
      </c>
      <c r="K465" s="102"/>
      <c r="L465" s="83" t="s">
        <v>404</v>
      </c>
      <c r="M465" s="102"/>
      <c r="N465" s="101" t="s">
        <v>1085</v>
      </c>
      <c r="O465" s="101"/>
      <c r="P465" s="83">
        <f t="shared" ca="1" si="28"/>
        <v>19</v>
      </c>
      <c r="Q465" s="83" t="str">
        <f t="shared" si="29"/>
        <v>Closed</v>
      </c>
      <c r="R465" s="83" t="str">
        <f t="shared" si="30"/>
        <v>Closed</v>
      </c>
      <c r="S465" s="83" t="str">
        <f t="shared" si="31"/>
        <v/>
      </c>
      <c r="T465" s="101" t="str">
        <f>IFERROR(_xlfn.XLOOKUP(tblRecruitmentPipeline[[#This Row],[REQ_ID]],tblRequisitions[REQ_ID],tblRequisitions[DEPARTMENT],""),"")</f>
        <v>Human Resources</v>
      </c>
      <c r="U465" s="110" t="str">
        <f>IF(tblRecruitmentPipeline[[#This Row],[REQ_DEPARTMENT]]="","No","Yes")</f>
        <v>Yes</v>
      </c>
    </row>
    <row r="466" spans="1:21">
      <c r="A466" s="100" t="s">
        <v>2086</v>
      </c>
      <c r="B466" s="101" t="s">
        <v>1016</v>
      </c>
      <c r="C466" s="101" t="s">
        <v>2087</v>
      </c>
      <c r="D466" s="101" t="s">
        <v>725</v>
      </c>
      <c r="E466" s="101" t="s">
        <v>412</v>
      </c>
      <c r="F466" s="102">
        <v>45955</v>
      </c>
      <c r="G466" s="83" t="s">
        <v>401</v>
      </c>
      <c r="H466" s="102">
        <v>45984</v>
      </c>
      <c r="I466" s="101" t="s">
        <v>192</v>
      </c>
      <c r="J466" s="101" t="s">
        <v>36</v>
      </c>
      <c r="K466" s="102"/>
      <c r="L466" s="83" t="s">
        <v>404</v>
      </c>
      <c r="M466" s="102"/>
      <c r="N466" s="101"/>
      <c r="O466" s="101"/>
      <c r="P466" s="83">
        <f t="shared" ca="1" si="28"/>
        <v>190</v>
      </c>
      <c r="Q466" s="83" t="str">
        <f t="shared" ca="1" si="29"/>
        <v>Stale</v>
      </c>
      <c r="R466" s="83" t="str">
        <f t="shared" ca="1" si="30"/>
        <v>Delayed</v>
      </c>
      <c r="S466" s="83" t="str">
        <f t="shared" si="31"/>
        <v/>
      </c>
      <c r="T466" s="101" t="str">
        <f>IFERROR(_xlfn.XLOOKUP(tblRecruitmentPipeline[[#This Row],[REQ_ID]],tblRequisitions[REQ_ID],tblRequisitions[DEPARTMENT],""),"")</f>
        <v>Human Resources</v>
      </c>
      <c r="U466" s="110" t="str">
        <f>IF(tblRecruitmentPipeline[[#This Row],[REQ_DEPARTMENT]]="","No","Yes")</f>
        <v>Yes</v>
      </c>
    </row>
    <row r="467" spans="1:21">
      <c r="A467" s="100" t="s">
        <v>2088</v>
      </c>
      <c r="B467" s="101" t="s">
        <v>1016</v>
      </c>
      <c r="C467" s="101" t="s">
        <v>2089</v>
      </c>
      <c r="D467" s="101" t="s">
        <v>2069</v>
      </c>
      <c r="E467" s="101" t="s">
        <v>375</v>
      </c>
      <c r="F467" s="102">
        <v>45948</v>
      </c>
      <c r="G467" s="83" t="s">
        <v>401</v>
      </c>
      <c r="H467" s="102">
        <v>45992</v>
      </c>
      <c r="I467" s="101" t="s">
        <v>192</v>
      </c>
      <c r="J467" s="101" t="s">
        <v>1030</v>
      </c>
      <c r="K467" s="102"/>
      <c r="L467" s="83" t="s">
        <v>404</v>
      </c>
      <c r="M467" s="102"/>
      <c r="N467" s="101"/>
      <c r="O467" s="101"/>
      <c r="P467" s="83">
        <f t="shared" ca="1" si="28"/>
        <v>197</v>
      </c>
      <c r="Q467" s="83" t="str">
        <f t="shared" ca="1" si="29"/>
        <v>Stale</v>
      </c>
      <c r="R467" s="83" t="str">
        <f t="shared" ca="1" si="30"/>
        <v>Delayed</v>
      </c>
      <c r="S467" s="83" t="str">
        <f t="shared" si="31"/>
        <v/>
      </c>
      <c r="T467" s="101" t="str">
        <f>IFERROR(_xlfn.XLOOKUP(tblRecruitmentPipeline[[#This Row],[REQ_ID]],tblRequisitions[REQ_ID],tblRequisitions[DEPARTMENT],""),"")</f>
        <v>Human Resources</v>
      </c>
      <c r="U467" s="110" t="str">
        <f>IF(tblRecruitmentPipeline[[#This Row],[REQ_DEPARTMENT]]="","No","Yes")</f>
        <v>Yes</v>
      </c>
    </row>
    <row r="468" spans="1:21">
      <c r="A468" s="100" t="s">
        <v>2090</v>
      </c>
      <c r="B468" s="101" t="s">
        <v>1016</v>
      </c>
      <c r="C468" s="101" t="s">
        <v>2091</v>
      </c>
      <c r="D468" s="101" t="s">
        <v>2092</v>
      </c>
      <c r="E468" s="101" t="s">
        <v>261</v>
      </c>
      <c r="F468" s="102">
        <v>45948</v>
      </c>
      <c r="G468" s="83" t="s">
        <v>372</v>
      </c>
      <c r="H468" s="102">
        <v>45961</v>
      </c>
      <c r="I468" s="101" t="s">
        <v>192</v>
      </c>
      <c r="J468" s="101" t="s">
        <v>1030</v>
      </c>
      <c r="K468" s="102"/>
      <c r="L468" s="83" t="s">
        <v>404</v>
      </c>
      <c r="M468" s="102"/>
      <c r="N468" s="101"/>
      <c r="O468" s="101"/>
      <c r="P468" s="83">
        <f t="shared" ca="1" si="28"/>
        <v>197</v>
      </c>
      <c r="Q468" s="83" t="str">
        <f t="shared" ca="1" si="29"/>
        <v>Stale</v>
      </c>
      <c r="R468" s="83" t="str">
        <f t="shared" ca="1" si="30"/>
        <v>Delayed</v>
      </c>
      <c r="S468" s="83" t="str">
        <f t="shared" si="31"/>
        <v/>
      </c>
      <c r="T468" s="101" t="str">
        <f>IFERROR(_xlfn.XLOOKUP(tblRecruitmentPipeline[[#This Row],[REQ_ID]],tblRequisitions[REQ_ID],tblRequisitions[DEPARTMENT],""),"")</f>
        <v>Human Resources</v>
      </c>
      <c r="U468" s="110" t="str">
        <f>IF(tblRecruitmentPipeline[[#This Row],[REQ_DEPARTMENT]]="","No","Yes")</f>
        <v>Yes</v>
      </c>
    </row>
    <row r="469" spans="1:21">
      <c r="A469" s="100" t="s">
        <v>2093</v>
      </c>
      <c r="B469" s="101" t="s">
        <v>1016</v>
      </c>
      <c r="C469" s="101" t="s">
        <v>2094</v>
      </c>
      <c r="D469" s="101" t="s">
        <v>675</v>
      </c>
      <c r="E469" s="101" t="s">
        <v>261</v>
      </c>
      <c r="F469" s="102">
        <v>45968</v>
      </c>
      <c r="G469" s="83" t="s">
        <v>393</v>
      </c>
      <c r="H469" s="102">
        <v>46001</v>
      </c>
      <c r="I469" s="101" t="s">
        <v>192</v>
      </c>
      <c r="J469" s="101" t="s">
        <v>227</v>
      </c>
      <c r="K469" s="102"/>
      <c r="L469" s="83" t="s">
        <v>404</v>
      </c>
      <c r="M469" s="102"/>
      <c r="N469" s="101"/>
      <c r="O469" s="101"/>
      <c r="P469" s="83">
        <f t="shared" ca="1" si="28"/>
        <v>177</v>
      </c>
      <c r="Q469" s="83" t="str">
        <f t="shared" ca="1" si="29"/>
        <v>Stale</v>
      </c>
      <c r="R469" s="83" t="str">
        <f t="shared" ca="1" si="30"/>
        <v>Delayed</v>
      </c>
      <c r="S469" s="83" t="str">
        <f t="shared" si="31"/>
        <v/>
      </c>
      <c r="T469" s="101" t="str">
        <f>IFERROR(_xlfn.XLOOKUP(tblRecruitmentPipeline[[#This Row],[REQ_ID]],tblRequisitions[REQ_ID],tblRequisitions[DEPARTMENT],""),"")</f>
        <v>Human Resources</v>
      </c>
      <c r="U469" s="110" t="str">
        <f>IF(tblRecruitmentPipeline[[#This Row],[REQ_DEPARTMENT]]="","No","Yes")</f>
        <v>Yes</v>
      </c>
    </row>
    <row r="470" spans="1:21">
      <c r="A470" s="100" t="s">
        <v>2095</v>
      </c>
      <c r="B470" s="101" t="s">
        <v>249</v>
      </c>
      <c r="C470" s="101" t="s">
        <v>2096</v>
      </c>
      <c r="D470" s="101" t="s">
        <v>1986</v>
      </c>
      <c r="E470" s="101" t="s">
        <v>414</v>
      </c>
      <c r="F470" s="102">
        <v>45808</v>
      </c>
      <c r="G470" s="83" t="s">
        <v>413</v>
      </c>
      <c r="H470" s="102">
        <v>45817</v>
      </c>
      <c r="I470" s="101" t="s">
        <v>192</v>
      </c>
      <c r="J470" s="101" t="s">
        <v>36</v>
      </c>
      <c r="K470" s="102"/>
      <c r="L470" s="83" t="s">
        <v>404</v>
      </c>
      <c r="M470" s="102"/>
      <c r="N470" s="101" t="s">
        <v>1085</v>
      </c>
      <c r="O470" s="101"/>
      <c r="P470" s="83">
        <f t="shared" ca="1" si="28"/>
        <v>9</v>
      </c>
      <c r="Q470" s="83" t="str">
        <f t="shared" si="29"/>
        <v>Closed</v>
      </c>
      <c r="R470" s="83" t="str">
        <f t="shared" si="30"/>
        <v>Closed</v>
      </c>
      <c r="S470" s="83" t="str">
        <f t="shared" si="31"/>
        <v/>
      </c>
      <c r="T470" s="101" t="str">
        <f>IFERROR(_xlfn.XLOOKUP(tblRecruitmentPipeline[[#This Row],[REQ_ID]],tblRequisitions[REQ_ID],tblRequisitions[DEPARTMENT],""),"")</f>
        <v>Finance</v>
      </c>
      <c r="U470" s="110" t="str">
        <f>IF(tblRecruitmentPipeline[[#This Row],[REQ_DEPARTMENT]]="","No","Yes")</f>
        <v>Yes</v>
      </c>
    </row>
    <row r="471" spans="1:21">
      <c r="A471" s="100" t="s">
        <v>2097</v>
      </c>
      <c r="B471" s="101" t="s">
        <v>249</v>
      </c>
      <c r="C471" s="101" t="s">
        <v>2098</v>
      </c>
      <c r="D471" s="101" t="s">
        <v>790</v>
      </c>
      <c r="E471" s="101" t="s">
        <v>213</v>
      </c>
      <c r="F471" s="102">
        <v>45790</v>
      </c>
      <c r="G471" s="83" t="s">
        <v>418</v>
      </c>
      <c r="H471" s="102">
        <v>45828</v>
      </c>
      <c r="I471" s="101" t="s">
        <v>192</v>
      </c>
      <c r="J471" s="101" t="s">
        <v>1030</v>
      </c>
      <c r="K471" s="102"/>
      <c r="L471" s="83" t="s">
        <v>404</v>
      </c>
      <c r="M471" s="102"/>
      <c r="N471" s="101"/>
      <c r="O471" s="101" t="s">
        <v>1183</v>
      </c>
      <c r="P471" s="83">
        <f t="shared" ca="1" si="28"/>
        <v>38</v>
      </c>
      <c r="Q471" s="83" t="str">
        <f t="shared" si="29"/>
        <v>Closed</v>
      </c>
      <c r="R471" s="83" t="str">
        <f t="shared" si="30"/>
        <v>Closed</v>
      </c>
      <c r="S471" s="83" t="str">
        <f t="shared" si="31"/>
        <v/>
      </c>
      <c r="T471" s="101" t="str">
        <f>IFERROR(_xlfn.XLOOKUP(tblRecruitmentPipeline[[#This Row],[REQ_ID]],tblRequisitions[REQ_ID],tblRequisitions[DEPARTMENT],""),"")</f>
        <v>Finance</v>
      </c>
      <c r="U471" s="110" t="str">
        <f>IF(tblRecruitmentPipeline[[#This Row],[REQ_DEPARTMENT]]="","No","Yes")</f>
        <v>Yes</v>
      </c>
    </row>
    <row r="472" spans="1:21">
      <c r="A472" s="100" t="s">
        <v>2099</v>
      </c>
      <c r="B472" s="101" t="s">
        <v>249</v>
      </c>
      <c r="C472" s="101" t="s">
        <v>2100</v>
      </c>
      <c r="D472" s="101" t="s">
        <v>606</v>
      </c>
      <c r="E472" s="101" t="s">
        <v>412</v>
      </c>
      <c r="F472" s="102">
        <v>45812</v>
      </c>
      <c r="G472" s="83" t="s">
        <v>413</v>
      </c>
      <c r="H472" s="102">
        <v>45840</v>
      </c>
      <c r="I472" s="101" t="s">
        <v>192</v>
      </c>
      <c r="J472" s="101" t="s">
        <v>1030</v>
      </c>
      <c r="K472" s="102"/>
      <c r="L472" s="83" t="s">
        <v>404</v>
      </c>
      <c r="M472" s="102"/>
      <c r="N472" s="101" t="s">
        <v>1027</v>
      </c>
      <c r="O472" s="101"/>
      <c r="P472" s="83">
        <f t="shared" ca="1" si="28"/>
        <v>28</v>
      </c>
      <c r="Q472" s="83" t="str">
        <f t="shared" si="29"/>
        <v>Closed</v>
      </c>
      <c r="R472" s="83" t="str">
        <f t="shared" si="30"/>
        <v>Closed</v>
      </c>
      <c r="S472" s="83" t="str">
        <f t="shared" si="31"/>
        <v/>
      </c>
      <c r="T472" s="101" t="str">
        <f>IFERROR(_xlfn.XLOOKUP(tblRecruitmentPipeline[[#This Row],[REQ_ID]],tblRequisitions[REQ_ID],tblRequisitions[DEPARTMENT],""),"")</f>
        <v>Finance</v>
      </c>
      <c r="U472" s="110" t="str">
        <f>IF(tblRecruitmentPipeline[[#This Row],[REQ_DEPARTMENT]]="","No","Yes")</f>
        <v>Yes</v>
      </c>
    </row>
    <row r="473" spans="1:21">
      <c r="A473" s="100" t="s">
        <v>2101</v>
      </c>
      <c r="B473" s="101" t="s">
        <v>249</v>
      </c>
      <c r="C473" s="101" t="s">
        <v>2102</v>
      </c>
      <c r="D473" s="101" t="s">
        <v>880</v>
      </c>
      <c r="E473" s="101" t="s">
        <v>414</v>
      </c>
      <c r="F473" s="102">
        <v>45800</v>
      </c>
      <c r="G473" s="83" t="s">
        <v>413</v>
      </c>
      <c r="H473" s="102">
        <v>45827</v>
      </c>
      <c r="I473" s="101" t="s">
        <v>192</v>
      </c>
      <c r="J473" s="101" t="s">
        <v>36</v>
      </c>
      <c r="K473" s="102"/>
      <c r="L473" s="83" t="s">
        <v>404</v>
      </c>
      <c r="M473" s="102"/>
      <c r="N473" s="101" t="s">
        <v>1085</v>
      </c>
      <c r="O473" s="101"/>
      <c r="P473" s="83">
        <f t="shared" ca="1" si="28"/>
        <v>27</v>
      </c>
      <c r="Q473" s="83" t="str">
        <f t="shared" si="29"/>
        <v>Closed</v>
      </c>
      <c r="R473" s="83" t="str">
        <f t="shared" si="30"/>
        <v>Closed</v>
      </c>
      <c r="S473" s="83" t="str">
        <f t="shared" si="31"/>
        <v/>
      </c>
      <c r="T473" s="101" t="str">
        <f>IFERROR(_xlfn.XLOOKUP(tblRecruitmentPipeline[[#This Row],[REQ_ID]],tblRequisitions[REQ_ID],tblRequisitions[DEPARTMENT],""),"")</f>
        <v>Finance</v>
      </c>
      <c r="U473" s="110" t="str">
        <f>IF(tblRecruitmentPipeline[[#This Row],[REQ_DEPARTMENT]]="","No","Yes")</f>
        <v>Yes</v>
      </c>
    </row>
    <row r="474" spans="1:21">
      <c r="A474" s="100" t="s">
        <v>2103</v>
      </c>
      <c r="B474" s="101" t="s">
        <v>249</v>
      </c>
      <c r="C474" s="101" t="s">
        <v>2104</v>
      </c>
      <c r="D474" s="101" t="s">
        <v>734</v>
      </c>
      <c r="E474" s="101" t="s">
        <v>412</v>
      </c>
      <c r="F474" s="102">
        <v>45788</v>
      </c>
      <c r="G474" s="83" t="s">
        <v>418</v>
      </c>
      <c r="H474" s="102">
        <v>45835</v>
      </c>
      <c r="I474" s="101" t="s">
        <v>192</v>
      </c>
      <c r="J474" s="101" t="s">
        <v>36</v>
      </c>
      <c r="K474" s="102"/>
      <c r="L474" s="83" t="s">
        <v>404</v>
      </c>
      <c r="M474" s="102"/>
      <c r="N474" s="101"/>
      <c r="O474" s="101" t="s">
        <v>1183</v>
      </c>
      <c r="P474" s="83">
        <f t="shared" ca="1" si="28"/>
        <v>47</v>
      </c>
      <c r="Q474" s="83" t="str">
        <f t="shared" si="29"/>
        <v>Closed</v>
      </c>
      <c r="R474" s="83" t="str">
        <f t="shared" si="30"/>
        <v>Closed</v>
      </c>
      <c r="S474" s="83" t="str">
        <f t="shared" si="31"/>
        <v/>
      </c>
      <c r="T474" s="101" t="str">
        <f>IFERROR(_xlfn.XLOOKUP(tblRecruitmentPipeline[[#This Row],[REQ_ID]],tblRequisitions[REQ_ID],tblRequisitions[DEPARTMENT],""),"")</f>
        <v>Finance</v>
      </c>
      <c r="U474" s="110" t="str">
        <f>IF(tblRecruitmentPipeline[[#This Row],[REQ_DEPARTMENT]]="","No","Yes")</f>
        <v>Yes</v>
      </c>
    </row>
    <row r="475" spans="1:21">
      <c r="A475" s="100" t="s">
        <v>2105</v>
      </c>
      <c r="B475" s="101" t="s">
        <v>249</v>
      </c>
      <c r="C475" s="101" t="s">
        <v>2106</v>
      </c>
      <c r="D475" s="101" t="s">
        <v>640</v>
      </c>
      <c r="E475" s="101" t="s">
        <v>384</v>
      </c>
      <c r="F475" s="102">
        <v>45779</v>
      </c>
      <c r="G475" s="83" t="s">
        <v>413</v>
      </c>
      <c r="H475" s="102">
        <v>45822</v>
      </c>
      <c r="I475" s="101" t="s">
        <v>192</v>
      </c>
      <c r="J475" s="101" t="s">
        <v>1030</v>
      </c>
      <c r="K475" s="102"/>
      <c r="L475" s="83" t="s">
        <v>404</v>
      </c>
      <c r="M475" s="102"/>
      <c r="N475" s="101" t="s">
        <v>1078</v>
      </c>
      <c r="O475" s="101"/>
      <c r="P475" s="83">
        <f t="shared" ca="1" si="28"/>
        <v>43</v>
      </c>
      <c r="Q475" s="83" t="str">
        <f t="shared" si="29"/>
        <v>Closed</v>
      </c>
      <c r="R475" s="83" t="str">
        <f t="shared" si="30"/>
        <v>Closed</v>
      </c>
      <c r="S475" s="83" t="str">
        <f t="shared" si="31"/>
        <v/>
      </c>
      <c r="T475" s="101" t="str">
        <f>IFERROR(_xlfn.XLOOKUP(tblRecruitmentPipeline[[#This Row],[REQ_ID]],tblRequisitions[REQ_ID],tblRequisitions[DEPARTMENT],""),"")</f>
        <v>Finance</v>
      </c>
      <c r="U475" s="110" t="str">
        <f>IF(tblRecruitmentPipeline[[#This Row],[REQ_DEPARTMENT]]="","No","Yes")</f>
        <v>Yes</v>
      </c>
    </row>
    <row r="476" spans="1:21">
      <c r="A476" s="100" t="s">
        <v>2107</v>
      </c>
      <c r="B476" s="101" t="s">
        <v>249</v>
      </c>
      <c r="C476" s="101" t="s">
        <v>2108</v>
      </c>
      <c r="D476" s="101" t="s">
        <v>779</v>
      </c>
      <c r="E476" s="101" t="s">
        <v>375</v>
      </c>
      <c r="F476" s="102">
        <v>45797</v>
      </c>
      <c r="G476" s="83" t="s">
        <v>413</v>
      </c>
      <c r="H476" s="102">
        <v>45846</v>
      </c>
      <c r="I476" s="101" t="s">
        <v>192</v>
      </c>
      <c r="J476" s="101" t="s">
        <v>36</v>
      </c>
      <c r="K476" s="102"/>
      <c r="L476" s="83" t="s">
        <v>404</v>
      </c>
      <c r="M476" s="102"/>
      <c r="N476" s="101" t="s">
        <v>1027</v>
      </c>
      <c r="O476" s="101"/>
      <c r="P476" s="83">
        <f t="shared" ca="1" si="28"/>
        <v>49</v>
      </c>
      <c r="Q476" s="83" t="str">
        <f t="shared" si="29"/>
        <v>Closed</v>
      </c>
      <c r="R476" s="83" t="str">
        <f t="shared" si="30"/>
        <v>Closed</v>
      </c>
      <c r="S476" s="83" t="str">
        <f t="shared" si="31"/>
        <v/>
      </c>
      <c r="T476" s="101" t="str">
        <f>IFERROR(_xlfn.XLOOKUP(tblRecruitmentPipeline[[#This Row],[REQ_ID]],tblRequisitions[REQ_ID],tblRequisitions[DEPARTMENT],""),"")</f>
        <v>Finance</v>
      </c>
      <c r="U476" s="110" t="str">
        <f>IF(tblRecruitmentPipeline[[#This Row],[REQ_DEPARTMENT]]="","No","Yes")</f>
        <v>Yes</v>
      </c>
    </row>
    <row r="477" spans="1:21">
      <c r="A477" s="100" t="s">
        <v>2109</v>
      </c>
      <c r="B477" s="101" t="s">
        <v>1017</v>
      </c>
      <c r="C477" s="101" t="s">
        <v>2110</v>
      </c>
      <c r="D477" s="101" t="s">
        <v>2111</v>
      </c>
      <c r="E477" s="101" t="s">
        <v>384</v>
      </c>
      <c r="F477" s="102">
        <v>46011</v>
      </c>
      <c r="G477" s="83" t="s">
        <v>418</v>
      </c>
      <c r="H477" s="102">
        <v>46038</v>
      </c>
      <c r="I477" s="101" t="s">
        <v>938</v>
      </c>
      <c r="J477" s="101" t="s">
        <v>36</v>
      </c>
      <c r="K477" s="102"/>
      <c r="L477" s="83" t="s">
        <v>404</v>
      </c>
      <c r="M477" s="102"/>
      <c r="N477" s="101"/>
      <c r="O477" s="101" t="s">
        <v>1690</v>
      </c>
      <c r="P477" s="83">
        <f t="shared" ca="1" si="28"/>
        <v>27</v>
      </c>
      <c r="Q477" s="83" t="str">
        <f t="shared" si="29"/>
        <v>Closed</v>
      </c>
      <c r="R477" s="83" t="str">
        <f t="shared" si="30"/>
        <v>Closed</v>
      </c>
      <c r="S477" s="83" t="str">
        <f t="shared" si="31"/>
        <v/>
      </c>
      <c r="T477" s="101" t="str">
        <f>IFERROR(_xlfn.XLOOKUP(tblRecruitmentPipeline[[#This Row],[REQ_ID]],tblRequisitions[REQ_ID],tblRequisitions[DEPARTMENT],""),"")</f>
        <v>Information Technology</v>
      </c>
      <c r="U477" s="110" t="str">
        <f>IF(tblRecruitmentPipeline[[#This Row],[REQ_DEPARTMENT]]="","No","Yes")</f>
        <v>Yes</v>
      </c>
    </row>
    <row r="478" spans="1:21">
      <c r="A478" s="100" t="s">
        <v>2112</v>
      </c>
      <c r="B478" s="101" t="s">
        <v>1017</v>
      </c>
      <c r="C478" s="101" t="s">
        <v>2113</v>
      </c>
      <c r="D478" s="101" t="s">
        <v>2114</v>
      </c>
      <c r="E478" s="101" t="s">
        <v>375</v>
      </c>
      <c r="F478" s="102">
        <v>46021</v>
      </c>
      <c r="G478" s="83" t="s">
        <v>393</v>
      </c>
      <c r="H478" s="102">
        <v>46071</v>
      </c>
      <c r="I478" s="101" t="s">
        <v>938</v>
      </c>
      <c r="J478" s="101" t="s">
        <v>36</v>
      </c>
      <c r="K478" s="102"/>
      <c r="L478" s="83" t="s">
        <v>404</v>
      </c>
      <c r="M478" s="102"/>
      <c r="N478" s="101"/>
      <c r="O478" s="101"/>
      <c r="P478" s="83">
        <f t="shared" ca="1" si="28"/>
        <v>124</v>
      </c>
      <c r="Q478" s="83" t="str">
        <f t="shared" ca="1" si="29"/>
        <v>Stale</v>
      </c>
      <c r="R478" s="83" t="str">
        <f t="shared" ca="1" si="30"/>
        <v>Delayed</v>
      </c>
      <c r="S478" s="83" t="str">
        <f t="shared" si="31"/>
        <v/>
      </c>
      <c r="T478" s="101" t="str">
        <f>IFERROR(_xlfn.XLOOKUP(tblRecruitmentPipeline[[#This Row],[REQ_ID]],tblRequisitions[REQ_ID],tblRequisitions[DEPARTMENT],""),"")</f>
        <v>Information Technology</v>
      </c>
      <c r="U478" s="110" t="str">
        <f>IF(tblRecruitmentPipeline[[#This Row],[REQ_DEPARTMENT]]="","No","Yes")</f>
        <v>Yes</v>
      </c>
    </row>
    <row r="479" spans="1:21">
      <c r="A479" s="100" t="s">
        <v>2115</v>
      </c>
      <c r="B479" s="101" t="s">
        <v>1017</v>
      </c>
      <c r="C479" s="101" t="s">
        <v>2116</v>
      </c>
      <c r="D479" s="101" t="s">
        <v>615</v>
      </c>
      <c r="E479" s="101" t="s">
        <v>261</v>
      </c>
      <c r="F479" s="102">
        <v>46027</v>
      </c>
      <c r="G479" s="83" t="s">
        <v>413</v>
      </c>
      <c r="H479" s="102">
        <v>46076</v>
      </c>
      <c r="I479" s="101" t="s">
        <v>938</v>
      </c>
      <c r="J479" s="101" t="s">
        <v>227</v>
      </c>
      <c r="K479" s="102"/>
      <c r="L479" s="83" t="s">
        <v>404</v>
      </c>
      <c r="M479" s="102"/>
      <c r="N479" s="101" t="s">
        <v>1085</v>
      </c>
      <c r="O479" s="101"/>
      <c r="P479" s="83">
        <f t="shared" ca="1" si="28"/>
        <v>49</v>
      </c>
      <c r="Q479" s="83" t="str">
        <f t="shared" si="29"/>
        <v>Closed</v>
      </c>
      <c r="R479" s="83" t="str">
        <f t="shared" si="30"/>
        <v>Closed</v>
      </c>
      <c r="S479" s="83" t="str">
        <f t="shared" si="31"/>
        <v/>
      </c>
      <c r="T479" s="101" t="str">
        <f>IFERROR(_xlfn.XLOOKUP(tblRecruitmentPipeline[[#This Row],[REQ_ID]],tblRequisitions[REQ_ID],tblRequisitions[DEPARTMENT],""),"")</f>
        <v>Information Technology</v>
      </c>
      <c r="U479" s="110" t="str">
        <f>IF(tblRecruitmentPipeline[[#This Row],[REQ_DEPARTMENT]]="","No","Yes")</f>
        <v>Yes</v>
      </c>
    </row>
    <row r="480" spans="1:21">
      <c r="A480" s="100" t="s">
        <v>2117</v>
      </c>
      <c r="B480" s="101" t="s">
        <v>1017</v>
      </c>
      <c r="C480" s="101" t="s">
        <v>2118</v>
      </c>
      <c r="D480" s="101" t="s">
        <v>734</v>
      </c>
      <c r="E480" s="101" t="s">
        <v>403</v>
      </c>
      <c r="F480" s="102">
        <v>46002</v>
      </c>
      <c r="G480" s="83" t="s">
        <v>413</v>
      </c>
      <c r="H480" s="102">
        <v>46036</v>
      </c>
      <c r="I480" s="101" t="s">
        <v>938</v>
      </c>
      <c r="J480" s="101" t="s">
        <v>36</v>
      </c>
      <c r="K480" s="102"/>
      <c r="L480" s="83" t="s">
        <v>404</v>
      </c>
      <c r="M480" s="102"/>
      <c r="N480" s="101" t="s">
        <v>1075</v>
      </c>
      <c r="O480" s="101"/>
      <c r="P480" s="83">
        <f t="shared" ca="1" si="28"/>
        <v>34</v>
      </c>
      <c r="Q480" s="83" t="str">
        <f t="shared" si="29"/>
        <v>Closed</v>
      </c>
      <c r="R480" s="83" t="str">
        <f t="shared" si="30"/>
        <v>Closed</v>
      </c>
      <c r="S480" s="83" t="str">
        <f t="shared" si="31"/>
        <v/>
      </c>
      <c r="T480" s="101" t="str">
        <f>IFERROR(_xlfn.XLOOKUP(tblRecruitmentPipeline[[#This Row],[REQ_ID]],tblRequisitions[REQ_ID],tblRequisitions[DEPARTMENT],""),"")</f>
        <v>Information Technology</v>
      </c>
      <c r="U480" s="110" t="str">
        <f>IF(tblRecruitmentPipeline[[#This Row],[REQ_DEPARTMENT]]="","No","Yes")</f>
        <v>Yes</v>
      </c>
    </row>
    <row r="481" spans="1:21">
      <c r="A481" s="104" t="s">
        <v>2119</v>
      </c>
      <c r="B481" s="105" t="s">
        <v>1017</v>
      </c>
      <c r="C481" s="105" t="s">
        <v>2120</v>
      </c>
      <c r="D481" s="105" t="s">
        <v>2121</v>
      </c>
      <c r="E481" s="105" t="s">
        <v>414</v>
      </c>
      <c r="F481" s="106">
        <v>46013</v>
      </c>
      <c r="G481" s="89" t="s">
        <v>401</v>
      </c>
      <c r="H481" s="106">
        <v>46042</v>
      </c>
      <c r="I481" s="105" t="s">
        <v>938</v>
      </c>
      <c r="J481" s="105" t="s">
        <v>36</v>
      </c>
      <c r="K481" s="106"/>
      <c r="L481" s="89" t="s">
        <v>404</v>
      </c>
      <c r="M481" s="106"/>
      <c r="N481" s="105"/>
      <c r="O481" s="105"/>
      <c r="P481" s="89">
        <f t="shared" ca="1" si="28"/>
        <v>132</v>
      </c>
      <c r="Q481" s="89" t="str">
        <f t="shared" ca="1" si="29"/>
        <v>Stale</v>
      </c>
      <c r="R481" s="89" t="str">
        <f t="shared" ca="1" si="30"/>
        <v>Delayed</v>
      </c>
      <c r="S481" s="89" t="str">
        <f t="shared" si="31"/>
        <v/>
      </c>
      <c r="T481" s="105" t="str">
        <f>IFERROR(_xlfn.XLOOKUP(tblRecruitmentPipeline[[#This Row],[REQ_ID]],tblRequisitions[REQ_ID],tblRequisitions[DEPARTMENT],""),"")</f>
        <v>Information Technology</v>
      </c>
      <c r="U481" s="111" t="str">
        <f>IF(tblRecruitmentPipeline[[#This Row],[REQ_DEPARTMENT]]="","No","Yes")</f>
        <v>Yes</v>
      </c>
    </row>
  </sheetData>
  <dataValidations count="3">
    <dataValidation type="list" sqref="E5:E481" xr:uid="{00000000-0002-0000-0600-000000000000}">
      <formula1>"JobStreet,LinkedIn,Employee Referral,Facebook,Agency,Company Website,Walk-in"</formula1>
    </dataValidation>
    <dataValidation type="list" sqref="G5:G481" xr:uid="{00000000-0002-0000-0600-000001000000}">
      <formula1>"Applied,Screened,Interview,Final Interview,Offer,Hired,Rejected,Withdrawn"</formula1>
    </dataValidation>
    <dataValidation type="list" sqref="L5:L481" xr:uid="{00000000-0002-0000-0600-000002000000}">
      <formula1>"Accepted,Declined,Pending,Not Offered"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4"/>
  <sheetViews>
    <sheetView showGridLines="0" zoomScale="133" workbookViewId="0">
      <pane ySplit="4" topLeftCell="A11" activePane="bottomLeft" state="frozen"/>
      <selection pane="bottomLeft" activeCell="D20" sqref="A1:XFD1048576"/>
    </sheetView>
  </sheetViews>
  <sheetFormatPr baseColWidth="10" defaultColWidth="8.83203125" defaultRowHeight="15"/>
  <cols>
    <col min="1" max="2" width="12" style="91" customWidth="1"/>
    <col min="3" max="3" width="13" style="91" customWidth="1"/>
    <col min="4" max="4" width="20" style="91" customWidth="1"/>
    <col min="5" max="5" width="18" style="91" customWidth="1"/>
    <col min="6" max="6" width="19.33203125" style="91" customWidth="1"/>
    <col min="7" max="7" width="22" style="91" customWidth="1"/>
    <col min="8" max="8" width="24" style="91" customWidth="1"/>
    <col min="9" max="9" width="20" style="91" customWidth="1"/>
    <col min="10" max="10" width="30" style="91" customWidth="1"/>
    <col min="11" max="16384" width="8.83203125" style="91"/>
  </cols>
  <sheetData>
    <row r="1" spans="1:10" ht="44">
      <c r="A1" s="53" t="s">
        <v>2122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5">
      <c r="A2" s="68" t="s">
        <v>2123</v>
      </c>
      <c r="B2" s="68"/>
      <c r="C2" s="68"/>
      <c r="D2" s="68"/>
      <c r="E2" s="68"/>
      <c r="F2" s="68"/>
      <c r="G2" s="68"/>
      <c r="H2" s="68"/>
      <c r="I2" s="68"/>
      <c r="J2" s="68"/>
    </row>
    <row r="4" spans="1:10" ht="16">
      <c r="A4" s="98" t="s">
        <v>246</v>
      </c>
      <c r="B4" s="99" t="s">
        <v>169</v>
      </c>
      <c r="C4" s="99" t="s">
        <v>250</v>
      </c>
      <c r="D4" s="99" t="s">
        <v>252</v>
      </c>
      <c r="E4" s="99" t="s">
        <v>255</v>
      </c>
      <c r="F4" s="99" t="s">
        <v>258</v>
      </c>
      <c r="G4" s="99" t="s">
        <v>102</v>
      </c>
      <c r="H4" s="99" t="s">
        <v>112</v>
      </c>
      <c r="I4" s="99" t="s">
        <v>211</v>
      </c>
      <c r="J4" s="109" t="s">
        <v>262</v>
      </c>
    </row>
    <row r="5" spans="1:10">
      <c r="A5" s="100" t="s">
        <v>248</v>
      </c>
      <c r="B5" s="101" t="s">
        <v>249</v>
      </c>
      <c r="C5" s="102">
        <v>45892</v>
      </c>
      <c r="D5" s="101" t="s">
        <v>254</v>
      </c>
      <c r="E5" s="101" t="s">
        <v>257</v>
      </c>
      <c r="F5" s="245">
        <v>9063.56</v>
      </c>
      <c r="G5" s="101" t="s">
        <v>37</v>
      </c>
      <c r="H5" s="101" t="s">
        <v>260</v>
      </c>
      <c r="I5" s="101" t="s">
        <v>261</v>
      </c>
      <c r="J5" s="103" t="s">
        <v>264</v>
      </c>
    </row>
    <row r="6" spans="1:10">
      <c r="A6" s="100" t="s">
        <v>2124</v>
      </c>
      <c r="B6" s="101" t="s">
        <v>943</v>
      </c>
      <c r="C6" s="102">
        <v>46107</v>
      </c>
      <c r="D6" s="101" t="s">
        <v>2125</v>
      </c>
      <c r="E6" s="101" t="s">
        <v>2126</v>
      </c>
      <c r="F6" s="245">
        <v>8179.95</v>
      </c>
      <c r="G6" s="101" t="s">
        <v>416</v>
      </c>
      <c r="H6" s="101" t="s">
        <v>558</v>
      </c>
      <c r="I6" s="101" t="s">
        <v>384</v>
      </c>
      <c r="J6" s="103" t="s">
        <v>264</v>
      </c>
    </row>
    <row r="7" spans="1:10">
      <c r="A7" s="100" t="s">
        <v>2127</v>
      </c>
      <c r="B7" s="101" t="s">
        <v>171</v>
      </c>
      <c r="C7" s="102">
        <v>46138</v>
      </c>
      <c r="D7" s="101" t="s">
        <v>2128</v>
      </c>
      <c r="E7" s="101" t="s">
        <v>2129</v>
      </c>
      <c r="F7" s="245">
        <v>5972.46</v>
      </c>
      <c r="G7" s="101" t="s">
        <v>176</v>
      </c>
      <c r="H7" s="101" t="s">
        <v>178</v>
      </c>
      <c r="I7" s="101" t="s">
        <v>414</v>
      </c>
      <c r="J7" s="103" t="s">
        <v>264</v>
      </c>
    </row>
    <row r="8" spans="1:10">
      <c r="A8" s="100" t="s">
        <v>2130</v>
      </c>
      <c r="B8" s="101" t="s">
        <v>974</v>
      </c>
      <c r="C8" s="102">
        <v>45914</v>
      </c>
      <c r="D8" s="101" t="s">
        <v>2125</v>
      </c>
      <c r="E8" s="101" t="s">
        <v>2126</v>
      </c>
      <c r="F8" s="245">
        <v>22741.67</v>
      </c>
      <c r="G8" s="101" t="s">
        <v>379</v>
      </c>
      <c r="H8" s="101" t="s">
        <v>457</v>
      </c>
      <c r="I8" s="101" t="s">
        <v>412</v>
      </c>
      <c r="J8" s="103" t="s">
        <v>264</v>
      </c>
    </row>
    <row r="9" spans="1:10">
      <c r="A9" s="100" t="s">
        <v>2131</v>
      </c>
      <c r="B9" s="101" t="s">
        <v>1016</v>
      </c>
      <c r="C9" s="102">
        <v>45971</v>
      </c>
      <c r="D9" s="101" t="s">
        <v>2125</v>
      </c>
      <c r="E9" s="101" t="s">
        <v>2129</v>
      </c>
      <c r="F9" s="245">
        <v>3055.07</v>
      </c>
      <c r="G9" s="101" t="s">
        <v>271</v>
      </c>
      <c r="H9" s="101" t="s">
        <v>20</v>
      </c>
      <c r="I9" s="101" t="s">
        <v>384</v>
      </c>
      <c r="J9" s="103" t="s">
        <v>264</v>
      </c>
    </row>
    <row r="10" spans="1:10">
      <c r="A10" s="100" t="s">
        <v>2132</v>
      </c>
      <c r="B10" s="101" t="s">
        <v>972</v>
      </c>
      <c r="C10" s="102">
        <v>46131</v>
      </c>
      <c r="D10" s="101" t="s">
        <v>2133</v>
      </c>
      <c r="E10" s="101" t="s">
        <v>2134</v>
      </c>
      <c r="F10" s="245">
        <v>5791.76</v>
      </c>
      <c r="G10" s="101" t="s">
        <v>104</v>
      </c>
      <c r="H10" s="101" t="s">
        <v>496</v>
      </c>
      <c r="I10" s="101" t="s">
        <v>384</v>
      </c>
      <c r="J10" s="103" t="s">
        <v>264</v>
      </c>
    </row>
    <row r="11" spans="1:10">
      <c r="A11" s="100" t="s">
        <v>2135</v>
      </c>
      <c r="B11" s="101" t="s">
        <v>939</v>
      </c>
      <c r="C11" s="102">
        <v>46058</v>
      </c>
      <c r="D11" s="101" t="s">
        <v>2136</v>
      </c>
      <c r="E11" s="101" t="s">
        <v>257</v>
      </c>
      <c r="F11" s="245">
        <v>8705.9</v>
      </c>
      <c r="G11" s="101" t="s">
        <v>421</v>
      </c>
      <c r="H11" s="101" t="s">
        <v>479</v>
      </c>
      <c r="I11" s="101" t="s">
        <v>412</v>
      </c>
      <c r="J11" s="103" t="s">
        <v>264</v>
      </c>
    </row>
    <row r="12" spans="1:10">
      <c r="A12" s="100" t="s">
        <v>2137</v>
      </c>
      <c r="B12" s="101" t="s">
        <v>945</v>
      </c>
      <c r="C12" s="102">
        <v>46127</v>
      </c>
      <c r="D12" s="101" t="s">
        <v>2138</v>
      </c>
      <c r="E12" s="101" t="s">
        <v>2129</v>
      </c>
      <c r="F12" s="245">
        <v>12016.7</v>
      </c>
      <c r="G12" s="101" t="s">
        <v>104</v>
      </c>
      <c r="H12" s="101" t="s">
        <v>113</v>
      </c>
      <c r="I12" s="101" t="s">
        <v>412</v>
      </c>
      <c r="J12" s="103" t="s">
        <v>264</v>
      </c>
    </row>
    <row r="13" spans="1:10">
      <c r="A13" s="100" t="s">
        <v>2139</v>
      </c>
      <c r="B13" s="101" t="s">
        <v>1005</v>
      </c>
      <c r="C13" s="102">
        <v>46037</v>
      </c>
      <c r="D13" s="101" t="s">
        <v>2133</v>
      </c>
      <c r="E13" s="101" t="s">
        <v>2129</v>
      </c>
      <c r="F13" s="245">
        <v>25586.28</v>
      </c>
      <c r="G13" s="101" t="s">
        <v>104</v>
      </c>
      <c r="H13" s="101" t="s">
        <v>474</v>
      </c>
      <c r="I13" s="101" t="s">
        <v>412</v>
      </c>
      <c r="J13" s="103" t="s">
        <v>264</v>
      </c>
    </row>
    <row r="14" spans="1:10">
      <c r="A14" s="100" t="s">
        <v>2140</v>
      </c>
      <c r="B14" s="101" t="s">
        <v>967</v>
      </c>
      <c r="C14" s="102">
        <v>46031</v>
      </c>
      <c r="D14" s="101" t="s">
        <v>2141</v>
      </c>
      <c r="E14" s="101" t="s">
        <v>257</v>
      </c>
      <c r="F14" s="245">
        <v>1420.91</v>
      </c>
      <c r="G14" s="101" t="s">
        <v>407</v>
      </c>
      <c r="H14" s="101" t="s">
        <v>445</v>
      </c>
      <c r="I14" s="101" t="s">
        <v>261</v>
      </c>
      <c r="J14" s="103" t="s">
        <v>264</v>
      </c>
    </row>
    <row r="15" spans="1:10">
      <c r="A15" s="100" t="s">
        <v>2142</v>
      </c>
      <c r="B15" s="101" t="s">
        <v>171</v>
      </c>
      <c r="C15" s="102">
        <v>46120</v>
      </c>
      <c r="D15" s="101" t="s">
        <v>2141</v>
      </c>
      <c r="E15" s="101" t="s">
        <v>2129</v>
      </c>
      <c r="F15" s="245">
        <v>16526.03</v>
      </c>
      <c r="G15" s="101" t="s">
        <v>176</v>
      </c>
      <c r="H15" s="101" t="s">
        <v>178</v>
      </c>
      <c r="I15" s="101" t="s">
        <v>412</v>
      </c>
      <c r="J15" s="103" t="s">
        <v>264</v>
      </c>
    </row>
    <row r="16" spans="1:10">
      <c r="A16" s="100" t="s">
        <v>2143</v>
      </c>
      <c r="B16" s="101" t="s">
        <v>967</v>
      </c>
      <c r="C16" s="102">
        <v>45943</v>
      </c>
      <c r="D16" s="101" t="s">
        <v>254</v>
      </c>
      <c r="E16" s="101" t="s">
        <v>2144</v>
      </c>
      <c r="F16" s="245">
        <v>21333.99</v>
      </c>
      <c r="G16" s="101" t="s">
        <v>407</v>
      </c>
      <c r="H16" s="101" t="s">
        <v>445</v>
      </c>
      <c r="I16" s="101" t="s">
        <v>261</v>
      </c>
      <c r="J16" s="103" t="s">
        <v>264</v>
      </c>
    </row>
    <row r="17" spans="1:10">
      <c r="A17" s="100" t="s">
        <v>2145</v>
      </c>
      <c r="B17" s="101" t="s">
        <v>978</v>
      </c>
      <c r="C17" s="102">
        <v>45916</v>
      </c>
      <c r="D17" s="101" t="s">
        <v>2136</v>
      </c>
      <c r="E17" s="101" t="s">
        <v>257</v>
      </c>
      <c r="F17" s="245">
        <v>2672.75</v>
      </c>
      <c r="G17" s="101" t="s">
        <v>379</v>
      </c>
      <c r="H17" s="101" t="s">
        <v>588</v>
      </c>
      <c r="I17" s="101" t="s">
        <v>403</v>
      </c>
      <c r="J17" s="103" t="s">
        <v>264</v>
      </c>
    </row>
    <row r="18" spans="1:10">
      <c r="A18" s="100" t="s">
        <v>2146</v>
      </c>
      <c r="B18" s="101" t="s">
        <v>941</v>
      </c>
      <c r="C18" s="102">
        <v>45831</v>
      </c>
      <c r="D18" s="101" t="s">
        <v>2136</v>
      </c>
      <c r="E18" s="101" t="s">
        <v>257</v>
      </c>
      <c r="F18" s="245">
        <v>13730.13</v>
      </c>
      <c r="G18" s="101" t="s">
        <v>416</v>
      </c>
      <c r="H18" s="101" t="s">
        <v>483</v>
      </c>
      <c r="I18" s="101" t="s">
        <v>384</v>
      </c>
      <c r="J18" s="103" t="s">
        <v>264</v>
      </c>
    </row>
    <row r="19" spans="1:10">
      <c r="A19" s="100" t="s">
        <v>2147</v>
      </c>
      <c r="B19" s="101" t="s">
        <v>982</v>
      </c>
      <c r="C19" s="102">
        <v>46045</v>
      </c>
      <c r="D19" s="101" t="s">
        <v>2133</v>
      </c>
      <c r="E19" s="101" t="s">
        <v>2144</v>
      </c>
      <c r="F19" s="245">
        <v>1706.36</v>
      </c>
      <c r="G19" s="101" t="s">
        <v>416</v>
      </c>
      <c r="H19" s="101" t="s">
        <v>483</v>
      </c>
      <c r="I19" s="101" t="s">
        <v>375</v>
      </c>
      <c r="J19" s="103" t="s">
        <v>264</v>
      </c>
    </row>
    <row r="20" spans="1:10">
      <c r="A20" s="100" t="s">
        <v>2148</v>
      </c>
      <c r="B20" s="101" t="s">
        <v>1015</v>
      </c>
      <c r="C20" s="102">
        <v>46071</v>
      </c>
      <c r="D20" s="101" t="s">
        <v>2141</v>
      </c>
      <c r="E20" s="101" t="s">
        <v>2129</v>
      </c>
      <c r="F20" s="245">
        <v>27935.86</v>
      </c>
      <c r="G20" s="101" t="s">
        <v>421</v>
      </c>
      <c r="H20" s="101" t="s">
        <v>608</v>
      </c>
      <c r="I20" s="101" t="s">
        <v>375</v>
      </c>
      <c r="J20" s="103" t="s">
        <v>264</v>
      </c>
    </row>
    <row r="21" spans="1:10">
      <c r="A21" s="100" t="s">
        <v>2149</v>
      </c>
      <c r="B21" s="101" t="s">
        <v>946</v>
      </c>
      <c r="C21" s="102">
        <v>46098</v>
      </c>
      <c r="D21" s="101" t="s">
        <v>2136</v>
      </c>
      <c r="E21" s="101" t="s">
        <v>2144</v>
      </c>
      <c r="F21" s="245">
        <v>1473.13</v>
      </c>
      <c r="G21" s="101" t="s">
        <v>271</v>
      </c>
      <c r="H21" s="101" t="s">
        <v>522</v>
      </c>
      <c r="I21" s="101" t="s">
        <v>375</v>
      </c>
      <c r="J21" s="103" t="s">
        <v>264</v>
      </c>
    </row>
    <row r="22" spans="1:10">
      <c r="A22" s="100" t="s">
        <v>2150</v>
      </c>
      <c r="B22" s="101" t="s">
        <v>995</v>
      </c>
      <c r="C22" s="102">
        <v>46103</v>
      </c>
      <c r="D22" s="101" t="s">
        <v>2136</v>
      </c>
      <c r="E22" s="101" t="s">
        <v>2129</v>
      </c>
      <c r="F22" s="245">
        <v>1433.27</v>
      </c>
      <c r="G22" s="101" t="s">
        <v>416</v>
      </c>
      <c r="H22" s="101" t="s">
        <v>541</v>
      </c>
      <c r="I22" s="101" t="s">
        <v>412</v>
      </c>
      <c r="J22" s="103" t="s">
        <v>264</v>
      </c>
    </row>
    <row r="23" spans="1:10">
      <c r="A23" s="100" t="s">
        <v>2151</v>
      </c>
      <c r="B23" s="101" t="s">
        <v>946</v>
      </c>
      <c r="C23" s="102">
        <v>45938</v>
      </c>
      <c r="D23" s="101" t="s">
        <v>2128</v>
      </c>
      <c r="E23" s="101" t="s">
        <v>2129</v>
      </c>
      <c r="F23" s="245">
        <v>1429.83</v>
      </c>
      <c r="G23" s="101" t="s">
        <v>271</v>
      </c>
      <c r="H23" s="101" t="s">
        <v>522</v>
      </c>
      <c r="I23" s="101" t="s">
        <v>213</v>
      </c>
      <c r="J23" s="103" t="s">
        <v>264</v>
      </c>
    </row>
    <row r="24" spans="1:10">
      <c r="A24" s="100" t="s">
        <v>2152</v>
      </c>
      <c r="B24" s="101" t="s">
        <v>991</v>
      </c>
      <c r="C24" s="102">
        <v>46120</v>
      </c>
      <c r="D24" s="101" t="s">
        <v>2125</v>
      </c>
      <c r="E24" s="101" t="s">
        <v>2126</v>
      </c>
      <c r="F24" s="245">
        <v>5763.02</v>
      </c>
      <c r="G24" s="101" t="s">
        <v>104</v>
      </c>
      <c r="H24" s="101" t="s">
        <v>474</v>
      </c>
      <c r="I24" s="101" t="s">
        <v>375</v>
      </c>
      <c r="J24" s="103" t="s">
        <v>264</v>
      </c>
    </row>
    <row r="25" spans="1:10">
      <c r="A25" s="100" t="s">
        <v>2153</v>
      </c>
      <c r="B25" s="101" t="s">
        <v>997</v>
      </c>
      <c r="C25" s="102">
        <v>46107</v>
      </c>
      <c r="D25" s="101" t="s">
        <v>2141</v>
      </c>
      <c r="E25" s="101" t="s">
        <v>2126</v>
      </c>
      <c r="F25" s="245">
        <v>18224.52</v>
      </c>
      <c r="G25" s="101" t="s">
        <v>37</v>
      </c>
      <c r="H25" s="101" t="s">
        <v>537</v>
      </c>
      <c r="I25" s="101" t="s">
        <v>375</v>
      </c>
      <c r="J25" s="103" t="s">
        <v>264</v>
      </c>
    </row>
    <row r="26" spans="1:10">
      <c r="A26" s="100" t="s">
        <v>2154</v>
      </c>
      <c r="B26" s="101" t="s">
        <v>982</v>
      </c>
      <c r="C26" s="102">
        <v>45947</v>
      </c>
      <c r="D26" s="101" t="s">
        <v>2141</v>
      </c>
      <c r="E26" s="101" t="s">
        <v>2144</v>
      </c>
      <c r="F26" s="245">
        <v>1513.39</v>
      </c>
      <c r="G26" s="101" t="s">
        <v>416</v>
      </c>
      <c r="H26" s="101" t="s">
        <v>483</v>
      </c>
      <c r="I26" s="101" t="s">
        <v>375</v>
      </c>
      <c r="J26" s="103" t="s">
        <v>264</v>
      </c>
    </row>
    <row r="27" spans="1:10">
      <c r="A27" s="100" t="s">
        <v>2155</v>
      </c>
      <c r="B27" s="101" t="s">
        <v>952</v>
      </c>
      <c r="C27" s="102">
        <v>46074</v>
      </c>
      <c r="D27" s="101" t="s">
        <v>2141</v>
      </c>
      <c r="E27" s="101" t="s">
        <v>2144</v>
      </c>
      <c r="F27" s="245">
        <v>1587.47</v>
      </c>
      <c r="G27" s="101" t="s">
        <v>152</v>
      </c>
      <c r="H27" s="101" t="s">
        <v>428</v>
      </c>
      <c r="I27" s="101" t="s">
        <v>213</v>
      </c>
      <c r="J27" s="103" t="s">
        <v>264</v>
      </c>
    </row>
    <row r="28" spans="1:10">
      <c r="A28" s="100" t="s">
        <v>2156</v>
      </c>
      <c r="B28" s="101" t="s">
        <v>955</v>
      </c>
      <c r="C28" s="102">
        <v>46002</v>
      </c>
      <c r="D28" s="101" t="s">
        <v>2125</v>
      </c>
      <c r="E28" s="101" t="s">
        <v>2126</v>
      </c>
      <c r="F28" s="245">
        <v>7795.1</v>
      </c>
      <c r="G28" s="101" t="s">
        <v>421</v>
      </c>
      <c r="H28" s="101" t="s">
        <v>554</v>
      </c>
      <c r="I28" s="101" t="s">
        <v>403</v>
      </c>
      <c r="J28" s="103" t="s">
        <v>264</v>
      </c>
    </row>
    <row r="29" spans="1:10">
      <c r="A29" s="100" t="s">
        <v>2157</v>
      </c>
      <c r="B29" s="101" t="s">
        <v>962</v>
      </c>
      <c r="C29" s="102">
        <v>46058</v>
      </c>
      <c r="D29" s="101" t="s">
        <v>2136</v>
      </c>
      <c r="E29" s="101" t="s">
        <v>2144</v>
      </c>
      <c r="F29" s="245">
        <v>4490.93</v>
      </c>
      <c r="G29" s="101" t="s">
        <v>176</v>
      </c>
      <c r="H29" s="101" t="s">
        <v>653</v>
      </c>
      <c r="I29" s="101" t="s">
        <v>261</v>
      </c>
      <c r="J29" s="103" t="s">
        <v>264</v>
      </c>
    </row>
    <row r="30" spans="1:10">
      <c r="A30" s="100" t="s">
        <v>2158</v>
      </c>
      <c r="B30" s="101" t="s">
        <v>1013</v>
      </c>
      <c r="C30" s="102">
        <v>45992</v>
      </c>
      <c r="D30" s="101" t="s">
        <v>2138</v>
      </c>
      <c r="E30" s="101" t="s">
        <v>2126</v>
      </c>
      <c r="F30" s="245">
        <v>18532.689999999999</v>
      </c>
      <c r="G30" s="101" t="s">
        <v>152</v>
      </c>
      <c r="H30" s="101" t="s">
        <v>452</v>
      </c>
      <c r="I30" s="101" t="s">
        <v>213</v>
      </c>
      <c r="J30" s="103" t="s">
        <v>264</v>
      </c>
    </row>
    <row r="31" spans="1:10">
      <c r="A31" s="100" t="s">
        <v>2159</v>
      </c>
      <c r="B31" s="101" t="s">
        <v>957</v>
      </c>
      <c r="C31" s="102">
        <v>46051</v>
      </c>
      <c r="D31" s="101" t="s">
        <v>2138</v>
      </c>
      <c r="E31" s="101" t="s">
        <v>2134</v>
      </c>
      <c r="F31" s="245">
        <v>3550.17</v>
      </c>
      <c r="G31" s="101" t="s">
        <v>407</v>
      </c>
      <c r="H31" s="101" t="s">
        <v>445</v>
      </c>
      <c r="I31" s="101" t="s">
        <v>375</v>
      </c>
      <c r="J31" s="103" t="s">
        <v>264</v>
      </c>
    </row>
    <row r="32" spans="1:10">
      <c r="A32" s="100" t="s">
        <v>2160</v>
      </c>
      <c r="B32" s="101" t="s">
        <v>1005</v>
      </c>
      <c r="C32" s="102">
        <v>46032</v>
      </c>
      <c r="D32" s="101" t="s">
        <v>2133</v>
      </c>
      <c r="E32" s="101" t="s">
        <v>2126</v>
      </c>
      <c r="F32" s="245">
        <v>3045.21</v>
      </c>
      <c r="G32" s="101" t="s">
        <v>104</v>
      </c>
      <c r="H32" s="101" t="s">
        <v>474</v>
      </c>
      <c r="I32" s="101" t="s">
        <v>414</v>
      </c>
      <c r="J32" s="103" t="s">
        <v>264</v>
      </c>
    </row>
    <row r="33" spans="1:10">
      <c r="A33" s="100" t="s">
        <v>2161</v>
      </c>
      <c r="B33" s="101" t="s">
        <v>945</v>
      </c>
      <c r="C33" s="102">
        <v>46113</v>
      </c>
      <c r="D33" s="101" t="s">
        <v>2125</v>
      </c>
      <c r="E33" s="101" t="s">
        <v>2144</v>
      </c>
      <c r="F33" s="245">
        <v>17466.04</v>
      </c>
      <c r="G33" s="101" t="s">
        <v>104</v>
      </c>
      <c r="H33" s="101" t="s">
        <v>113</v>
      </c>
      <c r="I33" s="101" t="s">
        <v>414</v>
      </c>
      <c r="J33" s="103" t="s">
        <v>264</v>
      </c>
    </row>
    <row r="34" spans="1:10">
      <c r="A34" s="100" t="s">
        <v>2162</v>
      </c>
      <c r="B34" s="101" t="s">
        <v>947</v>
      </c>
      <c r="C34" s="102">
        <v>46129</v>
      </c>
      <c r="D34" s="101" t="s">
        <v>2125</v>
      </c>
      <c r="E34" s="101" t="s">
        <v>257</v>
      </c>
      <c r="F34" s="245">
        <v>10995.29</v>
      </c>
      <c r="G34" s="101" t="s">
        <v>104</v>
      </c>
      <c r="H34" s="101" t="s">
        <v>113</v>
      </c>
      <c r="I34" s="101" t="s">
        <v>213</v>
      </c>
      <c r="J34" s="103" t="s">
        <v>264</v>
      </c>
    </row>
    <row r="35" spans="1:10">
      <c r="A35" s="100" t="s">
        <v>2163</v>
      </c>
      <c r="B35" s="101" t="s">
        <v>981</v>
      </c>
      <c r="C35" s="102">
        <v>45981</v>
      </c>
      <c r="D35" s="101" t="s">
        <v>2138</v>
      </c>
      <c r="E35" s="101" t="s">
        <v>2144</v>
      </c>
      <c r="F35" s="245">
        <v>12787.63</v>
      </c>
      <c r="G35" s="101" t="s">
        <v>407</v>
      </c>
      <c r="H35" s="101" t="s">
        <v>445</v>
      </c>
      <c r="I35" s="101" t="s">
        <v>375</v>
      </c>
      <c r="J35" s="103" t="s">
        <v>264</v>
      </c>
    </row>
    <row r="36" spans="1:10">
      <c r="A36" s="100" t="s">
        <v>2164</v>
      </c>
      <c r="B36" s="101" t="s">
        <v>997</v>
      </c>
      <c r="C36" s="102">
        <v>46138</v>
      </c>
      <c r="D36" s="101" t="s">
        <v>2136</v>
      </c>
      <c r="E36" s="101" t="s">
        <v>2144</v>
      </c>
      <c r="F36" s="245">
        <v>1535.36</v>
      </c>
      <c r="G36" s="101" t="s">
        <v>37</v>
      </c>
      <c r="H36" s="101" t="s">
        <v>537</v>
      </c>
      <c r="I36" s="101" t="s">
        <v>412</v>
      </c>
      <c r="J36" s="103" t="s">
        <v>264</v>
      </c>
    </row>
    <row r="37" spans="1:10">
      <c r="A37" s="100" t="s">
        <v>2165</v>
      </c>
      <c r="B37" s="101" t="s">
        <v>968</v>
      </c>
      <c r="C37" s="102">
        <v>45848</v>
      </c>
      <c r="D37" s="101" t="s">
        <v>2128</v>
      </c>
      <c r="E37" s="101" t="s">
        <v>2134</v>
      </c>
      <c r="F37" s="245">
        <v>26709.3</v>
      </c>
      <c r="G37" s="101" t="s">
        <v>371</v>
      </c>
      <c r="H37" s="101" t="s">
        <v>439</v>
      </c>
      <c r="I37" s="101" t="s">
        <v>414</v>
      </c>
      <c r="J37" s="103" t="s">
        <v>264</v>
      </c>
    </row>
    <row r="38" spans="1:10">
      <c r="A38" s="100" t="s">
        <v>2166</v>
      </c>
      <c r="B38" s="101" t="s">
        <v>987</v>
      </c>
      <c r="C38" s="102">
        <v>46124</v>
      </c>
      <c r="D38" s="101" t="s">
        <v>2136</v>
      </c>
      <c r="E38" s="101" t="s">
        <v>2134</v>
      </c>
      <c r="F38" s="245">
        <v>4950.55</v>
      </c>
      <c r="G38" s="101" t="s">
        <v>407</v>
      </c>
      <c r="H38" s="101" t="s">
        <v>470</v>
      </c>
      <c r="I38" s="101" t="s">
        <v>375</v>
      </c>
      <c r="J38" s="103" t="s">
        <v>264</v>
      </c>
    </row>
    <row r="39" spans="1:10">
      <c r="A39" s="100" t="s">
        <v>2167</v>
      </c>
      <c r="B39" s="101" t="s">
        <v>948</v>
      </c>
      <c r="C39" s="102">
        <v>45925</v>
      </c>
      <c r="D39" s="101" t="s">
        <v>254</v>
      </c>
      <c r="E39" s="101" t="s">
        <v>2134</v>
      </c>
      <c r="F39" s="245">
        <v>10326.07</v>
      </c>
      <c r="G39" s="101" t="s">
        <v>176</v>
      </c>
      <c r="H39" s="101" t="s">
        <v>178</v>
      </c>
      <c r="I39" s="101" t="s">
        <v>403</v>
      </c>
      <c r="J39" s="103" t="s">
        <v>264</v>
      </c>
    </row>
    <row r="40" spans="1:10">
      <c r="A40" s="100" t="s">
        <v>2168</v>
      </c>
      <c r="B40" s="101" t="s">
        <v>963</v>
      </c>
      <c r="C40" s="102">
        <v>45924</v>
      </c>
      <c r="D40" s="101" t="s">
        <v>254</v>
      </c>
      <c r="E40" s="101" t="s">
        <v>2144</v>
      </c>
      <c r="F40" s="245">
        <v>10384.4</v>
      </c>
      <c r="G40" s="101" t="s">
        <v>152</v>
      </c>
      <c r="H40" s="101" t="s">
        <v>428</v>
      </c>
      <c r="I40" s="101" t="s">
        <v>261</v>
      </c>
      <c r="J40" s="103" t="s">
        <v>264</v>
      </c>
    </row>
    <row r="41" spans="1:10">
      <c r="A41" s="100" t="s">
        <v>2169</v>
      </c>
      <c r="B41" s="101" t="s">
        <v>961</v>
      </c>
      <c r="C41" s="102">
        <v>45894</v>
      </c>
      <c r="D41" s="101" t="s">
        <v>2138</v>
      </c>
      <c r="E41" s="101" t="s">
        <v>2126</v>
      </c>
      <c r="F41" s="245">
        <v>5799.42</v>
      </c>
      <c r="G41" s="101" t="s">
        <v>379</v>
      </c>
      <c r="H41" s="101" t="s">
        <v>588</v>
      </c>
      <c r="I41" s="101" t="s">
        <v>384</v>
      </c>
      <c r="J41" s="103" t="s">
        <v>264</v>
      </c>
    </row>
    <row r="42" spans="1:10">
      <c r="A42" s="100" t="s">
        <v>2170</v>
      </c>
      <c r="B42" s="101" t="s">
        <v>961</v>
      </c>
      <c r="C42" s="102">
        <v>45939</v>
      </c>
      <c r="D42" s="101" t="s">
        <v>2136</v>
      </c>
      <c r="E42" s="101" t="s">
        <v>2129</v>
      </c>
      <c r="F42" s="245">
        <v>4287.6099999999997</v>
      </c>
      <c r="G42" s="101" t="s">
        <v>379</v>
      </c>
      <c r="H42" s="101" t="s">
        <v>588</v>
      </c>
      <c r="I42" s="101" t="s">
        <v>414</v>
      </c>
      <c r="J42" s="103" t="s">
        <v>264</v>
      </c>
    </row>
    <row r="43" spans="1:10">
      <c r="A43" s="100" t="s">
        <v>2171</v>
      </c>
      <c r="B43" s="101" t="s">
        <v>956</v>
      </c>
      <c r="C43" s="102">
        <v>46139</v>
      </c>
      <c r="D43" s="101" t="s">
        <v>2136</v>
      </c>
      <c r="E43" s="101" t="s">
        <v>2134</v>
      </c>
      <c r="F43" s="245">
        <v>19425.68</v>
      </c>
      <c r="G43" s="101" t="s">
        <v>152</v>
      </c>
      <c r="H43" s="101" t="s">
        <v>452</v>
      </c>
      <c r="I43" s="101" t="s">
        <v>384</v>
      </c>
      <c r="J43" s="103" t="s">
        <v>264</v>
      </c>
    </row>
    <row r="44" spans="1:10">
      <c r="A44" s="100" t="s">
        <v>2172</v>
      </c>
      <c r="B44" s="101" t="s">
        <v>978</v>
      </c>
      <c r="C44" s="102">
        <v>46099</v>
      </c>
      <c r="D44" s="101" t="s">
        <v>2138</v>
      </c>
      <c r="E44" s="101" t="s">
        <v>2144</v>
      </c>
      <c r="F44" s="245">
        <v>23351.31</v>
      </c>
      <c r="G44" s="101" t="s">
        <v>379</v>
      </c>
      <c r="H44" s="101" t="s">
        <v>588</v>
      </c>
      <c r="I44" s="101" t="s">
        <v>213</v>
      </c>
      <c r="J44" s="103" t="s">
        <v>264</v>
      </c>
    </row>
    <row r="45" spans="1:10">
      <c r="A45" s="100" t="s">
        <v>2173</v>
      </c>
      <c r="B45" s="101" t="s">
        <v>1017</v>
      </c>
      <c r="C45" s="102">
        <v>46012</v>
      </c>
      <c r="D45" s="101" t="s">
        <v>2136</v>
      </c>
      <c r="E45" s="101" t="s">
        <v>2144</v>
      </c>
      <c r="F45" s="245">
        <v>20833.84</v>
      </c>
      <c r="G45" s="101" t="s">
        <v>416</v>
      </c>
      <c r="H45" s="101" t="s">
        <v>558</v>
      </c>
      <c r="I45" s="101" t="s">
        <v>384</v>
      </c>
      <c r="J45" s="103" t="s">
        <v>264</v>
      </c>
    </row>
    <row r="46" spans="1:10">
      <c r="A46" s="100" t="s">
        <v>2174</v>
      </c>
      <c r="B46" s="101" t="s">
        <v>963</v>
      </c>
      <c r="C46" s="102">
        <v>46094</v>
      </c>
      <c r="D46" s="101" t="s">
        <v>2138</v>
      </c>
      <c r="E46" s="101" t="s">
        <v>2134</v>
      </c>
      <c r="F46" s="245">
        <v>5181.97</v>
      </c>
      <c r="G46" s="101" t="s">
        <v>152</v>
      </c>
      <c r="H46" s="101" t="s">
        <v>428</v>
      </c>
      <c r="I46" s="101" t="s">
        <v>213</v>
      </c>
      <c r="J46" s="103" t="s">
        <v>264</v>
      </c>
    </row>
    <row r="47" spans="1:10">
      <c r="A47" s="100" t="s">
        <v>2175</v>
      </c>
      <c r="B47" s="101" t="s">
        <v>993</v>
      </c>
      <c r="C47" s="102">
        <v>46141</v>
      </c>
      <c r="D47" s="101" t="s">
        <v>2141</v>
      </c>
      <c r="E47" s="101" t="s">
        <v>2144</v>
      </c>
      <c r="F47" s="245">
        <v>5861.77</v>
      </c>
      <c r="G47" s="101" t="s">
        <v>379</v>
      </c>
      <c r="H47" s="101" t="s">
        <v>588</v>
      </c>
      <c r="I47" s="101" t="s">
        <v>414</v>
      </c>
      <c r="J47" s="103" t="s">
        <v>264</v>
      </c>
    </row>
    <row r="48" spans="1:10">
      <c r="A48" s="100" t="s">
        <v>2176</v>
      </c>
      <c r="B48" s="101" t="s">
        <v>1007</v>
      </c>
      <c r="C48" s="102">
        <v>46010</v>
      </c>
      <c r="D48" s="101" t="s">
        <v>254</v>
      </c>
      <c r="E48" s="101" t="s">
        <v>2129</v>
      </c>
      <c r="F48" s="245">
        <v>9010.85</v>
      </c>
      <c r="G48" s="101" t="s">
        <v>271</v>
      </c>
      <c r="H48" s="101" t="s">
        <v>522</v>
      </c>
      <c r="I48" s="101" t="s">
        <v>412</v>
      </c>
      <c r="J48" s="103" t="s">
        <v>264</v>
      </c>
    </row>
    <row r="49" spans="1:10">
      <c r="A49" s="100" t="s">
        <v>2177</v>
      </c>
      <c r="B49" s="101" t="s">
        <v>974</v>
      </c>
      <c r="C49" s="102">
        <v>46114</v>
      </c>
      <c r="D49" s="101" t="s">
        <v>2128</v>
      </c>
      <c r="E49" s="101" t="s">
        <v>2144</v>
      </c>
      <c r="F49" s="245">
        <v>4018.09</v>
      </c>
      <c r="G49" s="101" t="s">
        <v>379</v>
      </c>
      <c r="H49" s="101" t="s">
        <v>457</v>
      </c>
      <c r="I49" s="101" t="s">
        <v>412</v>
      </c>
      <c r="J49" s="103" t="s">
        <v>264</v>
      </c>
    </row>
    <row r="50" spans="1:10">
      <c r="A50" s="100" t="s">
        <v>2178</v>
      </c>
      <c r="B50" s="101" t="s">
        <v>949</v>
      </c>
      <c r="C50" s="102">
        <v>46125</v>
      </c>
      <c r="D50" s="101" t="s">
        <v>2136</v>
      </c>
      <c r="E50" s="101" t="s">
        <v>2144</v>
      </c>
      <c r="F50" s="245">
        <v>28171.23</v>
      </c>
      <c r="G50" s="101" t="s">
        <v>371</v>
      </c>
      <c r="H50" s="101" t="s">
        <v>463</v>
      </c>
      <c r="I50" s="101" t="s">
        <v>213</v>
      </c>
      <c r="J50" s="103" t="s">
        <v>264</v>
      </c>
    </row>
    <row r="51" spans="1:10">
      <c r="A51" s="100" t="s">
        <v>2179</v>
      </c>
      <c r="B51" s="101" t="s">
        <v>988</v>
      </c>
      <c r="C51" s="102">
        <v>46118</v>
      </c>
      <c r="D51" s="101" t="s">
        <v>254</v>
      </c>
      <c r="E51" s="101" t="s">
        <v>2134</v>
      </c>
      <c r="F51" s="245">
        <v>12294.07</v>
      </c>
      <c r="G51" s="101" t="s">
        <v>176</v>
      </c>
      <c r="H51" s="101" t="s">
        <v>578</v>
      </c>
      <c r="I51" s="101" t="s">
        <v>412</v>
      </c>
      <c r="J51" s="103" t="s">
        <v>264</v>
      </c>
    </row>
    <row r="52" spans="1:10">
      <c r="A52" s="100" t="s">
        <v>2180</v>
      </c>
      <c r="B52" s="101" t="s">
        <v>986</v>
      </c>
      <c r="C52" s="102">
        <v>46050</v>
      </c>
      <c r="D52" s="101" t="s">
        <v>2128</v>
      </c>
      <c r="E52" s="101" t="s">
        <v>2134</v>
      </c>
      <c r="F52" s="245">
        <v>27511.94</v>
      </c>
      <c r="G52" s="101" t="s">
        <v>416</v>
      </c>
      <c r="H52" s="101" t="s">
        <v>541</v>
      </c>
      <c r="I52" s="101" t="s">
        <v>213</v>
      </c>
      <c r="J52" s="103" t="s">
        <v>264</v>
      </c>
    </row>
    <row r="53" spans="1:10">
      <c r="A53" s="100" t="s">
        <v>2181</v>
      </c>
      <c r="B53" s="101" t="s">
        <v>990</v>
      </c>
      <c r="C53" s="102">
        <v>45922</v>
      </c>
      <c r="D53" s="101" t="s">
        <v>2128</v>
      </c>
      <c r="E53" s="101" t="s">
        <v>2144</v>
      </c>
      <c r="F53" s="245">
        <v>1383.78</v>
      </c>
      <c r="G53" s="101" t="s">
        <v>407</v>
      </c>
      <c r="H53" s="101" t="s">
        <v>445</v>
      </c>
      <c r="I53" s="101" t="s">
        <v>403</v>
      </c>
      <c r="J53" s="103" t="s">
        <v>264</v>
      </c>
    </row>
    <row r="54" spans="1:10">
      <c r="A54" s="100" t="s">
        <v>2182</v>
      </c>
      <c r="B54" s="101" t="s">
        <v>966</v>
      </c>
      <c r="C54" s="102">
        <v>45900</v>
      </c>
      <c r="D54" s="101" t="s">
        <v>2141</v>
      </c>
      <c r="E54" s="101" t="s">
        <v>2144</v>
      </c>
      <c r="F54" s="245">
        <v>7990.06</v>
      </c>
      <c r="G54" s="101" t="s">
        <v>37</v>
      </c>
      <c r="H54" s="101" t="s">
        <v>550</v>
      </c>
      <c r="I54" s="101" t="s">
        <v>414</v>
      </c>
      <c r="J54" s="103" t="s">
        <v>264</v>
      </c>
    </row>
    <row r="55" spans="1:10">
      <c r="A55" s="100" t="s">
        <v>2183</v>
      </c>
      <c r="B55" s="101" t="s">
        <v>986</v>
      </c>
      <c r="C55" s="102">
        <v>45865</v>
      </c>
      <c r="D55" s="101" t="s">
        <v>2133</v>
      </c>
      <c r="E55" s="101" t="s">
        <v>2129</v>
      </c>
      <c r="F55" s="245">
        <v>8341.5499999999993</v>
      </c>
      <c r="G55" s="101" t="s">
        <v>416</v>
      </c>
      <c r="H55" s="101" t="s">
        <v>541</v>
      </c>
      <c r="I55" s="101" t="s">
        <v>261</v>
      </c>
      <c r="J55" s="103" t="s">
        <v>264</v>
      </c>
    </row>
    <row r="56" spans="1:10">
      <c r="A56" s="100" t="s">
        <v>2184</v>
      </c>
      <c r="B56" s="101" t="s">
        <v>995</v>
      </c>
      <c r="C56" s="102">
        <v>46003</v>
      </c>
      <c r="D56" s="101" t="s">
        <v>2128</v>
      </c>
      <c r="E56" s="101" t="s">
        <v>2126</v>
      </c>
      <c r="F56" s="245">
        <v>11166.75</v>
      </c>
      <c r="G56" s="101" t="s">
        <v>416</v>
      </c>
      <c r="H56" s="101" t="s">
        <v>541</v>
      </c>
      <c r="I56" s="101" t="s">
        <v>213</v>
      </c>
      <c r="J56" s="103" t="s">
        <v>264</v>
      </c>
    </row>
    <row r="57" spans="1:10">
      <c r="A57" s="100" t="s">
        <v>2185</v>
      </c>
      <c r="B57" s="101" t="s">
        <v>982</v>
      </c>
      <c r="C57" s="102">
        <v>46000</v>
      </c>
      <c r="D57" s="101" t="s">
        <v>2128</v>
      </c>
      <c r="E57" s="101" t="s">
        <v>2134</v>
      </c>
      <c r="F57" s="245">
        <v>18142.25</v>
      </c>
      <c r="G57" s="101" t="s">
        <v>416</v>
      </c>
      <c r="H57" s="101" t="s">
        <v>483</v>
      </c>
      <c r="I57" s="101" t="s">
        <v>414</v>
      </c>
      <c r="J57" s="103" t="s">
        <v>264</v>
      </c>
    </row>
    <row r="58" spans="1:10">
      <c r="A58" s="100" t="s">
        <v>2186</v>
      </c>
      <c r="B58" s="101" t="s">
        <v>1002</v>
      </c>
      <c r="C58" s="102">
        <v>46038</v>
      </c>
      <c r="D58" s="101" t="s">
        <v>254</v>
      </c>
      <c r="E58" s="101" t="s">
        <v>257</v>
      </c>
      <c r="F58" s="245">
        <v>11346.68</v>
      </c>
      <c r="G58" s="101" t="s">
        <v>152</v>
      </c>
      <c r="H58" s="101" t="s">
        <v>428</v>
      </c>
      <c r="I58" s="101" t="s">
        <v>384</v>
      </c>
      <c r="J58" s="103" t="s">
        <v>264</v>
      </c>
    </row>
    <row r="59" spans="1:10">
      <c r="A59" s="100" t="s">
        <v>2187</v>
      </c>
      <c r="B59" s="101" t="s">
        <v>972</v>
      </c>
      <c r="C59" s="102">
        <v>46048</v>
      </c>
      <c r="D59" s="101" t="s">
        <v>2138</v>
      </c>
      <c r="E59" s="101" t="s">
        <v>2126</v>
      </c>
      <c r="F59" s="245">
        <v>2439.21</v>
      </c>
      <c r="G59" s="101" t="s">
        <v>104</v>
      </c>
      <c r="H59" s="101" t="s">
        <v>496</v>
      </c>
      <c r="I59" s="101" t="s">
        <v>213</v>
      </c>
      <c r="J59" s="103" t="s">
        <v>264</v>
      </c>
    </row>
    <row r="60" spans="1:10">
      <c r="A60" s="100" t="s">
        <v>2188</v>
      </c>
      <c r="B60" s="101" t="s">
        <v>1008</v>
      </c>
      <c r="C60" s="102">
        <v>46070</v>
      </c>
      <c r="D60" s="101" t="s">
        <v>2136</v>
      </c>
      <c r="E60" s="101" t="s">
        <v>2129</v>
      </c>
      <c r="F60" s="245">
        <v>2812.64</v>
      </c>
      <c r="G60" s="101" t="s">
        <v>176</v>
      </c>
      <c r="H60" s="101" t="s">
        <v>178</v>
      </c>
      <c r="I60" s="101" t="s">
        <v>375</v>
      </c>
      <c r="J60" s="103" t="s">
        <v>264</v>
      </c>
    </row>
    <row r="61" spans="1:10">
      <c r="A61" s="100" t="s">
        <v>2189</v>
      </c>
      <c r="B61" s="101" t="s">
        <v>985</v>
      </c>
      <c r="C61" s="102">
        <v>46115</v>
      </c>
      <c r="D61" s="101" t="s">
        <v>254</v>
      </c>
      <c r="E61" s="101" t="s">
        <v>2134</v>
      </c>
      <c r="F61" s="245">
        <v>1561.66</v>
      </c>
      <c r="G61" s="101" t="s">
        <v>379</v>
      </c>
      <c r="H61" s="101" t="s">
        <v>457</v>
      </c>
      <c r="I61" s="101" t="s">
        <v>261</v>
      </c>
      <c r="J61" s="103" t="s">
        <v>264</v>
      </c>
    </row>
    <row r="62" spans="1:10">
      <c r="A62" s="100" t="s">
        <v>2190</v>
      </c>
      <c r="B62" s="101" t="s">
        <v>977</v>
      </c>
      <c r="C62" s="102">
        <v>46132</v>
      </c>
      <c r="D62" s="101" t="s">
        <v>254</v>
      </c>
      <c r="E62" s="101" t="s">
        <v>2126</v>
      </c>
      <c r="F62" s="245">
        <v>7333.8</v>
      </c>
      <c r="G62" s="101" t="s">
        <v>407</v>
      </c>
      <c r="H62" s="101" t="s">
        <v>445</v>
      </c>
      <c r="I62" s="101" t="s">
        <v>261</v>
      </c>
      <c r="J62" s="103" t="s">
        <v>264</v>
      </c>
    </row>
    <row r="63" spans="1:10">
      <c r="A63" s="100" t="s">
        <v>2191</v>
      </c>
      <c r="B63" s="101" t="s">
        <v>936</v>
      </c>
      <c r="C63" s="102">
        <v>46035</v>
      </c>
      <c r="D63" s="101" t="s">
        <v>2133</v>
      </c>
      <c r="E63" s="101" t="s">
        <v>257</v>
      </c>
      <c r="F63" s="245">
        <v>7589.17</v>
      </c>
      <c r="G63" s="101" t="s">
        <v>371</v>
      </c>
      <c r="H63" s="101" t="s">
        <v>506</v>
      </c>
      <c r="I63" s="101" t="s">
        <v>403</v>
      </c>
      <c r="J63" s="103" t="s">
        <v>264</v>
      </c>
    </row>
    <row r="64" spans="1:10">
      <c r="A64" s="100" t="s">
        <v>2192</v>
      </c>
      <c r="B64" s="101" t="s">
        <v>1013</v>
      </c>
      <c r="C64" s="102">
        <v>46071</v>
      </c>
      <c r="D64" s="101" t="s">
        <v>2133</v>
      </c>
      <c r="E64" s="101" t="s">
        <v>2144</v>
      </c>
      <c r="F64" s="245">
        <v>1522.8</v>
      </c>
      <c r="G64" s="101" t="s">
        <v>152</v>
      </c>
      <c r="H64" s="101" t="s">
        <v>452</v>
      </c>
      <c r="I64" s="101" t="s">
        <v>414</v>
      </c>
      <c r="J64" s="103" t="s">
        <v>264</v>
      </c>
    </row>
    <row r="65" spans="1:10">
      <c r="A65" s="100" t="s">
        <v>2193</v>
      </c>
      <c r="B65" s="101" t="s">
        <v>989</v>
      </c>
      <c r="C65" s="102">
        <v>46115</v>
      </c>
      <c r="D65" s="101" t="s">
        <v>2128</v>
      </c>
      <c r="E65" s="101" t="s">
        <v>2144</v>
      </c>
      <c r="F65" s="245">
        <v>4647.12</v>
      </c>
      <c r="G65" s="101" t="s">
        <v>421</v>
      </c>
      <c r="H65" s="101" t="s">
        <v>479</v>
      </c>
      <c r="I65" s="101" t="s">
        <v>213</v>
      </c>
      <c r="J65" s="103" t="s">
        <v>264</v>
      </c>
    </row>
    <row r="66" spans="1:10">
      <c r="A66" s="100" t="s">
        <v>2194</v>
      </c>
      <c r="B66" s="101" t="s">
        <v>1014</v>
      </c>
      <c r="C66" s="102">
        <v>45978</v>
      </c>
      <c r="D66" s="101" t="s">
        <v>2138</v>
      </c>
      <c r="E66" s="101" t="s">
        <v>2129</v>
      </c>
      <c r="F66" s="245">
        <v>27571.97</v>
      </c>
      <c r="G66" s="101" t="s">
        <v>176</v>
      </c>
      <c r="H66" s="101" t="s">
        <v>578</v>
      </c>
      <c r="I66" s="101" t="s">
        <v>261</v>
      </c>
      <c r="J66" s="103" t="s">
        <v>264</v>
      </c>
    </row>
    <row r="67" spans="1:10">
      <c r="A67" s="100" t="s">
        <v>2195</v>
      </c>
      <c r="B67" s="101" t="s">
        <v>963</v>
      </c>
      <c r="C67" s="102">
        <v>46095</v>
      </c>
      <c r="D67" s="101" t="s">
        <v>2128</v>
      </c>
      <c r="E67" s="101" t="s">
        <v>2144</v>
      </c>
      <c r="F67" s="245">
        <v>20151.830000000002</v>
      </c>
      <c r="G67" s="101" t="s">
        <v>152</v>
      </c>
      <c r="H67" s="101" t="s">
        <v>428</v>
      </c>
      <c r="I67" s="101" t="s">
        <v>403</v>
      </c>
      <c r="J67" s="103" t="s">
        <v>264</v>
      </c>
    </row>
    <row r="68" spans="1:10">
      <c r="A68" s="100" t="s">
        <v>2196</v>
      </c>
      <c r="B68" s="101" t="s">
        <v>996</v>
      </c>
      <c r="C68" s="102">
        <v>46136</v>
      </c>
      <c r="D68" s="101" t="s">
        <v>2133</v>
      </c>
      <c r="E68" s="101" t="s">
        <v>2144</v>
      </c>
      <c r="F68" s="245">
        <v>1471.72</v>
      </c>
      <c r="G68" s="101" t="s">
        <v>421</v>
      </c>
      <c r="H68" s="101" t="s">
        <v>608</v>
      </c>
      <c r="I68" s="101" t="s">
        <v>261</v>
      </c>
      <c r="J68" s="103" t="s">
        <v>264</v>
      </c>
    </row>
    <row r="69" spans="1:10">
      <c r="A69" s="100" t="s">
        <v>2197</v>
      </c>
      <c r="B69" s="101" t="s">
        <v>936</v>
      </c>
      <c r="C69" s="102">
        <v>46037</v>
      </c>
      <c r="D69" s="101" t="s">
        <v>2138</v>
      </c>
      <c r="E69" s="101" t="s">
        <v>2144</v>
      </c>
      <c r="F69" s="245">
        <v>28341.01</v>
      </c>
      <c r="G69" s="101" t="s">
        <v>371</v>
      </c>
      <c r="H69" s="101" t="s">
        <v>506</v>
      </c>
      <c r="I69" s="101" t="s">
        <v>403</v>
      </c>
      <c r="J69" s="103" t="s">
        <v>264</v>
      </c>
    </row>
    <row r="70" spans="1:10">
      <c r="A70" s="100" t="s">
        <v>2198</v>
      </c>
      <c r="B70" s="101" t="s">
        <v>993</v>
      </c>
      <c r="C70" s="102">
        <v>46101</v>
      </c>
      <c r="D70" s="101" t="s">
        <v>2138</v>
      </c>
      <c r="E70" s="101" t="s">
        <v>2134</v>
      </c>
      <c r="F70" s="245">
        <v>20105.900000000001</v>
      </c>
      <c r="G70" s="101" t="s">
        <v>379</v>
      </c>
      <c r="H70" s="101" t="s">
        <v>588</v>
      </c>
      <c r="I70" s="101" t="s">
        <v>213</v>
      </c>
      <c r="J70" s="103" t="s">
        <v>264</v>
      </c>
    </row>
    <row r="71" spans="1:10">
      <c r="A71" s="100" t="s">
        <v>2199</v>
      </c>
      <c r="B71" s="101" t="s">
        <v>939</v>
      </c>
      <c r="C71" s="102">
        <v>45981</v>
      </c>
      <c r="D71" s="101" t="s">
        <v>2138</v>
      </c>
      <c r="E71" s="101" t="s">
        <v>2126</v>
      </c>
      <c r="F71" s="245">
        <v>1759.13</v>
      </c>
      <c r="G71" s="101" t="s">
        <v>421</v>
      </c>
      <c r="H71" s="101" t="s">
        <v>479</v>
      </c>
      <c r="I71" s="101" t="s">
        <v>412</v>
      </c>
      <c r="J71" s="103" t="s">
        <v>264</v>
      </c>
    </row>
    <row r="72" spans="1:10">
      <c r="A72" s="100" t="s">
        <v>2200</v>
      </c>
      <c r="B72" s="101" t="s">
        <v>1016</v>
      </c>
      <c r="C72" s="102">
        <v>45991</v>
      </c>
      <c r="D72" s="101" t="s">
        <v>2128</v>
      </c>
      <c r="E72" s="101" t="s">
        <v>2129</v>
      </c>
      <c r="F72" s="245">
        <v>21475.08</v>
      </c>
      <c r="G72" s="101" t="s">
        <v>271</v>
      </c>
      <c r="H72" s="101" t="s">
        <v>20</v>
      </c>
      <c r="I72" s="101" t="s">
        <v>213</v>
      </c>
      <c r="J72" s="103" t="s">
        <v>264</v>
      </c>
    </row>
    <row r="73" spans="1:10">
      <c r="A73" s="100" t="s">
        <v>2201</v>
      </c>
      <c r="B73" s="101" t="s">
        <v>988</v>
      </c>
      <c r="C73" s="102">
        <v>46049</v>
      </c>
      <c r="D73" s="101" t="s">
        <v>2141</v>
      </c>
      <c r="E73" s="101" t="s">
        <v>257</v>
      </c>
      <c r="F73" s="245">
        <v>5080.8599999999997</v>
      </c>
      <c r="G73" s="101" t="s">
        <v>176</v>
      </c>
      <c r="H73" s="101" t="s">
        <v>578</v>
      </c>
      <c r="I73" s="101" t="s">
        <v>412</v>
      </c>
      <c r="J73" s="103" t="s">
        <v>264</v>
      </c>
    </row>
    <row r="74" spans="1:10">
      <c r="A74" s="100" t="s">
        <v>2202</v>
      </c>
      <c r="B74" s="101" t="s">
        <v>977</v>
      </c>
      <c r="C74" s="102">
        <v>46119</v>
      </c>
      <c r="D74" s="101" t="s">
        <v>254</v>
      </c>
      <c r="E74" s="101" t="s">
        <v>2129</v>
      </c>
      <c r="F74" s="245">
        <v>2275</v>
      </c>
      <c r="G74" s="101" t="s">
        <v>407</v>
      </c>
      <c r="H74" s="101" t="s">
        <v>445</v>
      </c>
      <c r="I74" s="101" t="s">
        <v>414</v>
      </c>
      <c r="J74" s="103" t="s">
        <v>264</v>
      </c>
    </row>
    <row r="75" spans="1:10">
      <c r="A75" s="100" t="s">
        <v>2203</v>
      </c>
      <c r="B75" s="101" t="s">
        <v>1016</v>
      </c>
      <c r="C75" s="102">
        <v>45989</v>
      </c>
      <c r="D75" s="101" t="s">
        <v>2136</v>
      </c>
      <c r="E75" s="101" t="s">
        <v>257</v>
      </c>
      <c r="F75" s="245">
        <v>21484.84</v>
      </c>
      <c r="G75" s="101" t="s">
        <v>271</v>
      </c>
      <c r="H75" s="101" t="s">
        <v>20</v>
      </c>
      <c r="I75" s="101" t="s">
        <v>261</v>
      </c>
      <c r="J75" s="103" t="s">
        <v>264</v>
      </c>
    </row>
    <row r="76" spans="1:10">
      <c r="A76" s="100" t="s">
        <v>2204</v>
      </c>
      <c r="B76" s="101" t="s">
        <v>965</v>
      </c>
      <c r="C76" s="102">
        <v>46131</v>
      </c>
      <c r="D76" s="101" t="s">
        <v>2136</v>
      </c>
      <c r="E76" s="101" t="s">
        <v>257</v>
      </c>
      <c r="F76" s="245">
        <v>4759.43</v>
      </c>
      <c r="G76" s="101" t="s">
        <v>176</v>
      </c>
      <c r="H76" s="101" t="s">
        <v>653</v>
      </c>
      <c r="I76" s="101" t="s">
        <v>375</v>
      </c>
      <c r="J76" s="103" t="s">
        <v>264</v>
      </c>
    </row>
    <row r="77" spans="1:10">
      <c r="A77" s="100" t="s">
        <v>2205</v>
      </c>
      <c r="B77" s="101" t="s">
        <v>986</v>
      </c>
      <c r="C77" s="102">
        <v>46007</v>
      </c>
      <c r="D77" s="101" t="s">
        <v>2128</v>
      </c>
      <c r="E77" s="101" t="s">
        <v>2144</v>
      </c>
      <c r="F77" s="245">
        <v>1365.21</v>
      </c>
      <c r="G77" s="101" t="s">
        <v>416</v>
      </c>
      <c r="H77" s="101" t="s">
        <v>541</v>
      </c>
      <c r="I77" s="101" t="s">
        <v>375</v>
      </c>
      <c r="J77" s="103" t="s">
        <v>264</v>
      </c>
    </row>
    <row r="78" spans="1:10">
      <c r="A78" s="100" t="s">
        <v>2206</v>
      </c>
      <c r="B78" s="101" t="s">
        <v>955</v>
      </c>
      <c r="C78" s="102">
        <v>45791</v>
      </c>
      <c r="D78" s="101" t="s">
        <v>2128</v>
      </c>
      <c r="E78" s="101" t="s">
        <v>2144</v>
      </c>
      <c r="F78" s="245">
        <v>18312.98</v>
      </c>
      <c r="G78" s="101" t="s">
        <v>421</v>
      </c>
      <c r="H78" s="101" t="s">
        <v>554</v>
      </c>
      <c r="I78" s="101" t="s">
        <v>384</v>
      </c>
      <c r="J78" s="103" t="s">
        <v>264</v>
      </c>
    </row>
    <row r="79" spans="1:10">
      <c r="A79" s="100" t="s">
        <v>2207</v>
      </c>
      <c r="B79" s="101" t="s">
        <v>965</v>
      </c>
      <c r="C79" s="102">
        <v>46137</v>
      </c>
      <c r="D79" s="101" t="s">
        <v>2125</v>
      </c>
      <c r="E79" s="101" t="s">
        <v>257</v>
      </c>
      <c r="F79" s="245">
        <v>8010.16</v>
      </c>
      <c r="G79" s="101" t="s">
        <v>176</v>
      </c>
      <c r="H79" s="101" t="s">
        <v>653</v>
      </c>
      <c r="I79" s="101" t="s">
        <v>384</v>
      </c>
      <c r="J79" s="103" t="s">
        <v>264</v>
      </c>
    </row>
    <row r="80" spans="1:10">
      <c r="A80" s="100" t="s">
        <v>2208</v>
      </c>
      <c r="B80" s="101" t="s">
        <v>1016</v>
      </c>
      <c r="C80" s="102">
        <v>46067</v>
      </c>
      <c r="D80" s="101" t="s">
        <v>2125</v>
      </c>
      <c r="E80" s="101" t="s">
        <v>257</v>
      </c>
      <c r="F80" s="245">
        <v>8444.98</v>
      </c>
      <c r="G80" s="101" t="s">
        <v>271</v>
      </c>
      <c r="H80" s="101" t="s">
        <v>20</v>
      </c>
      <c r="I80" s="101" t="s">
        <v>261</v>
      </c>
      <c r="J80" s="103" t="s">
        <v>264</v>
      </c>
    </row>
    <row r="81" spans="1:10">
      <c r="A81" s="100" t="s">
        <v>2209</v>
      </c>
      <c r="B81" s="101" t="s">
        <v>964</v>
      </c>
      <c r="C81" s="102">
        <v>46084</v>
      </c>
      <c r="D81" s="101" t="s">
        <v>2136</v>
      </c>
      <c r="E81" s="101" t="s">
        <v>257</v>
      </c>
      <c r="F81" s="245">
        <v>1795.32</v>
      </c>
      <c r="G81" s="101" t="s">
        <v>37</v>
      </c>
      <c r="H81" s="101" t="s">
        <v>550</v>
      </c>
      <c r="I81" s="101" t="s">
        <v>213</v>
      </c>
      <c r="J81" s="103" t="s">
        <v>264</v>
      </c>
    </row>
    <row r="82" spans="1:10">
      <c r="A82" s="100" t="s">
        <v>2210</v>
      </c>
      <c r="B82" s="101" t="s">
        <v>970</v>
      </c>
      <c r="C82" s="102">
        <v>46138</v>
      </c>
      <c r="D82" s="101" t="s">
        <v>2128</v>
      </c>
      <c r="E82" s="101" t="s">
        <v>257</v>
      </c>
      <c r="F82" s="245">
        <v>14023.27</v>
      </c>
      <c r="G82" s="101" t="s">
        <v>37</v>
      </c>
      <c r="H82" s="101" t="s">
        <v>550</v>
      </c>
      <c r="I82" s="101" t="s">
        <v>403</v>
      </c>
      <c r="J82" s="103" t="s">
        <v>264</v>
      </c>
    </row>
    <row r="83" spans="1:10">
      <c r="A83" s="100" t="s">
        <v>2211</v>
      </c>
      <c r="B83" s="101" t="s">
        <v>1012</v>
      </c>
      <c r="C83" s="102">
        <v>45963</v>
      </c>
      <c r="D83" s="101" t="s">
        <v>2125</v>
      </c>
      <c r="E83" s="101" t="s">
        <v>257</v>
      </c>
      <c r="F83" s="245">
        <v>1662.08</v>
      </c>
      <c r="G83" s="101" t="s">
        <v>371</v>
      </c>
      <c r="H83" s="101" t="s">
        <v>506</v>
      </c>
      <c r="I83" s="101" t="s">
        <v>261</v>
      </c>
      <c r="J83" s="103" t="s">
        <v>264</v>
      </c>
    </row>
    <row r="84" spans="1:10">
      <c r="A84" s="100" t="s">
        <v>2212</v>
      </c>
      <c r="B84" s="101" t="s">
        <v>977</v>
      </c>
      <c r="C84" s="102">
        <v>46022</v>
      </c>
      <c r="D84" s="101" t="s">
        <v>2128</v>
      </c>
      <c r="E84" s="101" t="s">
        <v>2144</v>
      </c>
      <c r="F84" s="245">
        <v>19162.07</v>
      </c>
      <c r="G84" s="101" t="s">
        <v>407</v>
      </c>
      <c r="H84" s="101" t="s">
        <v>445</v>
      </c>
      <c r="I84" s="101" t="s">
        <v>384</v>
      </c>
      <c r="J84" s="103" t="s">
        <v>264</v>
      </c>
    </row>
    <row r="85" spans="1:10">
      <c r="A85" s="100" t="s">
        <v>2213</v>
      </c>
      <c r="B85" s="101" t="s">
        <v>1017</v>
      </c>
      <c r="C85" s="102">
        <v>46042</v>
      </c>
      <c r="D85" s="101" t="s">
        <v>2125</v>
      </c>
      <c r="E85" s="101" t="s">
        <v>2126</v>
      </c>
      <c r="F85" s="245">
        <v>18184.32</v>
      </c>
      <c r="G85" s="101" t="s">
        <v>416</v>
      </c>
      <c r="H85" s="101" t="s">
        <v>558</v>
      </c>
      <c r="I85" s="101" t="s">
        <v>375</v>
      </c>
      <c r="J85" s="103" t="s">
        <v>264</v>
      </c>
    </row>
    <row r="86" spans="1:10">
      <c r="A86" s="100" t="s">
        <v>2214</v>
      </c>
      <c r="B86" s="101" t="s">
        <v>989</v>
      </c>
      <c r="C86" s="102">
        <v>46112</v>
      </c>
      <c r="D86" s="101" t="s">
        <v>2138</v>
      </c>
      <c r="E86" s="101" t="s">
        <v>2126</v>
      </c>
      <c r="F86" s="245">
        <v>1400.84</v>
      </c>
      <c r="G86" s="101" t="s">
        <v>421</v>
      </c>
      <c r="H86" s="101" t="s">
        <v>479</v>
      </c>
      <c r="I86" s="101" t="s">
        <v>261</v>
      </c>
      <c r="J86" s="103" t="s">
        <v>264</v>
      </c>
    </row>
    <row r="87" spans="1:10">
      <c r="A87" s="100" t="s">
        <v>2215</v>
      </c>
      <c r="B87" s="101" t="s">
        <v>947</v>
      </c>
      <c r="C87" s="102">
        <v>46127</v>
      </c>
      <c r="D87" s="101" t="s">
        <v>2133</v>
      </c>
      <c r="E87" s="101" t="s">
        <v>2126</v>
      </c>
      <c r="F87" s="245">
        <v>5840.29</v>
      </c>
      <c r="G87" s="101" t="s">
        <v>104</v>
      </c>
      <c r="H87" s="101" t="s">
        <v>113</v>
      </c>
      <c r="I87" s="101" t="s">
        <v>375</v>
      </c>
      <c r="J87" s="103" t="s">
        <v>264</v>
      </c>
    </row>
    <row r="88" spans="1:10">
      <c r="A88" s="100" t="s">
        <v>2216</v>
      </c>
      <c r="B88" s="101" t="s">
        <v>986</v>
      </c>
      <c r="C88" s="102">
        <v>46055</v>
      </c>
      <c r="D88" s="101" t="s">
        <v>2133</v>
      </c>
      <c r="E88" s="101" t="s">
        <v>2134</v>
      </c>
      <c r="F88" s="245">
        <v>2785.97</v>
      </c>
      <c r="G88" s="101" t="s">
        <v>416</v>
      </c>
      <c r="H88" s="101" t="s">
        <v>541</v>
      </c>
      <c r="I88" s="101" t="s">
        <v>403</v>
      </c>
      <c r="J88" s="103" t="s">
        <v>264</v>
      </c>
    </row>
    <row r="89" spans="1:10">
      <c r="A89" s="100" t="s">
        <v>2217</v>
      </c>
      <c r="B89" s="101" t="s">
        <v>996</v>
      </c>
      <c r="C89" s="102">
        <v>46118</v>
      </c>
      <c r="D89" s="101" t="s">
        <v>2136</v>
      </c>
      <c r="E89" s="101" t="s">
        <v>257</v>
      </c>
      <c r="F89" s="245">
        <v>3284.64</v>
      </c>
      <c r="G89" s="101" t="s">
        <v>421</v>
      </c>
      <c r="H89" s="101" t="s">
        <v>608</v>
      </c>
      <c r="I89" s="101" t="s">
        <v>375</v>
      </c>
      <c r="J89" s="103" t="s">
        <v>264</v>
      </c>
    </row>
    <row r="90" spans="1:10">
      <c r="A90" s="100" t="s">
        <v>2218</v>
      </c>
      <c r="B90" s="101" t="s">
        <v>948</v>
      </c>
      <c r="C90" s="102">
        <v>46071</v>
      </c>
      <c r="D90" s="101" t="s">
        <v>2133</v>
      </c>
      <c r="E90" s="101" t="s">
        <v>2144</v>
      </c>
      <c r="F90" s="245">
        <v>24585.11</v>
      </c>
      <c r="G90" s="101" t="s">
        <v>176</v>
      </c>
      <c r="H90" s="101" t="s">
        <v>178</v>
      </c>
      <c r="I90" s="101" t="s">
        <v>403</v>
      </c>
      <c r="J90" s="103" t="s">
        <v>264</v>
      </c>
    </row>
    <row r="91" spans="1:10">
      <c r="A91" s="100" t="s">
        <v>2219</v>
      </c>
      <c r="B91" s="101" t="s">
        <v>943</v>
      </c>
      <c r="C91" s="102">
        <v>46110</v>
      </c>
      <c r="D91" s="101" t="s">
        <v>254</v>
      </c>
      <c r="E91" s="101" t="s">
        <v>2134</v>
      </c>
      <c r="F91" s="245">
        <v>1406.57</v>
      </c>
      <c r="G91" s="101" t="s">
        <v>416</v>
      </c>
      <c r="H91" s="101" t="s">
        <v>558</v>
      </c>
      <c r="I91" s="101" t="s">
        <v>412</v>
      </c>
      <c r="J91" s="103" t="s">
        <v>264</v>
      </c>
    </row>
    <row r="92" spans="1:10">
      <c r="A92" s="100" t="s">
        <v>2220</v>
      </c>
      <c r="B92" s="101" t="s">
        <v>998</v>
      </c>
      <c r="C92" s="102">
        <v>45753</v>
      </c>
      <c r="D92" s="101" t="s">
        <v>2141</v>
      </c>
      <c r="E92" s="101" t="s">
        <v>2144</v>
      </c>
      <c r="F92" s="245">
        <v>25286.87</v>
      </c>
      <c r="G92" s="101" t="s">
        <v>416</v>
      </c>
      <c r="H92" s="101" t="s">
        <v>558</v>
      </c>
      <c r="I92" s="101" t="s">
        <v>412</v>
      </c>
      <c r="J92" s="103" t="s">
        <v>264</v>
      </c>
    </row>
    <row r="93" spans="1:10">
      <c r="A93" s="100" t="s">
        <v>2221</v>
      </c>
      <c r="B93" s="101" t="s">
        <v>995</v>
      </c>
      <c r="C93" s="102">
        <v>46064</v>
      </c>
      <c r="D93" s="101" t="s">
        <v>2133</v>
      </c>
      <c r="E93" s="101" t="s">
        <v>2144</v>
      </c>
      <c r="F93" s="245">
        <v>3551.71</v>
      </c>
      <c r="G93" s="101" t="s">
        <v>416</v>
      </c>
      <c r="H93" s="101" t="s">
        <v>541</v>
      </c>
      <c r="I93" s="101" t="s">
        <v>384</v>
      </c>
      <c r="J93" s="103" t="s">
        <v>264</v>
      </c>
    </row>
    <row r="94" spans="1:10">
      <c r="A94" s="100" t="s">
        <v>2222</v>
      </c>
      <c r="B94" s="101" t="s">
        <v>939</v>
      </c>
      <c r="C94" s="102">
        <v>45973</v>
      </c>
      <c r="D94" s="101" t="s">
        <v>2141</v>
      </c>
      <c r="E94" s="101" t="s">
        <v>257</v>
      </c>
      <c r="F94" s="245">
        <v>2280.08</v>
      </c>
      <c r="G94" s="101" t="s">
        <v>421</v>
      </c>
      <c r="H94" s="101" t="s">
        <v>479</v>
      </c>
      <c r="I94" s="101" t="s">
        <v>384</v>
      </c>
      <c r="J94" s="103" t="s">
        <v>264</v>
      </c>
    </row>
    <row r="95" spans="1:10">
      <c r="A95" s="100" t="s">
        <v>2223</v>
      </c>
      <c r="B95" s="101" t="s">
        <v>948</v>
      </c>
      <c r="C95" s="102">
        <v>45945</v>
      </c>
      <c r="D95" s="101" t="s">
        <v>2128</v>
      </c>
      <c r="E95" s="101" t="s">
        <v>2134</v>
      </c>
      <c r="F95" s="245">
        <v>1630.63</v>
      </c>
      <c r="G95" s="101" t="s">
        <v>176</v>
      </c>
      <c r="H95" s="101" t="s">
        <v>178</v>
      </c>
      <c r="I95" s="101" t="s">
        <v>384</v>
      </c>
      <c r="J95" s="103" t="s">
        <v>264</v>
      </c>
    </row>
    <row r="96" spans="1:10">
      <c r="A96" s="100" t="s">
        <v>2224</v>
      </c>
      <c r="B96" s="101" t="s">
        <v>966</v>
      </c>
      <c r="C96" s="102">
        <v>45979</v>
      </c>
      <c r="D96" s="101" t="s">
        <v>254</v>
      </c>
      <c r="E96" s="101" t="s">
        <v>257</v>
      </c>
      <c r="F96" s="245">
        <v>1743.66</v>
      </c>
      <c r="G96" s="101" t="s">
        <v>37</v>
      </c>
      <c r="H96" s="101" t="s">
        <v>550</v>
      </c>
      <c r="I96" s="101" t="s">
        <v>412</v>
      </c>
      <c r="J96" s="103" t="s">
        <v>264</v>
      </c>
    </row>
    <row r="97" spans="1:10">
      <c r="A97" s="100" t="s">
        <v>2225</v>
      </c>
      <c r="B97" s="101" t="s">
        <v>945</v>
      </c>
      <c r="C97" s="102">
        <v>46120</v>
      </c>
      <c r="D97" s="101" t="s">
        <v>2128</v>
      </c>
      <c r="E97" s="101" t="s">
        <v>2129</v>
      </c>
      <c r="F97" s="245">
        <v>2466.79</v>
      </c>
      <c r="G97" s="101" t="s">
        <v>104</v>
      </c>
      <c r="H97" s="101" t="s">
        <v>113</v>
      </c>
      <c r="I97" s="101" t="s">
        <v>213</v>
      </c>
      <c r="J97" s="103" t="s">
        <v>264</v>
      </c>
    </row>
    <row r="98" spans="1:10">
      <c r="A98" s="100" t="s">
        <v>2226</v>
      </c>
      <c r="B98" s="101" t="s">
        <v>171</v>
      </c>
      <c r="C98" s="102">
        <v>46124</v>
      </c>
      <c r="D98" s="101" t="s">
        <v>254</v>
      </c>
      <c r="E98" s="101" t="s">
        <v>2134</v>
      </c>
      <c r="F98" s="245">
        <v>1680.52</v>
      </c>
      <c r="G98" s="101" t="s">
        <v>176</v>
      </c>
      <c r="H98" s="101" t="s">
        <v>178</v>
      </c>
      <c r="I98" s="101" t="s">
        <v>384</v>
      </c>
      <c r="J98" s="103" t="s">
        <v>264</v>
      </c>
    </row>
    <row r="99" spans="1:10">
      <c r="A99" s="100" t="s">
        <v>2227</v>
      </c>
      <c r="B99" s="101" t="s">
        <v>964</v>
      </c>
      <c r="C99" s="102">
        <v>46030</v>
      </c>
      <c r="D99" s="101" t="s">
        <v>2136</v>
      </c>
      <c r="E99" s="101" t="s">
        <v>2134</v>
      </c>
      <c r="F99" s="245">
        <v>2139.0300000000002</v>
      </c>
      <c r="G99" s="101" t="s">
        <v>37</v>
      </c>
      <c r="H99" s="101" t="s">
        <v>550</v>
      </c>
      <c r="I99" s="101" t="s">
        <v>414</v>
      </c>
      <c r="J99" s="103" t="s">
        <v>264</v>
      </c>
    </row>
    <row r="100" spans="1:10">
      <c r="A100" s="100" t="s">
        <v>2228</v>
      </c>
      <c r="B100" s="101" t="s">
        <v>963</v>
      </c>
      <c r="C100" s="102">
        <v>45941</v>
      </c>
      <c r="D100" s="101" t="s">
        <v>2133</v>
      </c>
      <c r="E100" s="101" t="s">
        <v>2144</v>
      </c>
      <c r="F100" s="245">
        <v>2318</v>
      </c>
      <c r="G100" s="101" t="s">
        <v>152</v>
      </c>
      <c r="H100" s="101" t="s">
        <v>428</v>
      </c>
      <c r="I100" s="101" t="s">
        <v>412</v>
      </c>
      <c r="J100" s="103" t="s">
        <v>264</v>
      </c>
    </row>
    <row r="101" spans="1:10">
      <c r="A101" s="100" t="s">
        <v>2229</v>
      </c>
      <c r="B101" s="101" t="s">
        <v>960</v>
      </c>
      <c r="C101" s="102">
        <v>46030</v>
      </c>
      <c r="D101" s="101" t="s">
        <v>2133</v>
      </c>
      <c r="E101" s="101" t="s">
        <v>2134</v>
      </c>
      <c r="F101" s="245">
        <v>1493.23</v>
      </c>
      <c r="G101" s="101" t="s">
        <v>152</v>
      </c>
      <c r="H101" s="101" t="s">
        <v>428</v>
      </c>
      <c r="I101" s="101" t="s">
        <v>261</v>
      </c>
      <c r="J101" s="103" t="s">
        <v>264</v>
      </c>
    </row>
    <row r="102" spans="1:10">
      <c r="A102" s="100" t="s">
        <v>2230</v>
      </c>
      <c r="B102" s="101" t="s">
        <v>1010</v>
      </c>
      <c r="C102" s="102">
        <v>46140</v>
      </c>
      <c r="D102" s="101" t="s">
        <v>2128</v>
      </c>
      <c r="E102" s="101" t="s">
        <v>257</v>
      </c>
      <c r="F102" s="245">
        <v>5343.18</v>
      </c>
      <c r="G102" s="101" t="s">
        <v>152</v>
      </c>
      <c r="H102" s="101" t="s">
        <v>452</v>
      </c>
      <c r="I102" s="101" t="s">
        <v>375</v>
      </c>
      <c r="J102" s="103" t="s">
        <v>264</v>
      </c>
    </row>
    <row r="103" spans="1:10">
      <c r="A103" s="100" t="s">
        <v>2231</v>
      </c>
      <c r="B103" s="101" t="s">
        <v>968</v>
      </c>
      <c r="C103" s="102">
        <v>45891</v>
      </c>
      <c r="D103" s="101" t="s">
        <v>254</v>
      </c>
      <c r="E103" s="101" t="s">
        <v>2129</v>
      </c>
      <c r="F103" s="245">
        <v>4435.3</v>
      </c>
      <c r="G103" s="101" t="s">
        <v>371</v>
      </c>
      <c r="H103" s="101" t="s">
        <v>439</v>
      </c>
      <c r="I103" s="101" t="s">
        <v>403</v>
      </c>
      <c r="J103" s="103" t="s">
        <v>264</v>
      </c>
    </row>
    <row r="104" spans="1:10">
      <c r="A104" s="100" t="s">
        <v>2232</v>
      </c>
      <c r="B104" s="101" t="s">
        <v>979</v>
      </c>
      <c r="C104" s="102">
        <v>46115</v>
      </c>
      <c r="D104" s="101" t="s">
        <v>254</v>
      </c>
      <c r="E104" s="101" t="s">
        <v>2129</v>
      </c>
      <c r="F104" s="245">
        <v>1479.32</v>
      </c>
      <c r="G104" s="101" t="s">
        <v>407</v>
      </c>
      <c r="H104" s="101" t="s">
        <v>470</v>
      </c>
      <c r="I104" s="101" t="s">
        <v>412</v>
      </c>
      <c r="J104" s="103" t="s">
        <v>264</v>
      </c>
    </row>
    <row r="105" spans="1:10">
      <c r="A105" s="100" t="s">
        <v>2233</v>
      </c>
      <c r="B105" s="101" t="s">
        <v>974</v>
      </c>
      <c r="C105" s="102">
        <v>45926</v>
      </c>
      <c r="D105" s="101" t="s">
        <v>2128</v>
      </c>
      <c r="E105" s="101" t="s">
        <v>2134</v>
      </c>
      <c r="F105" s="245">
        <v>10384.540000000001</v>
      </c>
      <c r="G105" s="101" t="s">
        <v>379</v>
      </c>
      <c r="H105" s="101" t="s">
        <v>457</v>
      </c>
      <c r="I105" s="101" t="s">
        <v>414</v>
      </c>
      <c r="J105" s="103" t="s">
        <v>264</v>
      </c>
    </row>
    <row r="106" spans="1:10">
      <c r="A106" s="100" t="s">
        <v>2234</v>
      </c>
      <c r="B106" s="101" t="s">
        <v>1015</v>
      </c>
      <c r="C106" s="102">
        <v>45895</v>
      </c>
      <c r="D106" s="101" t="s">
        <v>2125</v>
      </c>
      <c r="E106" s="101" t="s">
        <v>2126</v>
      </c>
      <c r="F106" s="245">
        <v>29852.15</v>
      </c>
      <c r="G106" s="101" t="s">
        <v>421</v>
      </c>
      <c r="H106" s="101" t="s">
        <v>608</v>
      </c>
      <c r="I106" s="101" t="s">
        <v>414</v>
      </c>
      <c r="J106" s="103" t="s">
        <v>264</v>
      </c>
    </row>
    <row r="107" spans="1:10">
      <c r="A107" s="100" t="s">
        <v>2235</v>
      </c>
      <c r="B107" s="101" t="s">
        <v>1011</v>
      </c>
      <c r="C107" s="102">
        <v>46007</v>
      </c>
      <c r="D107" s="101" t="s">
        <v>2141</v>
      </c>
      <c r="E107" s="101" t="s">
        <v>2134</v>
      </c>
      <c r="F107" s="245">
        <v>3283.63</v>
      </c>
      <c r="G107" s="101" t="s">
        <v>407</v>
      </c>
      <c r="H107" s="101" t="s">
        <v>502</v>
      </c>
      <c r="I107" s="101" t="s">
        <v>412</v>
      </c>
      <c r="J107" s="103" t="s">
        <v>264</v>
      </c>
    </row>
    <row r="108" spans="1:10">
      <c r="A108" s="100" t="s">
        <v>2236</v>
      </c>
      <c r="B108" s="101" t="s">
        <v>988</v>
      </c>
      <c r="C108" s="102">
        <v>46043</v>
      </c>
      <c r="D108" s="101" t="s">
        <v>2133</v>
      </c>
      <c r="E108" s="101" t="s">
        <v>257</v>
      </c>
      <c r="F108" s="245">
        <v>3381.76</v>
      </c>
      <c r="G108" s="101" t="s">
        <v>176</v>
      </c>
      <c r="H108" s="101" t="s">
        <v>578</v>
      </c>
      <c r="I108" s="101" t="s">
        <v>375</v>
      </c>
      <c r="J108" s="103" t="s">
        <v>264</v>
      </c>
    </row>
    <row r="109" spans="1:10">
      <c r="A109" s="100" t="s">
        <v>2237</v>
      </c>
      <c r="B109" s="101" t="s">
        <v>981</v>
      </c>
      <c r="C109" s="102">
        <v>46066</v>
      </c>
      <c r="D109" s="101" t="s">
        <v>2128</v>
      </c>
      <c r="E109" s="101" t="s">
        <v>257</v>
      </c>
      <c r="F109" s="245">
        <v>1594.48</v>
      </c>
      <c r="G109" s="101" t="s">
        <v>407</v>
      </c>
      <c r="H109" s="101" t="s">
        <v>445</v>
      </c>
      <c r="I109" s="101" t="s">
        <v>213</v>
      </c>
      <c r="J109" s="103" t="s">
        <v>264</v>
      </c>
    </row>
    <row r="110" spans="1:10">
      <c r="A110" s="100" t="s">
        <v>2238</v>
      </c>
      <c r="B110" s="101" t="s">
        <v>968</v>
      </c>
      <c r="C110" s="102">
        <v>46041</v>
      </c>
      <c r="D110" s="101" t="s">
        <v>2133</v>
      </c>
      <c r="E110" s="101" t="s">
        <v>2129</v>
      </c>
      <c r="F110" s="245">
        <v>1397.12</v>
      </c>
      <c r="G110" s="101" t="s">
        <v>371</v>
      </c>
      <c r="H110" s="101" t="s">
        <v>439</v>
      </c>
      <c r="I110" s="101" t="s">
        <v>261</v>
      </c>
      <c r="J110" s="103" t="s">
        <v>264</v>
      </c>
    </row>
    <row r="111" spans="1:10">
      <c r="A111" s="100" t="s">
        <v>2239</v>
      </c>
      <c r="B111" s="101" t="s">
        <v>969</v>
      </c>
      <c r="C111" s="102">
        <v>46053</v>
      </c>
      <c r="D111" s="101" t="s">
        <v>2136</v>
      </c>
      <c r="E111" s="101" t="s">
        <v>2129</v>
      </c>
      <c r="F111" s="245">
        <v>20070.650000000001</v>
      </c>
      <c r="G111" s="101" t="s">
        <v>271</v>
      </c>
      <c r="H111" s="101" t="s">
        <v>20</v>
      </c>
      <c r="I111" s="101" t="s">
        <v>384</v>
      </c>
      <c r="J111" s="103" t="s">
        <v>264</v>
      </c>
    </row>
    <row r="112" spans="1:10">
      <c r="A112" s="100" t="s">
        <v>2240</v>
      </c>
      <c r="B112" s="101" t="s">
        <v>986</v>
      </c>
      <c r="C112" s="102">
        <v>45874</v>
      </c>
      <c r="D112" s="101" t="s">
        <v>2128</v>
      </c>
      <c r="E112" s="101" t="s">
        <v>2144</v>
      </c>
      <c r="F112" s="245">
        <v>23845.38</v>
      </c>
      <c r="G112" s="101" t="s">
        <v>416</v>
      </c>
      <c r="H112" s="101" t="s">
        <v>541</v>
      </c>
      <c r="I112" s="101" t="s">
        <v>412</v>
      </c>
      <c r="J112" s="103" t="s">
        <v>264</v>
      </c>
    </row>
    <row r="113" spans="1:10">
      <c r="A113" s="100" t="s">
        <v>2241</v>
      </c>
      <c r="B113" s="101" t="s">
        <v>943</v>
      </c>
      <c r="C113" s="102">
        <v>46053</v>
      </c>
      <c r="D113" s="101" t="s">
        <v>2128</v>
      </c>
      <c r="E113" s="101" t="s">
        <v>2134</v>
      </c>
      <c r="F113" s="245">
        <v>5865.97</v>
      </c>
      <c r="G113" s="101" t="s">
        <v>416</v>
      </c>
      <c r="H113" s="101" t="s">
        <v>558</v>
      </c>
      <c r="I113" s="101" t="s">
        <v>384</v>
      </c>
      <c r="J113" s="103" t="s">
        <v>264</v>
      </c>
    </row>
    <row r="114" spans="1:10">
      <c r="A114" s="100" t="s">
        <v>2242</v>
      </c>
      <c r="B114" s="101" t="s">
        <v>974</v>
      </c>
      <c r="C114" s="102">
        <v>45835</v>
      </c>
      <c r="D114" s="101" t="s">
        <v>2141</v>
      </c>
      <c r="E114" s="101" t="s">
        <v>257</v>
      </c>
      <c r="F114" s="245">
        <v>12903.13</v>
      </c>
      <c r="G114" s="101" t="s">
        <v>379</v>
      </c>
      <c r="H114" s="101" t="s">
        <v>457</v>
      </c>
      <c r="I114" s="101" t="s">
        <v>412</v>
      </c>
      <c r="J114" s="103" t="s">
        <v>264</v>
      </c>
    </row>
    <row r="115" spans="1:10">
      <c r="A115" s="100" t="s">
        <v>2243</v>
      </c>
      <c r="B115" s="101" t="s">
        <v>975</v>
      </c>
      <c r="C115" s="102">
        <v>46014</v>
      </c>
      <c r="D115" s="101" t="s">
        <v>2138</v>
      </c>
      <c r="E115" s="101" t="s">
        <v>2144</v>
      </c>
      <c r="F115" s="245">
        <v>1395.23</v>
      </c>
      <c r="G115" s="101" t="s">
        <v>37</v>
      </c>
      <c r="H115" s="101" t="s">
        <v>260</v>
      </c>
      <c r="I115" s="101" t="s">
        <v>384</v>
      </c>
      <c r="J115" s="103" t="s">
        <v>264</v>
      </c>
    </row>
    <row r="116" spans="1:10">
      <c r="A116" s="100" t="s">
        <v>2244</v>
      </c>
      <c r="B116" s="101" t="s">
        <v>1008</v>
      </c>
      <c r="C116" s="102">
        <v>46075</v>
      </c>
      <c r="D116" s="101" t="s">
        <v>2133</v>
      </c>
      <c r="E116" s="101" t="s">
        <v>2144</v>
      </c>
      <c r="F116" s="245">
        <v>1750.98</v>
      </c>
      <c r="G116" s="101" t="s">
        <v>176</v>
      </c>
      <c r="H116" s="101" t="s">
        <v>178</v>
      </c>
      <c r="I116" s="101" t="s">
        <v>213</v>
      </c>
      <c r="J116" s="103" t="s">
        <v>264</v>
      </c>
    </row>
    <row r="117" spans="1:10">
      <c r="A117" s="100" t="s">
        <v>2245</v>
      </c>
      <c r="B117" s="101" t="s">
        <v>987</v>
      </c>
      <c r="C117" s="102">
        <v>46099</v>
      </c>
      <c r="D117" s="101" t="s">
        <v>2136</v>
      </c>
      <c r="E117" s="101" t="s">
        <v>2129</v>
      </c>
      <c r="F117" s="245">
        <v>10970.89</v>
      </c>
      <c r="G117" s="101" t="s">
        <v>407</v>
      </c>
      <c r="H117" s="101" t="s">
        <v>470</v>
      </c>
      <c r="I117" s="101" t="s">
        <v>414</v>
      </c>
      <c r="J117" s="103" t="s">
        <v>264</v>
      </c>
    </row>
    <row r="118" spans="1:10">
      <c r="A118" s="100" t="s">
        <v>2246</v>
      </c>
      <c r="B118" s="101" t="s">
        <v>1001</v>
      </c>
      <c r="C118" s="102">
        <v>46005</v>
      </c>
      <c r="D118" s="101" t="s">
        <v>2125</v>
      </c>
      <c r="E118" s="101" t="s">
        <v>2144</v>
      </c>
      <c r="F118" s="245">
        <v>2959.45</v>
      </c>
      <c r="G118" s="101" t="s">
        <v>271</v>
      </c>
      <c r="H118" s="101" t="s">
        <v>522</v>
      </c>
      <c r="I118" s="101" t="s">
        <v>384</v>
      </c>
      <c r="J118" s="103" t="s">
        <v>264</v>
      </c>
    </row>
    <row r="119" spans="1:10">
      <c r="A119" s="100" t="s">
        <v>2247</v>
      </c>
      <c r="B119" s="101" t="s">
        <v>955</v>
      </c>
      <c r="C119" s="102">
        <v>46037</v>
      </c>
      <c r="D119" s="101" t="s">
        <v>2133</v>
      </c>
      <c r="E119" s="101" t="s">
        <v>2144</v>
      </c>
      <c r="F119" s="245">
        <v>2276.9699999999998</v>
      </c>
      <c r="G119" s="101" t="s">
        <v>421</v>
      </c>
      <c r="H119" s="101" t="s">
        <v>554</v>
      </c>
      <c r="I119" s="101" t="s">
        <v>384</v>
      </c>
      <c r="J119" s="103" t="s">
        <v>264</v>
      </c>
    </row>
    <row r="120" spans="1:10">
      <c r="A120" s="100" t="s">
        <v>2248</v>
      </c>
      <c r="B120" s="101" t="s">
        <v>1003</v>
      </c>
      <c r="C120" s="102">
        <v>46105</v>
      </c>
      <c r="D120" s="101" t="s">
        <v>2138</v>
      </c>
      <c r="E120" s="101" t="s">
        <v>2144</v>
      </c>
      <c r="F120" s="245">
        <v>2497.96</v>
      </c>
      <c r="G120" s="101" t="s">
        <v>176</v>
      </c>
      <c r="H120" s="101" t="s">
        <v>578</v>
      </c>
      <c r="I120" s="101" t="s">
        <v>412</v>
      </c>
      <c r="J120" s="103" t="s">
        <v>264</v>
      </c>
    </row>
    <row r="121" spans="1:10">
      <c r="A121" s="100" t="s">
        <v>2249</v>
      </c>
      <c r="B121" s="101" t="s">
        <v>964</v>
      </c>
      <c r="C121" s="102">
        <v>46104</v>
      </c>
      <c r="D121" s="101" t="s">
        <v>254</v>
      </c>
      <c r="E121" s="101" t="s">
        <v>2134</v>
      </c>
      <c r="F121" s="245">
        <v>4992.03</v>
      </c>
      <c r="G121" s="101" t="s">
        <v>37</v>
      </c>
      <c r="H121" s="101" t="s">
        <v>550</v>
      </c>
      <c r="I121" s="101" t="s">
        <v>261</v>
      </c>
      <c r="J121" s="103" t="s">
        <v>264</v>
      </c>
    </row>
    <row r="122" spans="1:10">
      <c r="A122" s="100" t="s">
        <v>2250</v>
      </c>
      <c r="B122" s="101" t="s">
        <v>1012</v>
      </c>
      <c r="C122" s="102">
        <v>45941</v>
      </c>
      <c r="D122" s="101" t="s">
        <v>2138</v>
      </c>
      <c r="E122" s="101" t="s">
        <v>257</v>
      </c>
      <c r="F122" s="245">
        <v>29717.599999999999</v>
      </c>
      <c r="G122" s="101" t="s">
        <v>371</v>
      </c>
      <c r="H122" s="101" t="s">
        <v>506</v>
      </c>
      <c r="I122" s="101" t="s">
        <v>375</v>
      </c>
      <c r="J122" s="103" t="s">
        <v>264</v>
      </c>
    </row>
    <row r="123" spans="1:10">
      <c r="A123" s="100" t="s">
        <v>2251</v>
      </c>
      <c r="B123" s="101" t="s">
        <v>985</v>
      </c>
      <c r="C123" s="102">
        <v>46124</v>
      </c>
      <c r="D123" s="101" t="s">
        <v>2128</v>
      </c>
      <c r="E123" s="101" t="s">
        <v>257</v>
      </c>
      <c r="F123" s="245">
        <v>17679.62</v>
      </c>
      <c r="G123" s="101" t="s">
        <v>379</v>
      </c>
      <c r="H123" s="101" t="s">
        <v>457</v>
      </c>
      <c r="I123" s="101" t="s">
        <v>213</v>
      </c>
      <c r="J123" s="103" t="s">
        <v>264</v>
      </c>
    </row>
    <row r="124" spans="1:10">
      <c r="A124" s="100" t="s">
        <v>2252</v>
      </c>
      <c r="B124" s="101" t="s">
        <v>249</v>
      </c>
      <c r="C124" s="102">
        <v>46025</v>
      </c>
      <c r="D124" s="101" t="s">
        <v>2136</v>
      </c>
      <c r="E124" s="101" t="s">
        <v>257</v>
      </c>
      <c r="F124" s="245">
        <v>20090.04</v>
      </c>
      <c r="G124" s="101" t="s">
        <v>37</v>
      </c>
      <c r="H124" s="101" t="s">
        <v>260</v>
      </c>
      <c r="I124" s="101" t="s">
        <v>403</v>
      </c>
      <c r="J124" s="103" t="s">
        <v>264</v>
      </c>
    </row>
    <row r="125" spans="1:10">
      <c r="A125" s="100" t="s">
        <v>2253</v>
      </c>
      <c r="B125" s="101" t="s">
        <v>949</v>
      </c>
      <c r="C125" s="102">
        <v>46066</v>
      </c>
      <c r="D125" s="101" t="s">
        <v>2141</v>
      </c>
      <c r="E125" s="101" t="s">
        <v>2144</v>
      </c>
      <c r="F125" s="245">
        <v>8466.51</v>
      </c>
      <c r="G125" s="101" t="s">
        <v>371</v>
      </c>
      <c r="H125" s="101" t="s">
        <v>463</v>
      </c>
      <c r="I125" s="101" t="s">
        <v>261</v>
      </c>
      <c r="J125" s="103" t="s">
        <v>264</v>
      </c>
    </row>
    <row r="126" spans="1:10">
      <c r="A126" s="100" t="s">
        <v>2254</v>
      </c>
      <c r="B126" s="101" t="s">
        <v>987</v>
      </c>
      <c r="C126" s="102">
        <v>46055</v>
      </c>
      <c r="D126" s="101" t="s">
        <v>2128</v>
      </c>
      <c r="E126" s="101" t="s">
        <v>2126</v>
      </c>
      <c r="F126" s="245">
        <v>23926.16</v>
      </c>
      <c r="G126" s="101" t="s">
        <v>407</v>
      </c>
      <c r="H126" s="101" t="s">
        <v>470</v>
      </c>
      <c r="I126" s="101" t="s">
        <v>213</v>
      </c>
      <c r="J126" s="103" t="s">
        <v>264</v>
      </c>
    </row>
    <row r="127" spans="1:10">
      <c r="A127" s="100" t="s">
        <v>2255</v>
      </c>
      <c r="B127" s="101" t="s">
        <v>1000</v>
      </c>
      <c r="C127" s="102">
        <v>46131</v>
      </c>
      <c r="D127" s="101" t="s">
        <v>254</v>
      </c>
      <c r="E127" s="101" t="s">
        <v>2144</v>
      </c>
      <c r="F127" s="245">
        <v>2416.58</v>
      </c>
      <c r="G127" s="101" t="s">
        <v>371</v>
      </c>
      <c r="H127" s="101" t="s">
        <v>463</v>
      </c>
      <c r="I127" s="101" t="s">
        <v>384</v>
      </c>
      <c r="J127" s="103" t="s">
        <v>264</v>
      </c>
    </row>
    <row r="128" spans="1:10">
      <c r="A128" s="100" t="s">
        <v>2256</v>
      </c>
      <c r="B128" s="101" t="s">
        <v>171</v>
      </c>
      <c r="C128" s="102">
        <v>46141</v>
      </c>
      <c r="D128" s="101" t="s">
        <v>2125</v>
      </c>
      <c r="E128" s="101" t="s">
        <v>2134</v>
      </c>
      <c r="F128" s="245">
        <v>1727.37</v>
      </c>
      <c r="G128" s="101" t="s">
        <v>176</v>
      </c>
      <c r="H128" s="101" t="s">
        <v>178</v>
      </c>
      <c r="I128" s="101" t="s">
        <v>403</v>
      </c>
      <c r="J128" s="103" t="s">
        <v>264</v>
      </c>
    </row>
    <row r="129" spans="1:10">
      <c r="A129" s="100" t="s">
        <v>2257</v>
      </c>
      <c r="B129" s="101" t="s">
        <v>990</v>
      </c>
      <c r="C129" s="102">
        <v>46010</v>
      </c>
      <c r="D129" s="101" t="s">
        <v>2128</v>
      </c>
      <c r="E129" s="101" t="s">
        <v>257</v>
      </c>
      <c r="F129" s="245">
        <v>21223.8</v>
      </c>
      <c r="G129" s="101" t="s">
        <v>407</v>
      </c>
      <c r="H129" s="101" t="s">
        <v>445</v>
      </c>
      <c r="I129" s="101" t="s">
        <v>261</v>
      </c>
      <c r="J129" s="103" t="s">
        <v>264</v>
      </c>
    </row>
    <row r="130" spans="1:10">
      <c r="A130" s="100" t="s">
        <v>2258</v>
      </c>
      <c r="B130" s="101" t="s">
        <v>1014</v>
      </c>
      <c r="C130" s="102">
        <v>45761</v>
      </c>
      <c r="D130" s="101" t="s">
        <v>2136</v>
      </c>
      <c r="E130" s="101" t="s">
        <v>257</v>
      </c>
      <c r="F130" s="245">
        <v>2482.69</v>
      </c>
      <c r="G130" s="101" t="s">
        <v>176</v>
      </c>
      <c r="H130" s="101" t="s">
        <v>578</v>
      </c>
      <c r="I130" s="101" t="s">
        <v>213</v>
      </c>
      <c r="J130" s="103" t="s">
        <v>264</v>
      </c>
    </row>
    <row r="131" spans="1:10">
      <c r="A131" s="100" t="s">
        <v>2259</v>
      </c>
      <c r="B131" s="101" t="s">
        <v>959</v>
      </c>
      <c r="C131" s="102">
        <v>45963</v>
      </c>
      <c r="D131" s="101" t="s">
        <v>2133</v>
      </c>
      <c r="E131" s="101" t="s">
        <v>2134</v>
      </c>
      <c r="F131" s="245">
        <v>5585.16</v>
      </c>
      <c r="G131" s="101" t="s">
        <v>271</v>
      </c>
      <c r="H131" s="101" t="s">
        <v>492</v>
      </c>
      <c r="I131" s="101" t="s">
        <v>213</v>
      </c>
      <c r="J131" s="103" t="s">
        <v>264</v>
      </c>
    </row>
    <row r="132" spans="1:10">
      <c r="A132" s="100" t="s">
        <v>2260</v>
      </c>
      <c r="B132" s="101" t="s">
        <v>1001</v>
      </c>
      <c r="C132" s="102">
        <v>46090</v>
      </c>
      <c r="D132" s="101" t="s">
        <v>2128</v>
      </c>
      <c r="E132" s="101" t="s">
        <v>2144</v>
      </c>
      <c r="F132" s="245">
        <v>13125.11</v>
      </c>
      <c r="G132" s="101" t="s">
        <v>271</v>
      </c>
      <c r="H132" s="101" t="s">
        <v>522</v>
      </c>
      <c r="I132" s="101" t="s">
        <v>384</v>
      </c>
      <c r="J132" s="103" t="s">
        <v>264</v>
      </c>
    </row>
    <row r="133" spans="1:10">
      <c r="A133" s="100" t="s">
        <v>2261</v>
      </c>
      <c r="B133" s="101" t="s">
        <v>1000</v>
      </c>
      <c r="C133" s="102">
        <v>46124</v>
      </c>
      <c r="D133" s="101" t="s">
        <v>2125</v>
      </c>
      <c r="E133" s="101" t="s">
        <v>2129</v>
      </c>
      <c r="F133" s="245">
        <v>1758.77</v>
      </c>
      <c r="G133" s="101" t="s">
        <v>371</v>
      </c>
      <c r="H133" s="101" t="s">
        <v>463</v>
      </c>
      <c r="I133" s="101" t="s">
        <v>412</v>
      </c>
      <c r="J133" s="103" t="s">
        <v>264</v>
      </c>
    </row>
    <row r="134" spans="1:10">
      <c r="A134" s="100" t="s">
        <v>2262</v>
      </c>
      <c r="B134" s="101" t="s">
        <v>957</v>
      </c>
      <c r="C134" s="102">
        <v>45951</v>
      </c>
      <c r="D134" s="101" t="s">
        <v>2138</v>
      </c>
      <c r="E134" s="101" t="s">
        <v>2144</v>
      </c>
      <c r="F134" s="245">
        <v>8495.2199999999993</v>
      </c>
      <c r="G134" s="101" t="s">
        <v>407</v>
      </c>
      <c r="H134" s="101" t="s">
        <v>445</v>
      </c>
      <c r="I134" s="101" t="s">
        <v>213</v>
      </c>
      <c r="J134" s="103" t="s">
        <v>264</v>
      </c>
    </row>
    <row r="135" spans="1:10">
      <c r="A135" s="100" t="s">
        <v>2263</v>
      </c>
      <c r="B135" s="101" t="s">
        <v>1013</v>
      </c>
      <c r="C135" s="102">
        <v>45856</v>
      </c>
      <c r="D135" s="101" t="s">
        <v>2125</v>
      </c>
      <c r="E135" s="101" t="s">
        <v>257</v>
      </c>
      <c r="F135" s="245">
        <v>2990.11</v>
      </c>
      <c r="G135" s="101" t="s">
        <v>152</v>
      </c>
      <c r="H135" s="101" t="s">
        <v>452</v>
      </c>
      <c r="I135" s="101" t="s">
        <v>403</v>
      </c>
      <c r="J135" s="103" t="s">
        <v>264</v>
      </c>
    </row>
    <row r="136" spans="1:10">
      <c r="A136" s="100" t="s">
        <v>2264</v>
      </c>
      <c r="B136" s="101" t="s">
        <v>1014</v>
      </c>
      <c r="C136" s="102">
        <v>45838</v>
      </c>
      <c r="D136" s="101" t="s">
        <v>2128</v>
      </c>
      <c r="E136" s="101" t="s">
        <v>2144</v>
      </c>
      <c r="F136" s="245">
        <v>2578.7199999999998</v>
      </c>
      <c r="G136" s="101" t="s">
        <v>176</v>
      </c>
      <c r="H136" s="101" t="s">
        <v>578</v>
      </c>
      <c r="I136" s="101" t="s">
        <v>414</v>
      </c>
      <c r="J136" s="103" t="s">
        <v>264</v>
      </c>
    </row>
    <row r="137" spans="1:10">
      <c r="A137" s="100" t="s">
        <v>2265</v>
      </c>
      <c r="B137" s="101" t="s">
        <v>993</v>
      </c>
      <c r="C137" s="102">
        <v>46082</v>
      </c>
      <c r="D137" s="101" t="s">
        <v>2141</v>
      </c>
      <c r="E137" s="101" t="s">
        <v>257</v>
      </c>
      <c r="F137" s="245">
        <v>8737.14</v>
      </c>
      <c r="G137" s="101" t="s">
        <v>379</v>
      </c>
      <c r="H137" s="101" t="s">
        <v>588</v>
      </c>
      <c r="I137" s="101" t="s">
        <v>213</v>
      </c>
      <c r="J137" s="103" t="s">
        <v>264</v>
      </c>
    </row>
    <row r="138" spans="1:10">
      <c r="A138" s="100" t="s">
        <v>2266</v>
      </c>
      <c r="B138" s="101" t="s">
        <v>978</v>
      </c>
      <c r="C138" s="102">
        <v>46128</v>
      </c>
      <c r="D138" s="101" t="s">
        <v>2125</v>
      </c>
      <c r="E138" s="101" t="s">
        <v>2129</v>
      </c>
      <c r="F138" s="245">
        <v>20040.509999999998</v>
      </c>
      <c r="G138" s="101" t="s">
        <v>379</v>
      </c>
      <c r="H138" s="101" t="s">
        <v>588</v>
      </c>
      <c r="I138" s="101" t="s">
        <v>375</v>
      </c>
      <c r="J138" s="103" t="s">
        <v>264</v>
      </c>
    </row>
    <row r="139" spans="1:10">
      <c r="A139" s="100" t="s">
        <v>2267</v>
      </c>
      <c r="B139" s="101" t="s">
        <v>1012</v>
      </c>
      <c r="C139" s="102">
        <v>45958</v>
      </c>
      <c r="D139" s="101" t="s">
        <v>2125</v>
      </c>
      <c r="E139" s="101" t="s">
        <v>2144</v>
      </c>
      <c r="F139" s="245">
        <v>13619.76</v>
      </c>
      <c r="G139" s="101" t="s">
        <v>371</v>
      </c>
      <c r="H139" s="101" t="s">
        <v>506</v>
      </c>
      <c r="I139" s="101" t="s">
        <v>412</v>
      </c>
      <c r="J139" s="103" t="s">
        <v>264</v>
      </c>
    </row>
    <row r="140" spans="1:10">
      <c r="A140" s="100" t="s">
        <v>2268</v>
      </c>
      <c r="B140" s="101" t="s">
        <v>989</v>
      </c>
      <c r="C140" s="102">
        <v>46112</v>
      </c>
      <c r="D140" s="101" t="s">
        <v>2133</v>
      </c>
      <c r="E140" s="101" t="s">
        <v>257</v>
      </c>
      <c r="F140" s="245">
        <v>6817.98</v>
      </c>
      <c r="G140" s="101" t="s">
        <v>421</v>
      </c>
      <c r="H140" s="101" t="s">
        <v>479</v>
      </c>
      <c r="I140" s="101" t="s">
        <v>375</v>
      </c>
      <c r="J140" s="103" t="s">
        <v>264</v>
      </c>
    </row>
    <row r="141" spans="1:10">
      <c r="A141" s="100" t="s">
        <v>2269</v>
      </c>
      <c r="B141" s="101" t="s">
        <v>951</v>
      </c>
      <c r="C141" s="102">
        <v>46094</v>
      </c>
      <c r="D141" s="101" t="s">
        <v>2141</v>
      </c>
      <c r="E141" s="101" t="s">
        <v>257</v>
      </c>
      <c r="F141" s="245">
        <v>2802.03</v>
      </c>
      <c r="G141" s="101" t="s">
        <v>407</v>
      </c>
      <c r="H141" s="101" t="s">
        <v>445</v>
      </c>
      <c r="I141" s="101" t="s">
        <v>412</v>
      </c>
      <c r="J141" s="103" t="s">
        <v>264</v>
      </c>
    </row>
    <row r="142" spans="1:10">
      <c r="A142" s="100" t="s">
        <v>2270</v>
      </c>
      <c r="B142" s="101" t="s">
        <v>975</v>
      </c>
      <c r="C142" s="102">
        <v>46036</v>
      </c>
      <c r="D142" s="101" t="s">
        <v>254</v>
      </c>
      <c r="E142" s="101" t="s">
        <v>2144</v>
      </c>
      <c r="F142" s="245">
        <v>16375</v>
      </c>
      <c r="G142" s="101" t="s">
        <v>37</v>
      </c>
      <c r="H142" s="101" t="s">
        <v>260</v>
      </c>
      <c r="I142" s="101" t="s">
        <v>384</v>
      </c>
      <c r="J142" s="103" t="s">
        <v>264</v>
      </c>
    </row>
    <row r="143" spans="1:10">
      <c r="A143" s="100" t="s">
        <v>2271</v>
      </c>
      <c r="B143" s="101" t="s">
        <v>1001</v>
      </c>
      <c r="C143" s="102">
        <v>46020</v>
      </c>
      <c r="D143" s="101" t="s">
        <v>2128</v>
      </c>
      <c r="E143" s="101" t="s">
        <v>2126</v>
      </c>
      <c r="F143" s="245">
        <v>3590.7</v>
      </c>
      <c r="G143" s="101" t="s">
        <v>271</v>
      </c>
      <c r="H143" s="101" t="s">
        <v>522</v>
      </c>
      <c r="I143" s="101" t="s">
        <v>414</v>
      </c>
      <c r="J143" s="103" t="s">
        <v>264</v>
      </c>
    </row>
    <row r="144" spans="1:10">
      <c r="A144" s="100" t="s">
        <v>2272</v>
      </c>
      <c r="B144" s="101" t="s">
        <v>966</v>
      </c>
      <c r="C144" s="102">
        <v>46090</v>
      </c>
      <c r="D144" s="101" t="s">
        <v>254</v>
      </c>
      <c r="E144" s="101" t="s">
        <v>2144</v>
      </c>
      <c r="F144" s="245">
        <v>3221.15</v>
      </c>
      <c r="G144" s="101" t="s">
        <v>37</v>
      </c>
      <c r="H144" s="101" t="s">
        <v>550</v>
      </c>
      <c r="I144" s="101" t="s">
        <v>261</v>
      </c>
      <c r="J144" s="103" t="s">
        <v>264</v>
      </c>
    </row>
    <row r="145" spans="1:10">
      <c r="A145" s="100" t="s">
        <v>2273</v>
      </c>
      <c r="B145" s="101" t="s">
        <v>991</v>
      </c>
      <c r="C145" s="102">
        <v>46099</v>
      </c>
      <c r="D145" s="101" t="s">
        <v>2136</v>
      </c>
      <c r="E145" s="101" t="s">
        <v>2144</v>
      </c>
      <c r="F145" s="245">
        <v>26734.83</v>
      </c>
      <c r="G145" s="101" t="s">
        <v>104</v>
      </c>
      <c r="H145" s="101" t="s">
        <v>474</v>
      </c>
      <c r="I145" s="101" t="s">
        <v>375</v>
      </c>
      <c r="J145" s="103" t="s">
        <v>264</v>
      </c>
    </row>
    <row r="146" spans="1:10">
      <c r="A146" s="100" t="s">
        <v>2274</v>
      </c>
      <c r="B146" s="101" t="s">
        <v>976</v>
      </c>
      <c r="C146" s="102">
        <v>46069</v>
      </c>
      <c r="D146" s="101" t="s">
        <v>2136</v>
      </c>
      <c r="E146" s="101" t="s">
        <v>2134</v>
      </c>
      <c r="F146" s="245">
        <v>2455.5100000000002</v>
      </c>
      <c r="G146" s="101" t="s">
        <v>176</v>
      </c>
      <c r="H146" s="101" t="s">
        <v>578</v>
      </c>
      <c r="I146" s="101" t="s">
        <v>375</v>
      </c>
      <c r="J146" s="103" t="s">
        <v>264</v>
      </c>
    </row>
    <row r="147" spans="1:10">
      <c r="A147" s="100" t="s">
        <v>2275</v>
      </c>
      <c r="B147" s="101" t="s">
        <v>1013</v>
      </c>
      <c r="C147" s="102">
        <v>45860</v>
      </c>
      <c r="D147" s="101" t="s">
        <v>2136</v>
      </c>
      <c r="E147" s="101" t="s">
        <v>2129</v>
      </c>
      <c r="F147" s="245">
        <v>5086.32</v>
      </c>
      <c r="G147" s="101" t="s">
        <v>152</v>
      </c>
      <c r="H147" s="101" t="s">
        <v>452</v>
      </c>
      <c r="I147" s="101" t="s">
        <v>261</v>
      </c>
      <c r="J147" s="103" t="s">
        <v>264</v>
      </c>
    </row>
    <row r="148" spans="1:10">
      <c r="A148" s="100" t="s">
        <v>2276</v>
      </c>
      <c r="B148" s="101" t="s">
        <v>171</v>
      </c>
      <c r="C148" s="102">
        <v>46134</v>
      </c>
      <c r="D148" s="101" t="s">
        <v>2133</v>
      </c>
      <c r="E148" s="101" t="s">
        <v>2129</v>
      </c>
      <c r="F148" s="245">
        <v>1325.84</v>
      </c>
      <c r="G148" s="101" t="s">
        <v>176</v>
      </c>
      <c r="H148" s="101" t="s">
        <v>178</v>
      </c>
      <c r="I148" s="101" t="s">
        <v>403</v>
      </c>
      <c r="J148" s="103" t="s">
        <v>264</v>
      </c>
    </row>
    <row r="149" spans="1:10">
      <c r="A149" s="100" t="s">
        <v>2277</v>
      </c>
      <c r="B149" s="101" t="s">
        <v>1016</v>
      </c>
      <c r="C149" s="102">
        <v>46060</v>
      </c>
      <c r="D149" s="101" t="s">
        <v>2133</v>
      </c>
      <c r="E149" s="101" t="s">
        <v>2134</v>
      </c>
      <c r="F149" s="245">
        <v>9409.9599999999991</v>
      </c>
      <c r="G149" s="101" t="s">
        <v>271</v>
      </c>
      <c r="H149" s="101" t="s">
        <v>20</v>
      </c>
      <c r="I149" s="101" t="s">
        <v>213</v>
      </c>
      <c r="J149" s="103" t="s">
        <v>264</v>
      </c>
    </row>
    <row r="150" spans="1:10">
      <c r="A150" s="100" t="s">
        <v>2278</v>
      </c>
      <c r="B150" s="101" t="s">
        <v>993</v>
      </c>
      <c r="C150" s="102">
        <v>46001</v>
      </c>
      <c r="D150" s="101" t="s">
        <v>2138</v>
      </c>
      <c r="E150" s="101" t="s">
        <v>2144</v>
      </c>
      <c r="F150" s="245">
        <v>11757.3</v>
      </c>
      <c r="G150" s="101" t="s">
        <v>379</v>
      </c>
      <c r="H150" s="101" t="s">
        <v>588</v>
      </c>
      <c r="I150" s="101" t="s">
        <v>261</v>
      </c>
      <c r="J150" s="103" t="s">
        <v>264</v>
      </c>
    </row>
    <row r="151" spans="1:10">
      <c r="A151" s="100" t="s">
        <v>2279</v>
      </c>
      <c r="B151" s="101" t="s">
        <v>990</v>
      </c>
      <c r="C151" s="102">
        <v>46001</v>
      </c>
      <c r="D151" s="101" t="s">
        <v>2133</v>
      </c>
      <c r="E151" s="101" t="s">
        <v>2134</v>
      </c>
      <c r="F151" s="245">
        <v>19148.099999999999</v>
      </c>
      <c r="G151" s="101" t="s">
        <v>407</v>
      </c>
      <c r="H151" s="101" t="s">
        <v>445</v>
      </c>
      <c r="I151" s="101" t="s">
        <v>414</v>
      </c>
      <c r="J151" s="103" t="s">
        <v>264</v>
      </c>
    </row>
    <row r="152" spans="1:10">
      <c r="A152" s="100" t="s">
        <v>2280</v>
      </c>
      <c r="B152" s="101" t="s">
        <v>951</v>
      </c>
      <c r="C152" s="102">
        <v>46086</v>
      </c>
      <c r="D152" s="101" t="s">
        <v>2125</v>
      </c>
      <c r="E152" s="101" t="s">
        <v>2144</v>
      </c>
      <c r="F152" s="245">
        <v>1514.88</v>
      </c>
      <c r="G152" s="101" t="s">
        <v>407</v>
      </c>
      <c r="H152" s="101" t="s">
        <v>445</v>
      </c>
      <c r="I152" s="101" t="s">
        <v>375</v>
      </c>
      <c r="J152" s="103" t="s">
        <v>264</v>
      </c>
    </row>
    <row r="153" spans="1:10">
      <c r="A153" s="100" t="s">
        <v>2281</v>
      </c>
      <c r="B153" s="101" t="s">
        <v>1016</v>
      </c>
      <c r="C153" s="102">
        <v>46010</v>
      </c>
      <c r="D153" s="101" t="s">
        <v>2125</v>
      </c>
      <c r="E153" s="101" t="s">
        <v>2144</v>
      </c>
      <c r="F153" s="245">
        <v>2885.38</v>
      </c>
      <c r="G153" s="101" t="s">
        <v>271</v>
      </c>
      <c r="H153" s="101" t="s">
        <v>20</v>
      </c>
      <c r="I153" s="101" t="s">
        <v>261</v>
      </c>
      <c r="J153" s="103" t="s">
        <v>264</v>
      </c>
    </row>
    <row r="154" spans="1:10">
      <c r="A154" s="100" t="s">
        <v>2282</v>
      </c>
      <c r="B154" s="101" t="s">
        <v>996</v>
      </c>
      <c r="C154" s="102">
        <v>46037</v>
      </c>
      <c r="D154" s="101" t="s">
        <v>2136</v>
      </c>
      <c r="E154" s="101" t="s">
        <v>2134</v>
      </c>
      <c r="F154" s="245">
        <v>25755.5</v>
      </c>
      <c r="G154" s="101" t="s">
        <v>421</v>
      </c>
      <c r="H154" s="101" t="s">
        <v>608</v>
      </c>
      <c r="I154" s="101" t="s">
        <v>375</v>
      </c>
      <c r="J154" s="103" t="s">
        <v>264</v>
      </c>
    </row>
    <row r="155" spans="1:10">
      <c r="A155" s="100" t="s">
        <v>2283</v>
      </c>
      <c r="B155" s="101" t="s">
        <v>985</v>
      </c>
      <c r="C155" s="102">
        <v>46141</v>
      </c>
      <c r="D155" s="101" t="s">
        <v>2138</v>
      </c>
      <c r="E155" s="101" t="s">
        <v>257</v>
      </c>
      <c r="F155" s="245">
        <v>1784.04</v>
      </c>
      <c r="G155" s="101" t="s">
        <v>379</v>
      </c>
      <c r="H155" s="101" t="s">
        <v>457</v>
      </c>
      <c r="I155" s="101" t="s">
        <v>384</v>
      </c>
      <c r="J155" s="103" t="s">
        <v>264</v>
      </c>
    </row>
    <row r="156" spans="1:10">
      <c r="A156" s="100" t="s">
        <v>2284</v>
      </c>
      <c r="B156" s="101" t="s">
        <v>1016</v>
      </c>
      <c r="C156" s="102">
        <v>46095</v>
      </c>
      <c r="D156" s="101" t="s">
        <v>2133</v>
      </c>
      <c r="E156" s="101" t="s">
        <v>2129</v>
      </c>
      <c r="F156" s="245">
        <v>24751.45</v>
      </c>
      <c r="G156" s="101" t="s">
        <v>271</v>
      </c>
      <c r="H156" s="101" t="s">
        <v>20</v>
      </c>
      <c r="I156" s="101" t="s">
        <v>261</v>
      </c>
      <c r="J156" s="103" t="s">
        <v>264</v>
      </c>
    </row>
    <row r="157" spans="1:10">
      <c r="A157" s="100" t="s">
        <v>2285</v>
      </c>
      <c r="B157" s="101" t="s">
        <v>993</v>
      </c>
      <c r="C157" s="102">
        <v>45877</v>
      </c>
      <c r="D157" s="101" t="s">
        <v>2125</v>
      </c>
      <c r="E157" s="101" t="s">
        <v>257</v>
      </c>
      <c r="F157" s="245">
        <v>29885.13</v>
      </c>
      <c r="G157" s="101" t="s">
        <v>379</v>
      </c>
      <c r="H157" s="101" t="s">
        <v>588</v>
      </c>
      <c r="I157" s="101" t="s">
        <v>261</v>
      </c>
      <c r="J157" s="103" t="s">
        <v>264</v>
      </c>
    </row>
    <row r="158" spans="1:10">
      <c r="A158" s="100" t="s">
        <v>2286</v>
      </c>
      <c r="B158" s="101" t="s">
        <v>1016</v>
      </c>
      <c r="C158" s="102">
        <v>46072</v>
      </c>
      <c r="D158" s="101" t="s">
        <v>2141</v>
      </c>
      <c r="E158" s="101" t="s">
        <v>2126</v>
      </c>
      <c r="F158" s="245">
        <v>5495.9</v>
      </c>
      <c r="G158" s="101" t="s">
        <v>271</v>
      </c>
      <c r="H158" s="101" t="s">
        <v>20</v>
      </c>
      <c r="I158" s="101" t="s">
        <v>375</v>
      </c>
      <c r="J158" s="103" t="s">
        <v>264</v>
      </c>
    </row>
    <row r="159" spans="1:10">
      <c r="A159" s="100" t="s">
        <v>2287</v>
      </c>
      <c r="B159" s="101" t="s">
        <v>955</v>
      </c>
      <c r="C159" s="102">
        <v>45910</v>
      </c>
      <c r="D159" s="101" t="s">
        <v>2133</v>
      </c>
      <c r="E159" s="101" t="s">
        <v>2126</v>
      </c>
      <c r="F159" s="245">
        <v>28222.18</v>
      </c>
      <c r="G159" s="101" t="s">
        <v>421</v>
      </c>
      <c r="H159" s="101" t="s">
        <v>554</v>
      </c>
      <c r="I159" s="101" t="s">
        <v>414</v>
      </c>
      <c r="J159" s="103" t="s">
        <v>264</v>
      </c>
    </row>
    <row r="160" spans="1:10">
      <c r="A160" s="100" t="s">
        <v>2288</v>
      </c>
      <c r="B160" s="101" t="s">
        <v>998</v>
      </c>
      <c r="C160" s="102">
        <v>45770</v>
      </c>
      <c r="D160" s="101" t="s">
        <v>2128</v>
      </c>
      <c r="E160" s="101" t="s">
        <v>2126</v>
      </c>
      <c r="F160" s="245">
        <v>4073.1</v>
      </c>
      <c r="G160" s="101" t="s">
        <v>416</v>
      </c>
      <c r="H160" s="101" t="s">
        <v>558</v>
      </c>
      <c r="I160" s="101" t="s">
        <v>384</v>
      </c>
      <c r="J160" s="103" t="s">
        <v>264</v>
      </c>
    </row>
    <row r="161" spans="1:10">
      <c r="A161" s="100" t="s">
        <v>2289</v>
      </c>
      <c r="B161" s="101" t="s">
        <v>970</v>
      </c>
      <c r="C161" s="102">
        <v>46025</v>
      </c>
      <c r="D161" s="101" t="s">
        <v>2125</v>
      </c>
      <c r="E161" s="101" t="s">
        <v>2129</v>
      </c>
      <c r="F161" s="245">
        <v>4548.26</v>
      </c>
      <c r="G161" s="101" t="s">
        <v>37</v>
      </c>
      <c r="H161" s="101" t="s">
        <v>550</v>
      </c>
      <c r="I161" s="101" t="s">
        <v>375</v>
      </c>
      <c r="J161" s="103" t="s">
        <v>264</v>
      </c>
    </row>
    <row r="162" spans="1:10">
      <c r="A162" s="100" t="s">
        <v>2290</v>
      </c>
      <c r="B162" s="101" t="s">
        <v>994</v>
      </c>
      <c r="C162" s="102">
        <v>46138</v>
      </c>
      <c r="D162" s="101" t="s">
        <v>2138</v>
      </c>
      <c r="E162" s="101" t="s">
        <v>257</v>
      </c>
      <c r="F162" s="245">
        <v>1359.12</v>
      </c>
      <c r="G162" s="101" t="s">
        <v>371</v>
      </c>
      <c r="H162" s="101" t="s">
        <v>463</v>
      </c>
      <c r="I162" s="101" t="s">
        <v>414</v>
      </c>
      <c r="J162" s="103" t="s">
        <v>264</v>
      </c>
    </row>
    <row r="163" spans="1:10">
      <c r="A163" s="100" t="s">
        <v>2291</v>
      </c>
      <c r="B163" s="101" t="s">
        <v>974</v>
      </c>
      <c r="C163" s="102">
        <v>46058</v>
      </c>
      <c r="D163" s="101" t="s">
        <v>2125</v>
      </c>
      <c r="E163" s="101" t="s">
        <v>2129</v>
      </c>
      <c r="F163" s="245">
        <v>5508.56</v>
      </c>
      <c r="G163" s="101" t="s">
        <v>379</v>
      </c>
      <c r="H163" s="101" t="s">
        <v>457</v>
      </c>
      <c r="I163" s="101" t="s">
        <v>412</v>
      </c>
      <c r="J163" s="103" t="s">
        <v>264</v>
      </c>
    </row>
    <row r="164" spans="1:10">
      <c r="A164" s="104" t="s">
        <v>2292</v>
      </c>
      <c r="B164" s="105" t="s">
        <v>956</v>
      </c>
      <c r="C164" s="106">
        <v>46040</v>
      </c>
      <c r="D164" s="105" t="s">
        <v>2138</v>
      </c>
      <c r="E164" s="105" t="s">
        <v>2144</v>
      </c>
      <c r="F164" s="246">
        <v>22041.37</v>
      </c>
      <c r="G164" s="105" t="s">
        <v>152</v>
      </c>
      <c r="H164" s="105" t="s">
        <v>452</v>
      </c>
      <c r="I164" s="105" t="s">
        <v>213</v>
      </c>
      <c r="J164" s="107" t="s">
        <v>264</v>
      </c>
    </row>
  </sheetData>
  <dataValidations count="1">
    <dataValidation type="list" allowBlank="1" showInputMessage="1" showErrorMessage="1" sqref="D5:D164" xr:uid="{0A37B4D1-6B51-1449-9495-CC4C8768F179}">
      <formula1>CostTypes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3"/>
  <sheetViews>
    <sheetView showGridLines="0" topLeftCell="E1" zoomScale="142" zoomScaleNormal="70" workbookViewId="0">
      <pane ySplit="4" topLeftCell="A10" activePane="bottomLeft" state="frozen"/>
      <selection pane="bottomLeft" activeCell="G16" sqref="A1:XFD1048576"/>
    </sheetView>
  </sheetViews>
  <sheetFormatPr baseColWidth="10" defaultColWidth="8.83203125" defaultRowHeight="15"/>
  <cols>
    <col min="1" max="1" width="18" style="91" customWidth="1"/>
    <col min="2" max="2" width="14.83203125" style="91" customWidth="1"/>
    <col min="3" max="3" width="13" style="91" customWidth="1"/>
    <col min="4" max="4" width="22" style="91" customWidth="1"/>
    <col min="5" max="5" width="24" style="91" customWidth="1"/>
    <col min="6" max="6" width="24.33203125" style="91" customWidth="1"/>
    <col min="7" max="7" width="26.33203125" style="91" customWidth="1"/>
    <col min="8" max="8" width="25.33203125" style="91" customWidth="1"/>
    <col min="9" max="9" width="20.6640625" style="91" customWidth="1"/>
    <col min="10" max="10" width="28.6640625" style="91" customWidth="1"/>
    <col min="11" max="11" width="27.33203125" style="91" customWidth="1"/>
    <col min="12" max="12" width="27" style="91" customWidth="1"/>
    <col min="13" max="13" width="31.33203125" style="91" customWidth="1"/>
    <col min="14" max="14" width="23.83203125" style="91" customWidth="1"/>
    <col min="15" max="15" width="34.33203125" style="91" customWidth="1"/>
    <col min="16" max="16" width="19.83203125" style="91" customWidth="1"/>
    <col min="17" max="17" width="25.5" style="91" customWidth="1"/>
    <col min="18" max="18" width="15.5" style="91" customWidth="1"/>
    <col min="19" max="19" width="23.33203125" style="91" customWidth="1"/>
    <col min="20" max="16384" width="8.83203125" style="91"/>
  </cols>
  <sheetData>
    <row r="1" spans="1:19" ht="44">
      <c r="A1" s="53" t="s">
        <v>2293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25">
      <c r="A2" s="68" t="s">
        <v>2294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19" ht="16">
      <c r="A4" s="98" t="s">
        <v>266</v>
      </c>
      <c r="B4" s="99" t="s">
        <v>92</v>
      </c>
      <c r="C4" s="99" t="s">
        <v>123</v>
      </c>
      <c r="D4" s="99" t="s">
        <v>102</v>
      </c>
      <c r="E4" s="99" t="s">
        <v>112</v>
      </c>
      <c r="F4" s="99" t="s">
        <v>272</v>
      </c>
      <c r="G4" s="99" t="s">
        <v>274</v>
      </c>
      <c r="H4" s="99" t="s">
        <v>276</v>
      </c>
      <c r="I4" s="99" t="s">
        <v>277</v>
      </c>
      <c r="J4" s="99" t="s">
        <v>279</v>
      </c>
      <c r="K4" s="99" t="s">
        <v>281</v>
      </c>
      <c r="L4" s="99" t="s">
        <v>283</v>
      </c>
      <c r="M4" s="99" t="s">
        <v>285</v>
      </c>
      <c r="N4" s="99" t="s">
        <v>287</v>
      </c>
      <c r="O4" s="99" t="s">
        <v>290</v>
      </c>
      <c r="P4" s="99" t="s">
        <v>292</v>
      </c>
      <c r="Q4" s="99" t="s">
        <v>294</v>
      </c>
      <c r="R4" s="99" t="s">
        <v>296</v>
      </c>
      <c r="S4" s="109" t="s">
        <v>2295</v>
      </c>
    </row>
    <row r="5" spans="1:19">
      <c r="A5" s="100" t="s">
        <v>268</v>
      </c>
      <c r="B5" s="101" t="s">
        <v>269</v>
      </c>
      <c r="C5" s="102">
        <v>45359</v>
      </c>
      <c r="D5" s="101" t="s">
        <v>271</v>
      </c>
      <c r="E5" s="101" t="s">
        <v>20</v>
      </c>
      <c r="F5" s="83" t="s">
        <v>95</v>
      </c>
      <c r="G5" s="83" t="s">
        <v>95</v>
      </c>
      <c r="H5" s="83" t="s">
        <v>95</v>
      </c>
      <c r="I5" s="83" t="s">
        <v>95</v>
      </c>
      <c r="J5" s="83" t="s">
        <v>95</v>
      </c>
      <c r="K5" s="83" t="s">
        <v>95</v>
      </c>
      <c r="L5" s="83" t="s">
        <v>95</v>
      </c>
      <c r="M5" s="83" t="s">
        <v>95</v>
      </c>
      <c r="N5" s="83" t="s">
        <v>288</v>
      </c>
      <c r="O5" s="247">
        <f t="shared" ref="O5:O35" si="0">IF($A5="","",COUNTIF($F5:$M5,"Yes")/8)</f>
        <v>1</v>
      </c>
      <c r="P5" s="102">
        <v>45400</v>
      </c>
      <c r="Q5" s="248">
        <f t="shared" ref="Q5:Q36" si="1">IF($P5="","",MAX(0,$P5-$C5))</f>
        <v>41</v>
      </c>
      <c r="R5" s="83" t="str">
        <f>IF($A5="","",IF('12_Calculation_Layer'!$B$7-$C5&lt;90,"Not Yet 90D",IF(COUNTIFS('09_Attrition_Tracker'!$B:$B,$B5,'09_Attrition_Tracker'!$G:$G,"&gt;="&amp;$C5,'09_Attrition_Tracker'!$G:$G,"&lt;="&amp;$C5+90)&gt;0,"No","Yes")))</f>
        <v>Yes</v>
      </c>
      <c r="S5" s="103" t="str">
        <f>IFERROR(VLOOKUP($B5,'03_Employee_Master'!$A:$C,3,FALSE),"")</f>
        <v>Human Resources</v>
      </c>
    </row>
    <row r="6" spans="1:19">
      <c r="A6" s="100" t="s">
        <v>2296</v>
      </c>
      <c r="B6" s="101" t="s">
        <v>592</v>
      </c>
      <c r="C6" s="102">
        <v>44606</v>
      </c>
      <c r="D6" s="101" t="s">
        <v>271</v>
      </c>
      <c r="E6" s="101" t="s">
        <v>492</v>
      </c>
      <c r="F6" s="83" t="s">
        <v>95</v>
      </c>
      <c r="G6" s="83" t="s">
        <v>95</v>
      </c>
      <c r="H6" s="83" t="s">
        <v>95</v>
      </c>
      <c r="I6" s="83" t="s">
        <v>95</v>
      </c>
      <c r="J6" s="83" t="s">
        <v>95</v>
      </c>
      <c r="K6" s="83" t="s">
        <v>95</v>
      </c>
      <c r="L6" s="83" t="s">
        <v>95</v>
      </c>
      <c r="M6" s="83" t="s">
        <v>95</v>
      </c>
      <c r="N6" s="83" t="s">
        <v>288</v>
      </c>
      <c r="O6" s="247">
        <f t="shared" si="0"/>
        <v>1</v>
      </c>
      <c r="P6" s="102">
        <v>44684</v>
      </c>
      <c r="Q6" s="248">
        <f t="shared" si="1"/>
        <v>78</v>
      </c>
      <c r="R6" s="83" t="str">
        <f ca="1">IF($A6="","",IF(TODAY()-$C6&lt;90,"Not Yet 90D",IF(COUNTIF('09_Attrition_Tracker'!$B:$B,$B6)&gt;0,"No","Yes")))</f>
        <v>Yes</v>
      </c>
      <c r="S6" s="103" t="str">
        <f>IFERROR(VLOOKUP($B6,'03_Employee_Master'!$A:$C,3,FALSE),"")</f>
        <v>Human Resources</v>
      </c>
    </row>
    <row r="7" spans="1:19">
      <c r="A7" s="100" t="s">
        <v>2297</v>
      </c>
      <c r="B7" s="101" t="s">
        <v>739</v>
      </c>
      <c r="C7" s="102">
        <v>43346</v>
      </c>
      <c r="D7" s="101" t="s">
        <v>37</v>
      </c>
      <c r="E7" s="101" t="s">
        <v>260</v>
      </c>
      <c r="F7" s="83" t="s">
        <v>95</v>
      </c>
      <c r="G7" s="83" t="s">
        <v>95</v>
      </c>
      <c r="H7" s="83" t="s">
        <v>95</v>
      </c>
      <c r="I7" s="83" t="s">
        <v>95</v>
      </c>
      <c r="J7" s="83" t="s">
        <v>95</v>
      </c>
      <c r="K7" s="83" t="s">
        <v>95</v>
      </c>
      <c r="L7" s="83" t="s">
        <v>95</v>
      </c>
      <c r="M7" s="83" t="s">
        <v>95</v>
      </c>
      <c r="N7" s="83" t="s">
        <v>288</v>
      </c>
      <c r="O7" s="247">
        <f t="shared" si="0"/>
        <v>1</v>
      </c>
      <c r="P7" s="102">
        <v>43428</v>
      </c>
      <c r="Q7" s="248">
        <f t="shared" si="1"/>
        <v>82</v>
      </c>
      <c r="R7" s="83" t="str">
        <f ca="1">IF($A7="","",IF(TODAY()-$C7&lt;90,"Not Yet 90D",IF(COUNTIF('09_Attrition_Tracker'!$B:$B,$B7)&gt;0,"No","Yes")))</f>
        <v>Yes</v>
      </c>
      <c r="S7" s="103" t="str">
        <f>IFERROR(VLOOKUP($B7,'03_Employee_Master'!$A:$C,3,FALSE),"")</f>
        <v>Finance</v>
      </c>
    </row>
    <row r="8" spans="1:19">
      <c r="A8" s="100" t="s">
        <v>2298</v>
      </c>
      <c r="B8" s="101" t="s">
        <v>847</v>
      </c>
      <c r="C8" s="102">
        <v>44534</v>
      </c>
      <c r="D8" s="101" t="s">
        <v>416</v>
      </c>
      <c r="E8" s="101" t="s">
        <v>483</v>
      </c>
      <c r="F8" s="83" t="s">
        <v>95</v>
      </c>
      <c r="G8" s="83" t="s">
        <v>95</v>
      </c>
      <c r="H8" s="83" t="s">
        <v>95</v>
      </c>
      <c r="I8" s="83" t="s">
        <v>95</v>
      </c>
      <c r="J8" s="83" t="s">
        <v>95</v>
      </c>
      <c r="K8" s="83" t="s">
        <v>95</v>
      </c>
      <c r="L8" s="83" t="s">
        <v>95</v>
      </c>
      <c r="M8" s="83" t="s">
        <v>95</v>
      </c>
      <c r="N8" s="83" t="s">
        <v>288</v>
      </c>
      <c r="O8" s="247">
        <f t="shared" si="0"/>
        <v>1</v>
      </c>
      <c r="P8" s="102">
        <v>44600</v>
      </c>
      <c r="Q8" s="248">
        <f t="shared" si="1"/>
        <v>66</v>
      </c>
      <c r="R8" s="83" t="str">
        <f ca="1">IF($A8="","",IF(TODAY()-$C8&lt;90,"Not Yet 90D",IF(COUNTIF('09_Attrition_Tracker'!$B:$B,$B8)&gt;0,"No","Yes")))</f>
        <v>Yes</v>
      </c>
      <c r="S8" s="103" t="str">
        <f>IFERROR(VLOOKUP($B8,'03_Employee_Master'!$A:$C,3,FALSE),"")</f>
        <v>Information Technology</v>
      </c>
    </row>
    <row r="9" spans="1:19">
      <c r="A9" s="100" t="s">
        <v>2299</v>
      </c>
      <c r="B9" s="101" t="s">
        <v>736</v>
      </c>
      <c r="C9" s="102">
        <v>45071</v>
      </c>
      <c r="D9" s="101" t="s">
        <v>37</v>
      </c>
      <c r="E9" s="101" t="s">
        <v>537</v>
      </c>
      <c r="F9" s="83" t="s">
        <v>95</v>
      </c>
      <c r="G9" s="83" t="s">
        <v>95</v>
      </c>
      <c r="H9" s="83" t="s">
        <v>95</v>
      </c>
      <c r="I9" s="83" t="s">
        <v>95</v>
      </c>
      <c r="J9" s="83" t="s">
        <v>95</v>
      </c>
      <c r="K9" s="83" t="s">
        <v>95</v>
      </c>
      <c r="L9" s="83" t="s">
        <v>95</v>
      </c>
      <c r="M9" s="83" t="s">
        <v>95</v>
      </c>
      <c r="N9" s="83" t="s">
        <v>288</v>
      </c>
      <c r="O9" s="247">
        <f t="shared" si="0"/>
        <v>1</v>
      </c>
      <c r="P9" s="102">
        <v>45141</v>
      </c>
      <c r="Q9" s="248">
        <f t="shared" si="1"/>
        <v>70</v>
      </c>
      <c r="R9" s="83" t="str">
        <f ca="1">IF($A9="","",IF(TODAY()-$C9&lt;90,"Not Yet 90D",IF(COUNTIF('09_Attrition_Tracker'!$B:$B,$B9)&gt;0,"No","Yes")))</f>
        <v>Yes</v>
      </c>
      <c r="S9" s="103" t="str">
        <f>IFERROR(VLOOKUP($B9,'03_Employee_Master'!$A:$C,3,FALSE),"")</f>
        <v>Finance</v>
      </c>
    </row>
    <row r="10" spans="1:19">
      <c r="A10" s="100" t="s">
        <v>2300</v>
      </c>
      <c r="B10" s="101" t="s">
        <v>525</v>
      </c>
      <c r="C10" s="102">
        <v>44045</v>
      </c>
      <c r="D10" s="101" t="s">
        <v>407</v>
      </c>
      <c r="E10" s="101" t="s">
        <v>502</v>
      </c>
      <c r="F10" s="83" t="s">
        <v>95</v>
      </c>
      <c r="G10" s="83" t="s">
        <v>95</v>
      </c>
      <c r="H10" s="83" t="s">
        <v>95</v>
      </c>
      <c r="I10" s="83" t="s">
        <v>95</v>
      </c>
      <c r="J10" s="83" t="s">
        <v>95</v>
      </c>
      <c r="K10" s="83" t="s">
        <v>95</v>
      </c>
      <c r="L10" s="83" t="s">
        <v>95</v>
      </c>
      <c r="M10" s="83" t="s">
        <v>95</v>
      </c>
      <c r="N10" s="83" t="s">
        <v>288</v>
      </c>
      <c r="O10" s="247">
        <f t="shared" si="0"/>
        <v>1</v>
      </c>
      <c r="P10" s="102">
        <v>44076</v>
      </c>
      <c r="Q10" s="248">
        <f t="shared" si="1"/>
        <v>31</v>
      </c>
      <c r="R10" s="83" t="str">
        <f ca="1">IF($A10="","",IF(TODAY()-$C10&lt;90,"Not Yet 90D",IF(COUNTIF('09_Attrition_Tracker'!$B:$B,$B10)&gt;0,"No","Yes")))</f>
        <v>Yes</v>
      </c>
      <c r="S10" s="103" t="str">
        <f>IFERROR(VLOOKUP($B10,'03_Employee_Master'!$A:$C,3,FALSE),"")</f>
        <v>Sales &amp; Marketing</v>
      </c>
    </row>
    <row r="11" spans="1:19">
      <c r="A11" s="100" t="s">
        <v>2301</v>
      </c>
      <c r="B11" s="101" t="s">
        <v>480</v>
      </c>
      <c r="C11" s="102">
        <v>44613</v>
      </c>
      <c r="D11" s="101" t="s">
        <v>416</v>
      </c>
      <c r="E11" s="101" t="s">
        <v>483</v>
      </c>
      <c r="F11" s="83" t="s">
        <v>95</v>
      </c>
      <c r="G11" s="83" t="s">
        <v>95</v>
      </c>
      <c r="H11" s="83" t="s">
        <v>95</v>
      </c>
      <c r="I11" s="83" t="s">
        <v>95</v>
      </c>
      <c r="J11" s="83" t="s">
        <v>95</v>
      </c>
      <c r="K11" s="83" t="s">
        <v>95</v>
      </c>
      <c r="L11" s="83" t="s">
        <v>95</v>
      </c>
      <c r="M11" s="83" t="s">
        <v>95</v>
      </c>
      <c r="N11" s="83" t="s">
        <v>288</v>
      </c>
      <c r="O11" s="247">
        <f t="shared" si="0"/>
        <v>1</v>
      </c>
      <c r="P11" s="102">
        <v>44634</v>
      </c>
      <c r="Q11" s="248">
        <f t="shared" si="1"/>
        <v>21</v>
      </c>
      <c r="R11" s="83" t="str">
        <f ca="1">IF($A11="","",IF(TODAY()-$C11&lt;90,"Not Yet 90D",IF(COUNTIF('09_Attrition_Tracker'!$B:$B,$B11)&gt;0,"No","Yes")))</f>
        <v>Yes</v>
      </c>
      <c r="S11" s="103" t="str">
        <f>IFERROR(VLOOKUP($B11,'03_Employee_Master'!$A:$C,3,FALSE),"")</f>
        <v>Information Technology</v>
      </c>
    </row>
    <row r="12" spans="1:19">
      <c r="A12" s="100" t="s">
        <v>2302</v>
      </c>
      <c r="B12" s="101" t="s">
        <v>787</v>
      </c>
      <c r="C12" s="102">
        <v>44088</v>
      </c>
      <c r="D12" s="101" t="s">
        <v>271</v>
      </c>
      <c r="E12" s="101" t="s">
        <v>522</v>
      </c>
      <c r="F12" s="83" t="s">
        <v>95</v>
      </c>
      <c r="G12" s="83" t="s">
        <v>95</v>
      </c>
      <c r="H12" s="83" t="s">
        <v>95</v>
      </c>
      <c r="I12" s="83" t="s">
        <v>95</v>
      </c>
      <c r="J12" s="83" t="s">
        <v>95</v>
      </c>
      <c r="K12" s="83" t="s">
        <v>95</v>
      </c>
      <c r="L12" s="83" t="s">
        <v>95</v>
      </c>
      <c r="M12" s="83" t="s">
        <v>95</v>
      </c>
      <c r="N12" s="83" t="s">
        <v>288</v>
      </c>
      <c r="O12" s="247">
        <f t="shared" si="0"/>
        <v>1</v>
      </c>
      <c r="P12" s="102">
        <v>44110</v>
      </c>
      <c r="Q12" s="248">
        <f t="shared" si="1"/>
        <v>22</v>
      </c>
      <c r="R12" s="83" t="str">
        <f ca="1">IF($A12="","",IF(TODAY()-$C12&lt;90,"Not Yet 90D",IF(COUNTIF('09_Attrition_Tracker'!$B:$B,$B12)&gt;0,"No","Yes")))</f>
        <v>Yes</v>
      </c>
      <c r="S12" s="103" t="str">
        <f>IFERROR(VLOOKUP($B12,'03_Employee_Master'!$A:$C,3,FALSE),"")</f>
        <v>Human Resources</v>
      </c>
    </row>
    <row r="13" spans="1:19">
      <c r="A13" s="100" t="s">
        <v>2303</v>
      </c>
      <c r="B13" s="101" t="s">
        <v>687</v>
      </c>
      <c r="C13" s="102">
        <v>43645</v>
      </c>
      <c r="D13" s="101" t="s">
        <v>104</v>
      </c>
      <c r="E13" s="101" t="s">
        <v>496</v>
      </c>
      <c r="F13" s="83" t="s">
        <v>95</v>
      </c>
      <c r="G13" s="83" t="s">
        <v>95</v>
      </c>
      <c r="H13" s="83" t="s">
        <v>95</v>
      </c>
      <c r="I13" s="83" t="s">
        <v>95</v>
      </c>
      <c r="J13" s="83" t="s">
        <v>95</v>
      </c>
      <c r="K13" s="83" t="s">
        <v>95</v>
      </c>
      <c r="L13" s="83" t="s">
        <v>95</v>
      </c>
      <c r="M13" s="83" t="s">
        <v>95</v>
      </c>
      <c r="N13" s="83" t="s">
        <v>288</v>
      </c>
      <c r="O13" s="247">
        <f t="shared" si="0"/>
        <v>1</v>
      </c>
      <c r="P13" s="102">
        <v>43689</v>
      </c>
      <c r="Q13" s="248">
        <f t="shared" si="1"/>
        <v>44</v>
      </c>
      <c r="R13" s="83" t="str">
        <f ca="1">IF($A13="","",IF(TODAY()-$C13&lt;90,"Not Yet 90D",IF(COUNTIF('09_Attrition_Tracker'!$B:$B,$B13)&gt;0,"No","Yes")))</f>
        <v>Yes</v>
      </c>
      <c r="S13" s="103" t="str">
        <f>IFERROR(VLOOKUP($B13,'03_Employee_Master'!$A:$C,3,FALSE),"")</f>
        <v>Compliance</v>
      </c>
    </row>
    <row r="14" spans="1:19">
      <c r="A14" s="100" t="s">
        <v>2304</v>
      </c>
      <c r="B14" s="101" t="s">
        <v>869</v>
      </c>
      <c r="C14" s="102">
        <v>43276</v>
      </c>
      <c r="D14" s="101" t="s">
        <v>104</v>
      </c>
      <c r="E14" s="101" t="s">
        <v>496</v>
      </c>
      <c r="F14" s="83" t="s">
        <v>95</v>
      </c>
      <c r="G14" s="83" t="s">
        <v>95</v>
      </c>
      <c r="H14" s="83" t="s">
        <v>95</v>
      </c>
      <c r="I14" s="83" t="s">
        <v>95</v>
      </c>
      <c r="J14" s="83" t="s">
        <v>95</v>
      </c>
      <c r="K14" s="83" t="s">
        <v>95</v>
      </c>
      <c r="L14" s="83" t="s">
        <v>95</v>
      </c>
      <c r="M14" s="83" t="s">
        <v>95</v>
      </c>
      <c r="N14" s="83" t="s">
        <v>288</v>
      </c>
      <c r="O14" s="247">
        <f t="shared" si="0"/>
        <v>1</v>
      </c>
      <c r="P14" s="102">
        <v>43314</v>
      </c>
      <c r="Q14" s="248">
        <f t="shared" si="1"/>
        <v>38</v>
      </c>
      <c r="R14" s="83" t="str">
        <f ca="1">IF($A14="","",IF(TODAY()-$C14&lt;90,"Not Yet 90D",IF(COUNTIF('09_Attrition_Tracker'!$B:$B,$B14)&gt;0,"No","Yes")))</f>
        <v>Yes</v>
      </c>
      <c r="S14" s="103" t="str">
        <f>IFERROR(VLOOKUP($B14,'03_Employee_Master'!$A:$C,3,FALSE),"")</f>
        <v>Compliance</v>
      </c>
    </row>
    <row r="15" spans="1:19">
      <c r="A15" s="100" t="s">
        <v>2305</v>
      </c>
      <c r="B15" s="101" t="s">
        <v>622</v>
      </c>
      <c r="C15" s="102">
        <v>45234</v>
      </c>
      <c r="D15" s="101" t="s">
        <v>416</v>
      </c>
      <c r="E15" s="101" t="s">
        <v>558</v>
      </c>
      <c r="F15" s="83" t="s">
        <v>95</v>
      </c>
      <c r="G15" s="83" t="s">
        <v>95</v>
      </c>
      <c r="H15" s="83" t="s">
        <v>95</v>
      </c>
      <c r="I15" s="83" t="s">
        <v>95</v>
      </c>
      <c r="J15" s="83" t="s">
        <v>95</v>
      </c>
      <c r="K15" s="83" t="s">
        <v>95</v>
      </c>
      <c r="L15" s="83" t="s">
        <v>95</v>
      </c>
      <c r="M15" s="83" t="s">
        <v>95</v>
      </c>
      <c r="N15" s="83" t="s">
        <v>288</v>
      </c>
      <c r="O15" s="247">
        <f t="shared" si="0"/>
        <v>1</v>
      </c>
      <c r="P15" s="102">
        <v>45256</v>
      </c>
      <c r="Q15" s="248">
        <f t="shared" si="1"/>
        <v>22</v>
      </c>
      <c r="R15" s="83" t="str">
        <f ca="1">IF($A15="","",IF(TODAY()-$C15&lt;90,"Not Yet 90D",IF(COUNTIF('09_Attrition_Tracker'!$B:$B,$B15)&gt;0,"No","Yes")))</f>
        <v>Yes</v>
      </c>
      <c r="S15" s="103" t="str">
        <f>IFERROR(VLOOKUP($B15,'03_Employee_Master'!$A:$C,3,FALSE),"")</f>
        <v>Information Technology</v>
      </c>
    </row>
    <row r="16" spans="1:19">
      <c r="A16" s="100" t="s">
        <v>2306</v>
      </c>
      <c r="B16" s="101" t="s">
        <v>854</v>
      </c>
      <c r="C16" s="102">
        <v>45581</v>
      </c>
      <c r="D16" s="101" t="s">
        <v>379</v>
      </c>
      <c r="E16" s="101" t="s">
        <v>588</v>
      </c>
      <c r="F16" s="83" t="s">
        <v>95</v>
      </c>
      <c r="G16" s="83" t="s">
        <v>95</v>
      </c>
      <c r="H16" s="83" t="s">
        <v>95</v>
      </c>
      <c r="I16" s="83" t="s">
        <v>95</v>
      </c>
      <c r="J16" s="83" t="s">
        <v>95</v>
      </c>
      <c r="K16" s="83" t="s">
        <v>95</v>
      </c>
      <c r="L16" s="83" t="s">
        <v>95</v>
      </c>
      <c r="M16" s="83" t="s">
        <v>95</v>
      </c>
      <c r="N16" s="83" t="s">
        <v>288</v>
      </c>
      <c r="O16" s="247">
        <f t="shared" si="0"/>
        <v>1</v>
      </c>
      <c r="P16" s="102">
        <v>45620</v>
      </c>
      <c r="Q16" s="248">
        <f t="shared" si="1"/>
        <v>39</v>
      </c>
      <c r="R16" s="83" t="str">
        <f ca="1">IF($A16="","",IF(TODAY()-$C16&lt;90,"Not Yet 90D",IF(COUNTIF('09_Attrition_Tracker'!$B:$B,$B16)&gt;0,"No","Yes")))</f>
        <v>Yes</v>
      </c>
      <c r="S16" s="103" t="str">
        <f>IFERROR(VLOOKUP($B16,'03_Employee_Master'!$A:$C,3,FALSE),"")</f>
        <v>Credit Evaluation</v>
      </c>
    </row>
    <row r="17" spans="1:19">
      <c r="A17" s="100" t="s">
        <v>2307</v>
      </c>
      <c r="B17" s="101" t="s">
        <v>872</v>
      </c>
      <c r="C17" s="102">
        <v>44830</v>
      </c>
      <c r="D17" s="101" t="s">
        <v>407</v>
      </c>
      <c r="E17" s="101" t="s">
        <v>502</v>
      </c>
      <c r="F17" s="83" t="s">
        <v>95</v>
      </c>
      <c r="G17" s="83" t="s">
        <v>95</v>
      </c>
      <c r="H17" s="83" t="s">
        <v>95</v>
      </c>
      <c r="I17" s="83" t="s">
        <v>95</v>
      </c>
      <c r="J17" s="83" t="s">
        <v>95</v>
      </c>
      <c r="K17" s="83" t="s">
        <v>95</v>
      </c>
      <c r="L17" s="83" t="s">
        <v>95</v>
      </c>
      <c r="M17" s="83" t="s">
        <v>95</v>
      </c>
      <c r="N17" s="83" t="s">
        <v>288</v>
      </c>
      <c r="O17" s="247">
        <f t="shared" si="0"/>
        <v>1</v>
      </c>
      <c r="P17" s="102">
        <v>44906</v>
      </c>
      <c r="Q17" s="248">
        <f t="shared" si="1"/>
        <v>76</v>
      </c>
      <c r="R17" s="83" t="str">
        <f ca="1">IF($A17="","",IF(TODAY()-$C17&lt;90,"Not Yet 90D",IF(COUNTIF('09_Attrition_Tracker'!$B:$B,$B17)&gt;0,"No","Yes")))</f>
        <v>Yes</v>
      </c>
      <c r="S17" s="103" t="str">
        <f>IFERROR(VLOOKUP($B17,'03_Employee_Master'!$A:$C,3,FALSE),"")</f>
        <v>Sales &amp; Marketing</v>
      </c>
    </row>
    <row r="18" spans="1:19">
      <c r="A18" s="100" t="s">
        <v>2308</v>
      </c>
      <c r="B18" s="101" t="s">
        <v>886</v>
      </c>
      <c r="C18" s="102">
        <v>45340</v>
      </c>
      <c r="D18" s="101" t="s">
        <v>271</v>
      </c>
      <c r="E18" s="101" t="s">
        <v>522</v>
      </c>
      <c r="F18" s="83" t="s">
        <v>95</v>
      </c>
      <c r="G18" s="83" t="s">
        <v>100</v>
      </c>
      <c r="H18" s="83" t="s">
        <v>95</v>
      </c>
      <c r="I18" s="83" t="s">
        <v>100</v>
      </c>
      <c r="J18" s="83" t="s">
        <v>95</v>
      </c>
      <c r="K18" s="83" t="s">
        <v>95</v>
      </c>
      <c r="L18" s="83" t="s">
        <v>95</v>
      </c>
      <c r="M18" s="83" t="s">
        <v>95</v>
      </c>
      <c r="N18" s="83" t="s">
        <v>2309</v>
      </c>
      <c r="O18" s="247">
        <f t="shared" si="0"/>
        <v>0.75</v>
      </c>
      <c r="P18" s="102"/>
      <c r="Q18" s="248" t="str">
        <f t="shared" si="1"/>
        <v/>
      </c>
      <c r="R18" s="83" t="str">
        <f ca="1">IF($A18="","",IF(TODAY()-$C18&lt;90,"Not Yet 90D",IF(COUNTIF('09_Attrition_Tracker'!$B:$B,$B18)&gt;0,"No","Yes")))</f>
        <v>Yes</v>
      </c>
      <c r="S18" s="103" t="str">
        <f>IFERROR(VLOOKUP($B18,'03_Employee_Master'!$A:$C,3,FALSE),"")</f>
        <v>Human Resources</v>
      </c>
    </row>
    <row r="19" spans="1:19">
      <c r="A19" s="100" t="s">
        <v>2310</v>
      </c>
      <c r="B19" s="101" t="s">
        <v>573</v>
      </c>
      <c r="C19" s="102">
        <v>45615</v>
      </c>
      <c r="D19" s="101" t="s">
        <v>371</v>
      </c>
      <c r="E19" s="101" t="s">
        <v>506</v>
      </c>
      <c r="F19" s="83" t="s">
        <v>95</v>
      </c>
      <c r="G19" s="83" t="s">
        <v>95</v>
      </c>
      <c r="H19" s="83" t="s">
        <v>95</v>
      </c>
      <c r="I19" s="83" t="s">
        <v>95</v>
      </c>
      <c r="J19" s="83" t="s">
        <v>95</v>
      </c>
      <c r="K19" s="83" t="s">
        <v>95</v>
      </c>
      <c r="L19" s="83" t="s">
        <v>95</v>
      </c>
      <c r="M19" s="83" t="s">
        <v>95</v>
      </c>
      <c r="N19" s="83" t="s">
        <v>288</v>
      </c>
      <c r="O19" s="247">
        <f t="shared" si="0"/>
        <v>1</v>
      </c>
      <c r="P19" s="102">
        <v>45690</v>
      </c>
      <c r="Q19" s="248">
        <f t="shared" si="1"/>
        <v>75</v>
      </c>
      <c r="R19" s="83" t="str">
        <f ca="1">IF($A19="","",IF(TODAY()-$C19&lt;90,"Not Yet 90D",IF(COUNTIF('09_Attrition_Tracker'!$B:$B,$B19)&gt;0,"No","Yes")))</f>
        <v>Yes</v>
      </c>
      <c r="S19" s="103" t="str">
        <f>IFERROR(VLOOKUP($B19,'03_Employee_Master'!$A:$C,3,FALSE),"")</f>
        <v>Collections</v>
      </c>
    </row>
    <row r="20" spans="1:19">
      <c r="A20" s="100" t="s">
        <v>2311</v>
      </c>
      <c r="B20" s="101" t="s">
        <v>776</v>
      </c>
      <c r="C20" s="102">
        <v>45309</v>
      </c>
      <c r="D20" s="101" t="s">
        <v>104</v>
      </c>
      <c r="E20" s="101" t="s">
        <v>496</v>
      </c>
      <c r="F20" s="83" t="s">
        <v>95</v>
      </c>
      <c r="G20" s="83" t="s">
        <v>95</v>
      </c>
      <c r="H20" s="83" t="s">
        <v>95</v>
      </c>
      <c r="I20" s="83" t="s">
        <v>100</v>
      </c>
      <c r="J20" s="83" t="s">
        <v>95</v>
      </c>
      <c r="K20" s="83" t="s">
        <v>95</v>
      </c>
      <c r="L20" s="83" t="s">
        <v>95</v>
      </c>
      <c r="M20" s="83" t="s">
        <v>95</v>
      </c>
      <c r="N20" s="83" t="s">
        <v>2309</v>
      </c>
      <c r="O20" s="247">
        <f t="shared" si="0"/>
        <v>0.875</v>
      </c>
      <c r="P20" s="102"/>
      <c r="Q20" s="248" t="str">
        <f t="shared" si="1"/>
        <v/>
      </c>
      <c r="R20" s="83" t="str">
        <f ca="1">IF($A20="","",IF(TODAY()-$C20&lt;90,"Not Yet 90D",IF(COUNTIF('09_Attrition_Tracker'!$B:$B,$B20)&gt;0,"No","Yes")))</f>
        <v>No</v>
      </c>
      <c r="S20" s="103" t="str">
        <f>IFERROR(VLOOKUP($B20,'03_Employee_Master'!$A:$C,3,FALSE),"")</f>
        <v>Compliance</v>
      </c>
    </row>
    <row r="21" spans="1:19">
      <c r="A21" s="100" t="s">
        <v>2312</v>
      </c>
      <c r="B21" s="101" t="s">
        <v>793</v>
      </c>
      <c r="C21" s="102">
        <v>43558</v>
      </c>
      <c r="D21" s="101" t="s">
        <v>37</v>
      </c>
      <c r="E21" s="101" t="s">
        <v>550</v>
      </c>
      <c r="F21" s="83" t="s">
        <v>95</v>
      </c>
      <c r="G21" s="83" t="s">
        <v>95</v>
      </c>
      <c r="H21" s="83" t="s">
        <v>95</v>
      </c>
      <c r="I21" s="83" t="s">
        <v>95</v>
      </c>
      <c r="J21" s="83" t="s">
        <v>95</v>
      </c>
      <c r="K21" s="83" t="s">
        <v>95</v>
      </c>
      <c r="L21" s="83" t="s">
        <v>95</v>
      </c>
      <c r="M21" s="83" t="s">
        <v>95</v>
      </c>
      <c r="N21" s="83" t="s">
        <v>288</v>
      </c>
      <c r="O21" s="247">
        <f t="shared" si="0"/>
        <v>1</v>
      </c>
      <c r="P21" s="102">
        <v>43166</v>
      </c>
      <c r="Q21" s="248">
        <f t="shared" si="1"/>
        <v>0</v>
      </c>
      <c r="R21" s="83" t="str">
        <f ca="1">IF($A21="","",IF(TODAY()-$C21&lt;90,"Not Yet 90D",IF(COUNTIF('09_Attrition_Tracker'!$B:$B,$B21)&gt;0,"No","Yes")))</f>
        <v>No</v>
      </c>
      <c r="S21" s="103" t="str">
        <f>IFERROR(VLOOKUP($B21,'03_Employee_Master'!$A:$C,3,FALSE),"")</f>
        <v>Finance</v>
      </c>
    </row>
    <row r="22" spans="1:19">
      <c r="A22" s="100" t="s">
        <v>2313</v>
      </c>
      <c r="B22" s="101" t="s">
        <v>915</v>
      </c>
      <c r="C22" s="102">
        <v>46030</v>
      </c>
      <c r="D22" s="101" t="s">
        <v>104</v>
      </c>
      <c r="E22" s="101" t="s">
        <v>113</v>
      </c>
      <c r="F22" s="83" t="s">
        <v>95</v>
      </c>
      <c r="G22" s="83" t="s">
        <v>95</v>
      </c>
      <c r="H22" s="83" t="s">
        <v>95</v>
      </c>
      <c r="I22" s="83" t="s">
        <v>95</v>
      </c>
      <c r="J22" s="83" t="s">
        <v>95</v>
      </c>
      <c r="K22" s="83" t="s">
        <v>95</v>
      </c>
      <c r="L22" s="83" t="s">
        <v>95</v>
      </c>
      <c r="M22" s="83" t="s">
        <v>95</v>
      </c>
      <c r="N22" s="83" t="s">
        <v>288</v>
      </c>
      <c r="O22" s="247">
        <f t="shared" si="0"/>
        <v>1</v>
      </c>
      <c r="P22" s="102">
        <v>46040</v>
      </c>
      <c r="Q22" s="248">
        <f t="shared" si="1"/>
        <v>10</v>
      </c>
      <c r="R22" s="83" t="str">
        <f ca="1">IF($A22="","",IF(TODAY()-$C22&lt;90,"Not Yet 90D",IF(COUNTIF('09_Attrition_Tracker'!$B:$B,$B22)&gt;0,"No","Yes")))</f>
        <v>No</v>
      </c>
      <c r="S22" s="103" t="str">
        <f>IFERROR(VLOOKUP($B22,'03_Employee_Master'!$A:$C,3,FALSE),"")</f>
        <v>Compliance</v>
      </c>
    </row>
    <row r="23" spans="1:19">
      <c r="A23" s="100" t="s">
        <v>2314</v>
      </c>
      <c r="B23" s="101" t="s">
        <v>897</v>
      </c>
      <c r="C23" s="102">
        <v>43005</v>
      </c>
      <c r="D23" s="101" t="s">
        <v>371</v>
      </c>
      <c r="E23" s="101" t="s">
        <v>463</v>
      </c>
      <c r="F23" s="83" t="s">
        <v>95</v>
      </c>
      <c r="G23" s="83" t="s">
        <v>95</v>
      </c>
      <c r="H23" s="83" t="s">
        <v>95</v>
      </c>
      <c r="I23" s="83" t="s">
        <v>95</v>
      </c>
      <c r="J23" s="83" t="s">
        <v>95</v>
      </c>
      <c r="K23" s="83" t="s">
        <v>95</v>
      </c>
      <c r="L23" s="83" t="s">
        <v>95</v>
      </c>
      <c r="M23" s="83" t="s">
        <v>95</v>
      </c>
      <c r="N23" s="83" t="s">
        <v>288</v>
      </c>
      <c r="O23" s="247">
        <f t="shared" si="0"/>
        <v>1</v>
      </c>
      <c r="P23" s="102">
        <v>43037</v>
      </c>
      <c r="Q23" s="248">
        <f t="shared" si="1"/>
        <v>32</v>
      </c>
      <c r="R23" s="83" t="str">
        <f ca="1">IF($A23="","",IF(TODAY()-$C23&lt;90,"Not Yet 90D",IF(COUNTIF('09_Attrition_Tracker'!$B:$B,$B23)&gt;0,"No","Yes")))</f>
        <v>No</v>
      </c>
      <c r="S23" s="103" t="str">
        <f>IFERROR(VLOOKUP($B23,'03_Employee_Master'!$A:$C,3,FALSE),"")</f>
        <v>Collections</v>
      </c>
    </row>
    <row r="24" spans="1:19">
      <c r="A24" s="100" t="s">
        <v>2315</v>
      </c>
      <c r="B24" s="101" t="s">
        <v>889</v>
      </c>
      <c r="C24" s="102">
        <v>45346</v>
      </c>
      <c r="D24" s="101" t="s">
        <v>379</v>
      </c>
      <c r="E24" s="101" t="s">
        <v>545</v>
      </c>
      <c r="F24" s="83" t="s">
        <v>95</v>
      </c>
      <c r="G24" s="83" t="s">
        <v>95</v>
      </c>
      <c r="H24" s="83" t="s">
        <v>95</v>
      </c>
      <c r="I24" s="83" t="s">
        <v>95</v>
      </c>
      <c r="J24" s="83" t="s">
        <v>95</v>
      </c>
      <c r="K24" s="83" t="s">
        <v>95</v>
      </c>
      <c r="L24" s="83" t="s">
        <v>95</v>
      </c>
      <c r="M24" s="83" t="s">
        <v>95</v>
      </c>
      <c r="N24" s="83" t="s">
        <v>288</v>
      </c>
      <c r="O24" s="247">
        <f t="shared" si="0"/>
        <v>1</v>
      </c>
      <c r="P24" s="102">
        <v>45419</v>
      </c>
      <c r="Q24" s="248">
        <f t="shared" si="1"/>
        <v>73</v>
      </c>
      <c r="R24" s="83" t="str">
        <f ca="1">IF($A24="","",IF(TODAY()-$C24&lt;90,"Not Yet 90D",IF(COUNTIF('09_Attrition_Tracker'!$B:$B,$B24)&gt;0,"No","Yes")))</f>
        <v>Yes</v>
      </c>
      <c r="S24" s="103" t="str">
        <f>IFERROR(VLOOKUP($B24,'03_Employee_Master'!$A:$C,3,FALSE),"")</f>
        <v>Credit Evaluation</v>
      </c>
    </row>
    <row r="25" spans="1:19">
      <c r="A25" s="100" t="s">
        <v>2316</v>
      </c>
      <c r="B25" s="101" t="s">
        <v>520</v>
      </c>
      <c r="C25" s="102">
        <v>42941</v>
      </c>
      <c r="D25" s="101" t="s">
        <v>271</v>
      </c>
      <c r="E25" s="101" t="s">
        <v>522</v>
      </c>
      <c r="F25" s="83" t="s">
        <v>95</v>
      </c>
      <c r="G25" s="83" t="s">
        <v>95</v>
      </c>
      <c r="H25" s="83" t="s">
        <v>95</v>
      </c>
      <c r="I25" s="83" t="s">
        <v>95</v>
      </c>
      <c r="J25" s="83" t="s">
        <v>95</v>
      </c>
      <c r="K25" s="83" t="s">
        <v>100</v>
      </c>
      <c r="L25" s="83" t="s">
        <v>95</v>
      </c>
      <c r="M25" s="83" t="s">
        <v>95</v>
      </c>
      <c r="N25" s="83" t="s">
        <v>398</v>
      </c>
      <c r="O25" s="247">
        <f t="shared" si="0"/>
        <v>0.875</v>
      </c>
      <c r="P25" s="102"/>
      <c r="Q25" s="248" t="str">
        <f t="shared" si="1"/>
        <v/>
      </c>
      <c r="R25" s="83" t="str">
        <f ca="1">IF($A25="","",IF(TODAY()-$C25&lt;90,"Not Yet 90D",IF(COUNTIF('09_Attrition_Tracker'!$B:$B,$B25)&gt;0,"No","Yes")))</f>
        <v>Yes</v>
      </c>
      <c r="S25" s="103" t="str">
        <f>IFERROR(VLOOKUP($B25,'03_Employee_Master'!$A:$C,3,FALSE),"")</f>
        <v>Human Resources</v>
      </c>
    </row>
    <row r="26" spans="1:19">
      <c r="A26" s="100" t="s">
        <v>2317</v>
      </c>
      <c r="B26" s="101" t="s">
        <v>662</v>
      </c>
      <c r="C26" s="102">
        <v>43054</v>
      </c>
      <c r="D26" s="101" t="s">
        <v>152</v>
      </c>
      <c r="E26" s="101" t="s">
        <v>452</v>
      </c>
      <c r="F26" s="83" t="s">
        <v>95</v>
      </c>
      <c r="G26" s="83" t="s">
        <v>95</v>
      </c>
      <c r="H26" s="83" t="s">
        <v>95</v>
      </c>
      <c r="I26" s="83" t="s">
        <v>95</v>
      </c>
      <c r="J26" s="83" t="s">
        <v>95</v>
      </c>
      <c r="K26" s="83" t="s">
        <v>95</v>
      </c>
      <c r="L26" s="83" t="s">
        <v>95</v>
      </c>
      <c r="M26" s="83" t="s">
        <v>95</v>
      </c>
      <c r="N26" s="83" t="s">
        <v>288</v>
      </c>
      <c r="O26" s="247">
        <f t="shared" si="0"/>
        <v>1</v>
      </c>
      <c r="P26" s="102">
        <v>43134</v>
      </c>
      <c r="Q26" s="248">
        <f t="shared" si="1"/>
        <v>80</v>
      </c>
      <c r="R26" s="83" t="str">
        <f ca="1">IF($A26="","",IF(TODAY()-$C26&lt;90,"Not Yet 90D",IF(COUNTIF('09_Attrition_Tracker'!$B:$B,$B26)&gt;0,"No","Yes")))</f>
        <v>Yes</v>
      </c>
      <c r="S26" s="103" t="str">
        <f>IFERROR(VLOOKUP($B26,'03_Employee_Master'!$A:$C,3,FALSE),"")</f>
        <v>Branch Operations</v>
      </c>
    </row>
    <row r="27" spans="1:19">
      <c r="A27" s="100" t="s">
        <v>2318</v>
      </c>
      <c r="B27" s="101" t="s">
        <v>757</v>
      </c>
      <c r="C27" s="102">
        <v>44927</v>
      </c>
      <c r="D27" s="101" t="s">
        <v>152</v>
      </c>
      <c r="E27" s="101" t="s">
        <v>153</v>
      </c>
      <c r="F27" s="83" t="s">
        <v>95</v>
      </c>
      <c r="G27" s="83" t="s">
        <v>95</v>
      </c>
      <c r="H27" s="83" t="s">
        <v>95</v>
      </c>
      <c r="I27" s="83" t="s">
        <v>95</v>
      </c>
      <c r="J27" s="83" t="s">
        <v>95</v>
      </c>
      <c r="K27" s="83" t="s">
        <v>95</v>
      </c>
      <c r="L27" s="83" t="s">
        <v>95</v>
      </c>
      <c r="M27" s="83" t="s">
        <v>95</v>
      </c>
      <c r="N27" s="83" t="s">
        <v>288</v>
      </c>
      <c r="O27" s="247">
        <f t="shared" si="0"/>
        <v>1</v>
      </c>
      <c r="P27" s="102">
        <v>44976</v>
      </c>
      <c r="Q27" s="248">
        <f t="shared" si="1"/>
        <v>49</v>
      </c>
      <c r="R27" s="83" t="str">
        <f ca="1">IF($A27="","",IF(TODAY()-$C27&lt;90,"Not Yet 90D",IF(COUNTIF('09_Attrition_Tracker'!$B:$B,$B27)&gt;0,"No","Yes")))</f>
        <v>Yes</v>
      </c>
      <c r="S27" s="103" t="str">
        <f>IFERROR(VLOOKUP($B27,'03_Employee_Master'!$A:$C,3,FALSE),"")</f>
        <v>Branch Operations</v>
      </c>
    </row>
    <row r="28" spans="1:19">
      <c r="A28" s="100" t="s">
        <v>2319</v>
      </c>
      <c r="B28" s="101" t="s">
        <v>916</v>
      </c>
      <c r="C28" s="102">
        <v>43395</v>
      </c>
      <c r="D28" s="101" t="s">
        <v>379</v>
      </c>
      <c r="E28" s="101" t="s">
        <v>588</v>
      </c>
      <c r="F28" s="83" t="s">
        <v>95</v>
      </c>
      <c r="G28" s="83" t="s">
        <v>95</v>
      </c>
      <c r="H28" s="83" t="s">
        <v>95</v>
      </c>
      <c r="I28" s="83" t="s">
        <v>95</v>
      </c>
      <c r="J28" s="83" t="s">
        <v>95</v>
      </c>
      <c r="K28" s="83" t="s">
        <v>95</v>
      </c>
      <c r="L28" s="83" t="s">
        <v>95</v>
      </c>
      <c r="M28" s="83" t="s">
        <v>95</v>
      </c>
      <c r="N28" s="83" t="s">
        <v>288</v>
      </c>
      <c r="O28" s="247">
        <f t="shared" si="0"/>
        <v>1</v>
      </c>
      <c r="P28" s="102">
        <v>43458</v>
      </c>
      <c r="Q28" s="248">
        <f t="shared" si="1"/>
        <v>63</v>
      </c>
      <c r="R28" s="83" t="str">
        <f ca="1">IF($A28="","",IF(TODAY()-$C28&lt;90,"Not Yet 90D",IF(COUNTIF('09_Attrition_Tracker'!$B:$B,$B28)&gt;0,"No","Yes")))</f>
        <v>Yes</v>
      </c>
      <c r="S28" s="103" t="str">
        <f>IFERROR(VLOOKUP($B28,'03_Employee_Master'!$A:$C,3,FALSE),"")</f>
        <v>Credit Evaluation</v>
      </c>
    </row>
    <row r="29" spans="1:19">
      <c r="A29" s="100" t="s">
        <v>2320</v>
      </c>
      <c r="B29" s="101" t="s">
        <v>518</v>
      </c>
      <c r="C29" s="102">
        <v>44601</v>
      </c>
      <c r="D29" s="101" t="s">
        <v>152</v>
      </c>
      <c r="E29" s="101" t="s">
        <v>153</v>
      </c>
      <c r="F29" s="83" t="s">
        <v>95</v>
      </c>
      <c r="G29" s="83" t="s">
        <v>95</v>
      </c>
      <c r="H29" s="83" t="s">
        <v>100</v>
      </c>
      <c r="I29" s="83" t="s">
        <v>95</v>
      </c>
      <c r="J29" s="83" t="s">
        <v>95</v>
      </c>
      <c r="K29" s="83" t="s">
        <v>95</v>
      </c>
      <c r="L29" s="83" t="s">
        <v>100</v>
      </c>
      <c r="M29" s="83" t="s">
        <v>95</v>
      </c>
      <c r="N29" s="83" t="s">
        <v>2309</v>
      </c>
      <c r="O29" s="247">
        <f t="shared" si="0"/>
        <v>0.75</v>
      </c>
      <c r="P29" s="102"/>
      <c r="Q29" s="248" t="str">
        <f t="shared" si="1"/>
        <v/>
      </c>
      <c r="R29" s="83" t="str">
        <f ca="1">IF($A29="","",IF(TODAY()-$C29&lt;90,"Not Yet 90D",IF(COUNTIF('09_Attrition_Tracker'!$B:$B,$B29)&gt;0,"No","Yes")))</f>
        <v>Yes</v>
      </c>
      <c r="S29" s="103" t="str">
        <f>IFERROR(VLOOKUP($B29,'03_Employee_Master'!$A:$C,3,FALSE),"")</f>
        <v>Branch Operations</v>
      </c>
    </row>
    <row r="30" spans="1:19">
      <c r="A30" s="100" t="s">
        <v>2321</v>
      </c>
      <c r="B30" s="101" t="s">
        <v>764</v>
      </c>
      <c r="C30" s="102">
        <v>44086</v>
      </c>
      <c r="D30" s="101" t="s">
        <v>271</v>
      </c>
      <c r="E30" s="101" t="s">
        <v>522</v>
      </c>
      <c r="F30" s="83" t="s">
        <v>95</v>
      </c>
      <c r="G30" s="83" t="s">
        <v>95</v>
      </c>
      <c r="H30" s="83" t="s">
        <v>95</v>
      </c>
      <c r="I30" s="83" t="s">
        <v>95</v>
      </c>
      <c r="J30" s="83" t="s">
        <v>95</v>
      </c>
      <c r="K30" s="83" t="s">
        <v>95</v>
      </c>
      <c r="L30" s="83" t="s">
        <v>95</v>
      </c>
      <c r="M30" s="83" t="s">
        <v>95</v>
      </c>
      <c r="N30" s="83" t="s">
        <v>288</v>
      </c>
      <c r="O30" s="247">
        <f t="shared" si="0"/>
        <v>1</v>
      </c>
      <c r="P30" s="102">
        <v>44126</v>
      </c>
      <c r="Q30" s="248">
        <f t="shared" si="1"/>
        <v>40</v>
      </c>
      <c r="R30" s="83" t="str">
        <f ca="1">IF($A30="","",IF(TODAY()-$C30&lt;90,"Not Yet 90D",IF(COUNTIF('09_Attrition_Tracker'!$B:$B,$B30)&gt;0,"No","Yes")))</f>
        <v>Yes</v>
      </c>
      <c r="S30" s="103" t="str">
        <f>IFERROR(VLOOKUP($B30,'03_Employee_Master'!$A:$C,3,FALSE),"")</f>
        <v>Human Resources</v>
      </c>
    </row>
    <row r="31" spans="1:19">
      <c r="A31" s="100" t="s">
        <v>2322</v>
      </c>
      <c r="B31" s="101" t="s">
        <v>666</v>
      </c>
      <c r="C31" s="102">
        <v>44357</v>
      </c>
      <c r="D31" s="101" t="s">
        <v>421</v>
      </c>
      <c r="E31" s="101" t="s">
        <v>554</v>
      </c>
      <c r="F31" s="83" t="s">
        <v>95</v>
      </c>
      <c r="G31" s="83" t="s">
        <v>95</v>
      </c>
      <c r="H31" s="83" t="s">
        <v>95</v>
      </c>
      <c r="I31" s="83" t="s">
        <v>95</v>
      </c>
      <c r="J31" s="83" t="s">
        <v>95</v>
      </c>
      <c r="K31" s="83" t="s">
        <v>95</v>
      </c>
      <c r="L31" s="83" t="s">
        <v>95</v>
      </c>
      <c r="M31" s="83" t="s">
        <v>95</v>
      </c>
      <c r="N31" s="83" t="s">
        <v>288</v>
      </c>
      <c r="O31" s="247">
        <f t="shared" si="0"/>
        <v>1</v>
      </c>
      <c r="P31" s="102">
        <v>44413</v>
      </c>
      <c r="Q31" s="248">
        <f t="shared" si="1"/>
        <v>56</v>
      </c>
      <c r="R31" s="83" t="str">
        <f ca="1">IF($A31="","",IF(TODAY()-$C31&lt;90,"Not Yet 90D",IF(COUNTIF('09_Attrition_Tracker'!$B:$B,$B31)&gt;0,"No","Yes")))</f>
        <v>Yes</v>
      </c>
      <c r="S31" s="103" t="str">
        <f>IFERROR(VLOOKUP($B31,'03_Employee_Master'!$A:$C,3,FALSE),"")</f>
        <v>Customer Service</v>
      </c>
    </row>
    <row r="32" spans="1:19">
      <c r="A32" s="100" t="s">
        <v>2323</v>
      </c>
      <c r="B32" s="101" t="s">
        <v>571</v>
      </c>
      <c r="C32" s="102">
        <v>43718</v>
      </c>
      <c r="D32" s="101" t="s">
        <v>407</v>
      </c>
      <c r="E32" s="101" t="s">
        <v>445</v>
      </c>
      <c r="F32" s="83" t="s">
        <v>95</v>
      </c>
      <c r="G32" s="83" t="s">
        <v>95</v>
      </c>
      <c r="H32" s="83" t="s">
        <v>95</v>
      </c>
      <c r="I32" s="83" t="s">
        <v>95</v>
      </c>
      <c r="J32" s="83" t="s">
        <v>95</v>
      </c>
      <c r="K32" s="83" t="s">
        <v>95</v>
      </c>
      <c r="L32" s="83" t="s">
        <v>95</v>
      </c>
      <c r="M32" s="83" t="s">
        <v>95</v>
      </c>
      <c r="N32" s="83" t="s">
        <v>288</v>
      </c>
      <c r="O32" s="247">
        <f t="shared" si="0"/>
        <v>1</v>
      </c>
      <c r="P32" s="102">
        <v>43749</v>
      </c>
      <c r="Q32" s="248">
        <f t="shared" si="1"/>
        <v>31</v>
      </c>
      <c r="R32" s="83" t="str">
        <f ca="1">IF($A32="","",IF(TODAY()-$C32&lt;90,"Not Yet 90D",IF(COUNTIF('09_Attrition_Tracker'!$B:$B,$B32)&gt;0,"No","Yes")))</f>
        <v>Yes</v>
      </c>
      <c r="S32" s="103" t="str">
        <f>IFERROR(VLOOKUP($B32,'03_Employee_Master'!$A:$C,3,FALSE),"")</f>
        <v>Sales &amp; Marketing</v>
      </c>
    </row>
    <row r="33" spans="1:19">
      <c r="A33" s="100" t="s">
        <v>2324</v>
      </c>
      <c r="B33" s="101" t="s">
        <v>551</v>
      </c>
      <c r="C33" s="102">
        <v>43090</v>
      </c>
      <c r="D33" s="101" t="s">
        <v>421</v>
      </c>
      <c r="E33" s="101" t="s">
        <v>554</v>
      </c>
      <c r="F33" s="83" t="s">
        <v>95</v>
      </c>
      <c r="G33" s="83" t="s">
        <v>95</v>
      </c>
      <c r="H33" s="83" t="s">
        <v>95</v>
      </c>
      <c r="I33" s="83" t="s">
        <v>95</v>
      </c>
      <c r="J33" s="83" t="s">
        <v>95</v>
      </c>
      <c r="K33" s="83" t="s">
        <v>95</v>
      </c>
      <c r="L33" s="83" t="s">
        <v>95</v>
      </c>
      <c r="M33" s="83" t="s">
        <v>95</v>
      </c>
      <c r="N33" s="83" t="s">
        <v>288</v>
      </c>
      <c r="O33" s="247">
        <f t="shared" si="0"/>
        <v>1</v>
      </c>
      <c r="P33" s="102">
        <v>43126</v>
      </c>
      <c r="Q33" s="248">
        <f t="shared" si="1"/>
        <v>36</v>
      </c>
      <c r="R33" s="83" t="str">
        <f ca="1">IF($A33="","",IF(TODAY()-$C33&lt;90,"Not Yet 90D",IF(COUNTIF('09_Attrition_Tracker'!$B:$B,$B33)&gt;0,"No","Yes")))</f>
        <v>Yes</v>
      </c>
      <c r="S33" s="103" t="str">
        <f>IFERROR(VLOOKUP($B33,'03_Employee_Master'!$A:$C,3,FALSE),"")</f>
        <v>Customer Service</v>
      </c>
    </row>
    <row r="34" spans="1:19">
      <c r="A34" s="100" t="s">
        <v>2325</v>
      </c>
      <c r="B34" s="101" t="s">
        <v>870</v>
      </c>
      <c r="C34" s="102">
        <v>42983</v>
      </c>
      <c r="D34" s="101" t="s">
        <v>152</v>
      </c>
      <c r="E34" s="101" t="s">
        <v>452</v>
      </c>
      <c r="F34" s="83" t="s">
        <v>95</v>
      </c>
      <c r="G34" s="83" t="s">
        <v>95</v>
      </c>
      <c r="H34" s="83" t="s">
        <v>95</v>
      </c>
      <c r="I34" s="83" t="s">
        <v>95</v>
      </c>
      <c r="J34" s="83" t="s">
        <v>95</v>
      </c>
      <c r="K34" s="83" t="s">
        <v>95</v>
      </c>
      <c r="L34" s="83" t="s">
        <v>95</v>
      </c>
      <c r="M34" s="83" t="s">
        <v>95</v>
      </c>
      <c r="N34" s="83" t="s">
        <v>288</v>
      </c>
      <c r="O34" s="247">
        <f t="shared" si="0"/>
        <v>1</v>
      </c>
      <c r="P34" s="102">
        <v>43023</v>
      </c>
      <c r="Q34" s="248">
        <f t="shared" si="1"/>
        <v>40</v>
      </c>
      <c r="R34" s="83" t="str">
        <f ca="1">IF($A34="","",IF(TODAY()-$C34&lt;90,"Not Yet 90D",IF(COUNTIF('09_Attrition_Tracker'!$B:$B,$B34)&gt;0,"No","Yes")))</f>
        <v>Yes</v>
      </c>
      <c r="S34" s="103" t="str">
        <f>IFERROR(VLOOKUP($B34,'03_Employee_Master'!$A:$C,3,FALSE),"")</f>
        <v>Branch Operations</v>
      </c>
    </row>
    <row r="35" spans="1:19">
      <c r="A35" s="100" t="s">
        <v>2326</v>
      </c>
      <c r="B35" s="101" t="s">
        <v>635</v>
      </c>
      <c r="C35" s="102">
        <v>43255</v>
      </c>
      <c r="D35" s="101" t="s">
        <v>152</v>
      </c>
      <c r="E35" s="101" t="s">
        <v>153</v>
      </c>
      <c r="F35" s="83" t="s">
        <v>95</v>
      </c>
      <c r="G35" s="83" t="s">
        <v>95</v>
      </c>
      <c r="H35" s="83" t="s">
        <v>95</v>
      </c>
      <c r="I35" s="83" t="s">
        <v>95</v>
      </c>
      <c r="J35" s="83" t="s">
        <v>95</v>
      </c>
      <c r="K35" s="83" t="s">
        <v>95</v>
      </c>
      <c r="L35" s="83" t="s">
        <v>95</v>
      </c>
      <c r="M35" s="83" t="s">
        <v>95</v>
      </c>
      <c r="N35" s="83" t="s">
        <v>288</v>
      </c>
      <c r="O35" s="247">
        <f t="shared" si="0"/>
        <v>1</v>
      </c>
      <c r="P35" s="102">
        <v>43287</v>
      </c>
      <c r="Q35" s="248">
        <f t="shared" si="1"/>
        <v>32</v>
      </c>
      <c r="R35" s="83" t="str">
        <f ca="1">IF($A35="","",IF(TODAY()-$C35&lt;90,"Not Yet 90D",IF(COUNTIF('09_Attrition_Tracker'!$B:$B,$B35)&gt;0,"No","Yes")))</f>
        <v>Yes</v>
      </c>
      <c r="S35" s="103" t="str">
        <f>IFERROR(VLOOKUP($B35,'03_Employee_Master'!$A:$C,3,FALSE),"")</f>
        <v>Branch Operations</v>
      </c>
    </row>
    <row r="36" spans="1:19">
      <c r="A36" s="100" t="s">
        <v>2327</v>
      </c>
      <c r="B36" s="101" t="s">
        <v>791</v>
      </c>
      <c r="C36" s="102">
        <v>43716</v>
      </c>
      <c r="D36" s="101" t="s">
        <v>421</v>
      </c>
      <c r="E36" s="101" t="s">
        <v>608</v>
      </c>
      <c r="F36" s="83" t="s">
        <v>95</v>
      </c>
      <c r="G36" s="83" t="s">
        <v>95</v>
      </c>
      <c r="H36" s="83" t="s">
        <v>95</v>
      </c>
      <c r="I36" s="83" t="s">
        <v>95</v>
      </c>
      <c r="J36" s="83" t="s">
        <v>95</v>
      </c>
      <c r="K36" s="83" t="s">
        <v>95</v>
      </c>
      <c r="L36" s="83" t="s">
        <v>95</v>
      </c>
      <c r="M36" s="83" t="s">
        <v>95</v>
      </c>
      <c r="N36" s="83" t="s">
        <v>288</v>
      </c>
      <c r="O36" s="247">
        <f t="shared" ref="O36:O67" si="2">IF($A36="","",COUNTIF($F36:$M36,"Yes")/8)</f>
        <v>1</v>
      </c>
      <c r="P36" s="102">
        <v>43799</v>
      </c>
      <c r="Q36" s="248">
        <f t="shared" si="1"/>
        <v>83</v>
      </c>
      <c r="R36" s="83" t="str">
        <f ca="1">IF($A36="","",IF(TODAY()-$C36&lt;90,"Not Yet 90D",IF(COUNTIF('09_Attrition_Tracker'!$B:$B,$B36)&gt;0,"No","Yes")))</f>
        <v>Yes</v>
      </c>
      <c r="S36" s="103" t="str">
        <f>IFERROR(VLOOKUP($B36,'03_Employee_Master'!$A:$C,3,FALSE),"")</f>
        <v>Customer Service</v>
      </c>
    </row>
    <row r="37" spans="1:19">
      <c r="A37" s="100" t="s">
        <v>2328</v>
      </c>
      <c r="B37" s="101" t="s">
        <v>913</v>
      </c>
      <c r="C37" s="102">
        <v>43710</v>
      </c>
      <c r="D37" s="101" t="s">
        <v>416</v>
      </c>
      <c r="E37" s="101" t="s">
        <v>558</v>
      </c>
      <c r="F37" s="83" t="s">
        <v>95</v>
      </c>
      <c r="G37" s="83" t="s">
        <v>95</v>
      </c>
      <c r="H37" s="83" t="s">
        <v>95</v>
      </c>
      <c r="I37" s="83" t="s">
        <v>95</v>
      </c>
      <c r="J37" s="83" t="s">
        <v>95</v>
      </c>
      <c r="K37" s="83" t="s">
        <v>95</v>
      </c>
      <c r="L37" s="83" t="s">
        <v>95</v>
      </c>
      <c r="M37" s="83" t="s">
        <v>95</v>
      </c>
      <c r="N37" s="83" t="s">
        <v>288</v>
      </c>
      <c r="O37" s="247">
        <f t="shared" si="2"/>
        <v>1</v>
      </c>
      <c r="P37" s="102">
        <v>43756</v>
      </c>
      <c r="Q37" s="248">
        <f t="shared" ref="Q37:Q68" si="3">IF($P37="","",MAX(0,$P37-$C37))</f>
        <v>46</v>
      </c>
      <c r="R37" s="83" t="str">
        <f ca="1">IF($A37="","",IF(TODAY()-$C37&lt;90,"Not Yet 90D",IF(COUNTIF('09_Attrition_Tracker'!$B:$B,$B37)&gt;0,"No","Yes")))</f>
        <v>Yes</v>
      </c>
      <c r="S37" s="103" t="str">
        <f>IFERROR(VLOOKUP($B37,'03_Employee_Master'!$A:$C,3,FALSE),"")</f>
        <v>Information Technology</v>
      </c>
    </row>
    <row r="38" spans="1:19">
      <c r="A38" s="100" t="s">
        <v>2329</v>
      </c>
      <c r="B38" s="101" t="s">
        <v>664</v>
      </c>
      <c r="C38" s="102">
        <v>46018</v>
      </c>
      <c r="D38" s="101" t="s">
        <v>271</v>
      </c>
      <c r="E38" s="101" t="s">
        <v>522</v>
      </c>
      <c r="F38" s="83" t="s">
        <v>95</v>
      </c>
      <c r="G38" s="83" t="s">
        <v>95</v>
      </c>
      <c r="H38" s="83" t="s">
        <v>95</v>
      </c>
      <c r="I38" s="83" t="s">
        <v>95</v>
      </c>
      <c r="J38" s="83" t="s">
        <v>95</v>
      </c>
      <c r="K38" s="83" t="s">
        <v>95</v>
      </c>
      <c r="L38" s="83" t="s">
        <v>95</v>
      </c>
      <c r="M38" s="83" t="s">
        <v>95</v>
      </c>
      <c r="N38" s="83" t="s">
        <v>288</v>
      </c>
      <c r="O38" s="247">
        <f t="shared" si="2"/>
        <v>1</v>
      </c>
      <c r="P38" s="102">
        <v>46040</v>
      </c>
      <c r="Q38" s="248">
        <f t="shared" si="3"/>
        <v>22</v>
      </c>
      <c r="R38" s="83" t="str">
        <f ca="1">IF($A38="","",IF(TODAY()-$C38&lt;90,"Not Yet 90D",IF(COUNTIF('09_Attrition_Tracker'!$B:$B,$B38)&gt;0,"No","Yes")))</f>
        <v>Yes</v>
      </c>
      <c r="S38" s="103" t="str">
        <f>IFERROR(VLOOKUP($B38,'03_Employee_Master'!$A:$C,3,FALSE),"")</f>
        <v>Human Resources</v>
      </c>
    </row>
    <row r="39" spans="1:19">
      <c r="A39" s="100" t="s">
        <v>2330</v>
      </c>
      <c r="B39" s="101" t="s">
        <v>813</v>
      </c>
      <c r="C39" s="102">
        <v>45651</v>
      </c>
      <c r="D39" s="101" t="s">
        <v>379</v>
      </c>
      <c r="E39" s="101" t="s">
        <v>588</v>
      </c>
      <c r="F39" s="83" t="s">
        <v>95</v>
      </c>
      <c r="G39" s="83" t="s">
        <v>95</v>
      </c>
      <c r="H39" s="83" t="s">
        <v>95</v>
      </c>
      <c r="I39" s="83" t="s">
        <v>95</v>
      </c>
      <c r="J39" s="83" t="s">
        <v>95</v>
      </c>
      <c r="K39" s="83" t="s">
        <v>95</v>
      </c>
      <c r="L39" s="83" t="s">
        <v>95</v>
      </c>
      <c r="M39" s="83" t="s">
        <v>95</v>
      </c>
      <c r="N39" s="83" t="s">
        <v>288</v>
      </c>
      <c r="O39" s="247">
        <f t="shared" si="2"/>
        <v>1</v>
      </c>
      <c r="P39" s="102">
        <v>45704</v>
      </c>
      <c r="Q39" s="248">
        <f t="shared" si="3"/>
        <v>53</v>
      </c>
      <c r="R39" s="83" t="str">
        <f ca="1">IF($A39="","",IF(TODAY()-$C39&lt;90,"Not Yet 90D",IF(COUNTIF('09_Attrition_Tracker'!$B:$B,$B39)&gt;0,"No","Yes")))</f>
        <v>Yes</v>
      </c>
      <c r="S39" s="103" t="str">
        <f>IFERROR(VLOOKUP($B39,'03_Employee_Master'!$A:$C,3,FALSE),"")</f>
        <v>Credit Evaluation</v>
      </c>
    </row>
    <row r="40" spans="1:19">
      <c r="A40" s="100" t="s">
        <v>2331</v>
      </c>
      <c r="B40" s="101" t="s">
        <v>487</v>
      </c>
      <c r="C40" s="102">
        <v>43851</v>
      </c>
      <c r="D40" s="101" t="s">
        <v>379</v>
      </c>
      <c r="E40" s="101" t="s">
        <v>457</v>
      </c>
      <c r="F40" s="83" t="s">
        <v>95</v>
      </c>
      <c r="G40" s="83" t="s">
        <v>95</v>
      </c>
      <c r="H40" s="83" t="s">
        <v>95</v>
      </c>
      <c r="I40" s="83" t="s">
        <v>95</v>
      </c>
      <c r="J40" s="83" t="s">
        <v>95</v>
      </c>
      <c r="K40" s="83" t="s">
        <v>95</v>
      </c>
      <c r="L40" s="83" t="s">
        <v>95</v>
      </c>
      <c r="M40" s="83" t="s">
        <v>95</v>
      </c>
      <c r="N40" s="83" t="s">
        <v>288</v>
      </c>
      <c r="O40" s="247">
        <f t="shared" si="2"/>
        <v>1</v>
      </c>
      <c r="P40" s="102">
        <v>43891</v>
      </c>
      <c r="Q40" s="248">
        <f t="shared" si="3"/>
        <v>40</v>
      </c>
      <c r="R40" s="83" t="str">
        <f ca="1">IF($A40="","",IF(TODAY()-$C40&lt;90,"Not Yet 90D",IF(COUNTIF('09_Attrition_Tracker'!$B:$B,$B40)&gt;0,"No","Yes")))</f>
        <v>Yes</v>
      </c>
      <c r="S40" s="103" t="str">
        <f>IFERROR(VLOOKUP($B40,'03_Employee_Master'!$A:$C,3,FALSE),"")</f>
        <v>Credit Evaluation</v>
      </c>
    </row>
    <row r="41" spans="1:19">
      <c r="A41" s="100" t="s">
        <v>2332</v>
      </c>
      <c r="B41" s="101" t="s">
        <v>805</v>
      </c>
      <c r="C41" s="102">
        <v>43074</v>
      </c>
      <c r="D41" s="101" t="s">
        <v>152</v>
      </c>
      <c r="E41" s="101" t="s">
        <v>428</v>
      </c>
      <c r="F41" s="83" t="s">
        <v>95</v>
      </c>
      <c r="G41" s="83" t="s">
        <v>95</v>
      </c>
      <c r="H41" s="83" t="s">
        <v>95</v>
      </c>
      <c r="I41" s="83" t="s">
        <v>95</v>
      </c>
      <c r="J41" s="83" t="s">
        <v>95</v>
      </c>
      <c r="K41" s="83" t="s">
        <v>95</v>
      </c>
      <c r="L41" s="83" t="s">
        <v>95</v>
      </c>
      <c r="M41" s="83" t="s">
        <v>95</v>
      </c>
      <c r="N41" s="83" t="s">
        <v>288</v>
      </c>
      <c r="O41" s="247">
        <f t="shared" si="2"/>
        <v>1</v>
      </c>
      <c r="P41" s="102">
        <v>43158</v>
      </c>
      <c r="Q41" s="248">
        <f t="shared" si="3"/>
        <v>84</v>
      </c>
      <c r="R41" s="83" t="str">
        <f ca="1">IF($A41="","",IF(TODAY()-$C41&lt;90,"Not Yet 90D",IF(COUNTIF('09_Attrition_Tracker'!$B:$B,$B41)&gt;0,"No","Yes")))</f>
        <v>Yes</v>
      </c>
      <c r="S41" s="103" t="str">
        <f>IFERROR(VLOOKUP($B41,'03_Employee_Master'!$A:$C,3,FALSE),"")</f>
        <v>Branch Operations</v>
      </c>
    </row>
    <row r="42" spans="1:19">
      <c r="A42" s="100" t="s">
        <v>2333</v>
      </c>
      <c r="B42" s="101" t="s">
        <v>516</v>
      </c>
      <c r="C42" s="102">
        <v>43118</v>
      </c>
      <c r="D42" s="101" t="s">
        <v>104</v>
      </c>
      <c r="E42" s="101" t="s">
        <v>474</v>
      </c>
      <c r="F42" s="83" t="s">
        <v>95</v>
      </c>
      <c r="G42" s="83" t="s">
        <v>95</v>
      </c>
      <c r="H42" s="83" t="s">
        <v>95</v>
      </c>
      <c r="I42" s="83" t="s">
        <v>95</v>
      </c>
      <c r="J42" s="83" t="s">
        <v>95</v>
      </c>
      <c r="K42" s="83" t="s">
        <v>95</v>
      </c>
      <c r="L42" s="83" t="s">
        <v>95</v>
      </c>
      <c r="M42" s="83" t="s">
        <v>95</v>
      </c>
      <c r="N42" s="83" t="s">
        <v>288</v>
      </c>
      <c r="O42" s="247">
        <f t="shared" si="2"/>
        <v>1</v>
      </c>
      <c r="P42" s="102">
        <v>43146</v>
      </c>
      <c r="Q42" s="248">
        <f t="shared" si="3"/>
        <v>28</v>
      </c>
      <c r="R42" s="83" t="str">
        <f ca="1">IF($A42="","",IF(TODAY()-$C42&lt;90,"Not Yet 90D",IF(COUNTIF('09_Attrition_Tracker'!$B:$B,$B42)&gt;0,"No","Yes")))</f>
        <v>Yes</v>
      </c>
      <c r="S42" s="103" t="str">
        <f>IFERROR(VLOOKUP($B42,'03_Employee_Master'!$A:$C,3,FALSE),"")</f>
        <v>Compliance</v>
      </c>
    </row>
    <row r="43" spans="1:19">
      <c r="A43" s="100" t="s">
        <v>2334</v>
      </c>
      <c r="B43" s="101" t="s">
        <v>484</v>
      </c>
      <c r="C43" s="102">
        <v>44961</v>
      </c>
      <c r="D43" s="101" t="s">
        <v>37</v>
      </c>
      <c r="E43" s="101" t="s">
        <v>260</v>
      </c>
      <c r="F43" s="83" t="s">
        <v>95</v>
      </c>
      <c r="G43" s="83" t="s">
        <v>95</v>
      </c>
      <c r="H43" s="83" t="s">
        <v>95</v>
      </c>
      <c r="I43" s="83" t="s">
        <v>95</v>
      </c>
      <c r="J43" s="83" t="s">
        <v>95</v>
      </c>
      <c r="K43" s="83" t="s">
        <v>95</v>
      </c>
      <c r="L43" s="83" t="s">
        <v>95</v>
      </c>
      <c r="M43" s="83" t="s">
        <v>95</v>
      </c>
      <c r="N43" s="83" t="s">
        <v>288</v>
      </c>
      <c r="O43" s="247">
        <f t="shared" si="2"/>
        <v>1</v>
      </c>
      <c r="P43" s="102">
        <v>44995</v>
      </c>
      <c r="Q43" s="248">
        <f t="shared" si="3"/>
        <v>34</v>
      </c>
      <c r="R43" s="83" t="str">
        <f ca="1">IF($A43="","",IF(TODAY()-$C43&lt;90,"Not Yet 90D",IF(COUNTIF('09_Attrition_Tracker'!$B:$B,$B43)&gt;0,"No","Yes")))</f>
        <v>Yes</v>
      </c>
      <c r="S43" s="103" t="str">
        <f>IFERROR(VLOOKUP($B43,'03_Employee_Master'!$A:$C,3,FALSE),"")</f>
        <v>Finance</v>
      </c>
    </row>
    <row r="44" spans="1:19">
      <c r="A44" s="100" t="s">
        <v>2335</v>
      </c>
      <c r="B44" s="101" t="s">
        <v>910</v>
      </c>
      <c r="C44" s="102">
        <v>43972</v>
      </c>
      <c r="D44" s="101" t="s">
        <v>271</v>
      </c>
      <c r="E44" s="101" t="s">
        <v>20</v>
      </c>
      <c r="F44" s="83" t="s">
        <v>95</v>
      </c>
      <c r="G44" s="83" t="s">
        <v>95</v>
      </c>
      <c r="H44" s="83" t="s">
        <v>95</v>
      </c>
      <c r="I44" s="83" t="s">
        <v>95</v>
      </c>
      <c r="J44" s="83" t="s">
        <v>95</v>
      </c>
      <c r="K44" s="83" t="s">
        <v>95</v>
      </c>
      <c r="L44" s="83" t="s">
        <v>95</v>
      </c>
      <c r="M44" s="83" t="s">
        <v>95</v>
      </c>
      <c r="N44" s="83" t="s">
        <v>288</v>
      </c>
      <c r="O44" s="247">
        <f t="shared" si="2"/>
        <v>1</v>
      </c>
      <c r="P44" s="102">
        <v>44007</v>
      </c>
      <c r="Q44" s="248">
        <f t="shared" si="3"/>
        <v>35</v>
      </c>
      <c r="R44" s="83" t="str">
        <f ca="1">IF($A44="","",IF(TODAY()-$C44&lt;90,"Not Yet 90D",IF(COUNTIF('09_Attrition_Tracker'!$B:$B,$B44)&gt;0,"No","Yes")))</f>
        <v>Yes</v>
      </c>
      <c r="S44" s="103" t="str">
        <f>IFERROR(VLOOKUP($B44,'03_Employee_Master'!$A:$C,3,FALSE),"")</f>
        <v>Human Resources</v>
      </c>
    </row>
    <row r="45" spans="1:19">
      <c r="A45" s="100" t="s">
        <v>2336</v>
      </c>
      <c r="B45" s="101" t="s">
        <v>534</v>
      </c>
      <c r="C45" s="102">
        <v>45935</v>
      </c>
      <c r="D45" s="101" t="s">
        <v>37</v>
      </c>
      <c r="E45" s="101" t="s">
        <v>537</v>
      </c>
      <c r="F45" s="83" t="s">
        <v>95</v>
      </c>
      <c r="G45" s="83" t="s">
        <v>95</v>
      </c>
      <c r="H45" s="83" t="s">
        <v>95</v>
      </c>
      <c r="I45" s="83" t="s">
        <v>95</v>
      </c>
      <c r="J45" s="83" t="s">
        <v>95</v>
      </c>
      <c r="K45" s="83" t="s">
        <v>95</v>
      </c>
      <c r="L45" s="83" t="s">
        <v>95</v>
      </c>
      <c r="M45" s="83" t="s">
        <v>95</v>
      </c>
      <c r="N45" s="83" t="s">
        <v>288</v>
      </c>
      <c r="O45" s="247">
        <f t="shared" si="2"/>
        <v>1</v>
      </c>
      <c r="P45" s="102">
        <v>46017</v>
      </c>
      <c r="Q45" s="248">
        <f t="shared" si="3"/>
        <v>82</v>
      </c>
      <c r="R45" s="83" t="str">
        <f ca="1">IF($A45="","",IF(TODAY()-$C45&lt;90,"Not Yet 90D",IF(COUNTIF('09_Attrition_Tracker'!$B:$B,$B45)&gt;0,"No","Yes")))</f>
        <v>Yes</v>
      </c>
      <c r="S45" s="103" t="str">
        <f>IFERROR(VLOOKUP($B45,'03_Employee_Master'!$A:$C,3,FALSE),"")</f>
        <v>Finance</v>
      </c>
    </row>
    <row r="46" spans="1:19">
      <c r="A46" s="100" t="s">
        <v>2337</v>
      </c>
      <c r="B46" s="101" t="s">
        <v>786</v>
      </c>
      <c r="C46" s="102">
        <v>43723</v>
      </c>
      <c r="D46" s="101" t="s">
        <v>271</v>
      </c>
      <c r="E46" s="101" t="s">
        <v>522</v>
      </c>
      <c r="F46" s="83" t="s">
        <v>95</v>
      </c>
      <c r="G46" s="83" t="s">
        <v>95</v>
      </c>
      <c r="H46" s="83" t="s">
        <v>95</v>
      </c>
      <c r="I46" s="83" t="s">
        <v>95</v>
      </c>
      <c r="J46" s="83" t="s">
        <v>95</v>
      </c>
      <c r="K46" s="83" t="s">
        <v>95</v>
      </c>
      <c r="L46" s="83" t="s">
        <v>95</v>
      </c>
      <c r="M46" s="83" t="s">
        <v>95</v>
      </c>
      <c r="N46" s="83" t="s">
        <v>288</v>
      </c>
      <c r="O46" s="247">
        <f t="shared" si="2"/>
        <v>1</v>
      </c>
      <c r="P46" s="102">
        <v>43786</v>
      </c>
      <c r="Q46" s="248">
        <f t="shared" si="3"/>
        <v>63</v>
      </c>
      <c r="R46" s="83" t="str">
        <f ca="1">IF($A46="","",IF(TODAY()-$C46&lt;90,"Not Yet 90D",IF(COUNTIF('09_Attrition_Tracker'!$B:$B,$B46)&gt;0,"No","Yes")))</f>
        <v>Yes</v>
      </c>
      <c r="S46" s="103" t="str">
        <f>IFERROR(VLOOKUP($B46,'03_Employee_Master'!$A:$C,3,FALSE),"")</f>
        <v>Human Resources</v>
      </c>
    </row>
    <row r="47" spans="1:19">
      <c r="A47" s="100" t="s">
        <v>2338</v>
      </c>
      <c r="B47" s="101" t="s">
        <v>735</v>
      </c>
      <c r="C47" s="102">
        <v>45183</v>
      </c>
      <c r="D47" s="101" t="s">
        <v>152</v>
      </c>
      <c r="E47" s="101" t="s">
        <v>153</v>
      </c>
      <c r="F47" s="83" t="s">
        <v>95</v>
      </c>
      <c r="G47" s="83" t="s">
        <v>95</v>
      </c>
      <c r="H47" s="83" t="s">
        <v>95</v>
      </c>
      <c r="I47" s="83" t="s">
        <v>95</v>
      </c>
      <c r="J47" s="83" t="s">
        <v>95</v>
      </c>
      <c r="K47" s="83" t="s">
        <v>95</v>
      </c>
      <c r="L47" s="83" t="s">
        <v>95</v>
      </c>
      <c r="M47" s="83" t="s">
        <v>95</v>
      </c>
      <c r="N47" s="83" t="s">
        <v>288</v>
      </c>
      <c r="O47" s="247">
        <f t="shared" si="2"/>
        <v>1</v>
      </c>
      <c r="P47" s="102">
        <v>45208</v>
      </c>
      <c r="Q47" s="248">
        <f t="shared" si="3"/>
        <v>25</v>
      </c>
      <c r="R47" s="83" t="str">
        <f ca="1">IF($A47="","",IF(TODAY()-$C47&lt;90,"Not Yet 90D",IF(COUNTIF('09_Attrition_Tracker'!$B:$B,$B47)&gt;0,"No","Yes")))</f>
        <v>Yes</v>
      </c>
      <c r="S47" s="103" t="str">
        <f>IFERROR(VLOOKUP($B47,'03_Employee_Master'!$A:$C,3,FALSE),"")</f>
        <v>Branch Operations</v>
      </c>
    </row>
    <row r="48" spans="1:19">
      <c r="A48" s="100" t="s">
        <v>2339</v>
      </c>
      <c r="B48" s="101" t="s">
        <v>727</v>
      </c>
      <c r="C48" s="102">
        <v>45403</v>
      </c>
      <c r="D48" s="101" t="s">
        <v>152</v>
      </c>
      <c r="E48" s="101" t="s">
        <v>428</v>
      </c>
      <c r="F48" s="83" t="s">
        <v>95</v>
      </c>
      <c r="G48" s="83" t="s">
        <v>95</v>
      </c>
      <c r="H48" s="83" t="s">
        <v>95</v>
      </c>
      <c r="I48" s="83" t="s">
        <v>95</v>
      </c>
      <c r="J48" s="83" t="s">
        <v>95</v>
      </c>
      <c r="K48" s="83" t="s">
        <v>95</v>
      </c>
      <c r="L48" s="83" t="s">
        <v>95</v>
      </c>
      <c r="M48" s="83" t="s">
        <v>95</v>
      </c>
      <c r="N48" s="83" t="s">
        <v>288</v>
      </c>
      <c r="O48" s="247">
        <f t="shared" si="2"/>
        <v>1</v>
      </c>
      <c r="P48" s="102">
        <v>45457</v>
      </c>
      <c r="Q48" s="248">
        <f t="shared" si="3"/>
        <v>54</v>
      </c>
      <c r="R48" s="83" t="str">
        <f ca="1">IF($A48="","",IF(TODAY()-$C48&lt;90,"Not Yet 90D",IF(COUNTIF('09_Attrition_Tracker'!$B:$B,$B48)&gt;0,"No","Yes")))</f>
        <v>Yes</v>
      </c>
      <c r="S48" s="103" t="str">
        <f>IFERROR(VLOOKUP($B48,'03_Employee_Master'!$A:$C,3,FALSE),"")</f>
        <v>Branch Operations</v>
      </c>
    </row>
    <row r="49" spans="1:19">
      <c r="A49" s="100" t="s">
        <v>2340</v>
      </c>
      <c r="B49" s="101" t="s">
        <v>528</v>
      </c>
      <c r="C49" s="102">
        <v>44940</v>
      </c>
      <c r="D49" s="101" t="s">
        <v>37</v>
      </c>
      <c r="E49" s="101" t="s">
        <v>260</v>
      </c>
      <c r="F49" s="83" t="s">
        <v>100</v>
      </c>
      <c r="G49" s="83" t="s">
        <v>95</v>
      </c>
      <c r="H49" s="83" t="s">
        <v>95</v>
      </c>
      <c r="I49" s="83" t="s">
        <v>95</v>
      </c>
      <c r="J49" s="83" t="s">
        <v>95</v>
      </c>
      <c r="K49" s="83" t="s">
        <v>95</v>
      </c>
      <c r="L49" s="83" t="s">
        <v>95</v>
      </c>
      <c r="M49" s="83" t="s">
        <v>95</v>
      </c>
      <c r="N49" s="83" t="s">
        <v>2309</v>
      </c>
      <c r="O49" s="247">
        <f t="shared" si="2"/>
        <v>0.875</v>
      </c>
      <c r="P49" s="102"/>
      <c r="Q49" s="248" t="str">
        <f t="shared" si="3"/>
        <v/>
      </c>
      <c r="R49" s="83" t="str">
        <f ca="1">IF($A49="","",IF(TODAY()-$C49&lt;90,"Not Yet 90D",IF(COUNTIF('09_Attrition_Tracker'!$B:$B,$B49)&gt;0,"No","Yes")))</f>
        <v>Yes</v>
      </c>
      <c r="S49" s="103" t="str">
        <f>IFERROR(VLOOKUP($B49,'03_Employee_Master'!$A:$C,3,FALSE),"")</f>
        <v>Finance</v>
      </c>
    </row>
    <row r="50" spans="1:19">
      <c r="A50" s="100" t="s">
        <v>2341</v>
      </c>
      <c r="B50" s="101" t="s">
        <v>905</v>
      </c>
      <c r="C50" s="102">
        <v>45162</v>
      </c>
      <c r="D50" s="101" t="s">
        <v>37</v>
      </c>
      <c r="E50" s="101" t="s">
        <v>537</v>
      </c>
      <c r="F50" s="83" t="s">
        <v>95</v>
      </c>
      <c r="G50" s="83" t="s">
        <v>95</v>
      </c>
      <c r="H50" s="83" t="s">
        <v>95</v>
      </c>
      <c r="I50" s="83" t="s">
        <v>95</v>
      </c>
      <c r="J50" s="83" t="s">
        <v>95</v>
      </c>
      <c r="K50" s="83" t="s">
        <v>95</v>
      </c>
      <c r="L50" s="83" t="s">
        <v>95</v>
      </c>
      <c r="M50" s="83" t="s">
        <v>95</v>
      </c>
      <c r="N50" s="83" t="s">
        <v>288</v>
      </c>
      <c r="O50" s="247">
        <f t="shared" si="2"/>
        <v>1</v>
      </c>
      <c r="P50" s="102">
        <v>45195</v>
      </c>
      <c r="Q50" s="248">
        <f t="shared" si="3"/>
        <v>33</v>
      </c>
      <c r="R50" s="83" t="str">
        <f ca="1">IF($A50="","",IF(TODAY()-$C50&lt;90,"Not Yet 90D",IF(COUNTIF('09_Attrition_Tracker'!$B:$B,$B50)&gt;0,"No","Yes")))</f>
        <v>Yes</v>
      </c>
      <c r="S50" s="103" t="str">
        <f>IFERROR(VLOOKUP($B50,'03_Employee_Master'!$A:$C,3,FALSE),"")</f>
        <v>Finance</v>
      </c>
    </row>
    <row r="51" spans="1:19">
      <c r="A51" s="100" t="s">
        <v>2342</v>
      </c>
      <c r="B51" s="101" t="s">
        <v>856</v>
      </c>
      <c r="C51" s="102">
        <v>44495</v>
      </c>
      <c r="D51" s="101" t="s">
        <v>379</v>
      </c>
      <c r="E51" s="101" t="s">
        <v>545</v>
      </c>
      <c r="F51" s="83" t="s">
        <v>100</v>
      </c>
      <c r="G51" s="83" t="s">
        <v>100</v>
      </c>
      <c r="H51" s="83" t="s">
        <v>100</v>
      </c>
      <c r="I51" s="83" t="s">
        <v>100</v>
      </c>
      <c r="J51" s="83" t="s">
        <v>95</v>
      </c>
      <c r="K51" s="83" t="s">
        <v>95</v>
      </c>
      <c r="L51" s="83" t="s">
        <v>100</v>
      </c>
      <c r="M51" s="83" t="s">
        <v>95</v>
      </c>
      <c r="N51" s="83" t="s">
        <v>398</v>
      </c>
      <c r="O51" s="247">
        <f t="shared" si="2"/>
        <v>0.375</v>
      </c>
      <c r="P51" s="102"/>
      <c r="Q51" s="248" t="str">
        <f t="shared" si="3"/>
        <v/>
      </c>
      <c r="R51" s="83" t="str">
        <f ca="1">IF($A51="","",IF(TODAY()-$C51&lt;90,"Not Yet 90D",IF(COUNTIF('09_Attrition_Tracker'!$B:$B,$B51)&gt;0,"No","Yes")))</f>
        <v>Yes</v>
      </c>
      <c r="S51" s="103" t="str">
        <f>IFERROR(VLOOKUP($B51,'03_Employee_Master'!$A:$C,3,FALSE),"")</f>
        <v>Credit Evaluation</v>
      </c>
    </row>
    <row r="52" spans="1:19">
      <c r="A52" s="100" t="s">
        <v>2343</v>
      </c>
      <c r="B52" s="101" t="s">
        <v>637</v>
      </c>
      <c r="C52" s="102">
        <v>44612</v>
      </c>
      <c r="D52" s="101" t="s">
        <v>421</v>
      </c>
      <c r="E52" s="101" t="s">
        <v>479</v>
      </c>
      <c r="F52" s="83" t="s">
        <v>95</v>
      </c>
      <c r="G52" s="83" t="s">
        <v>95</v>
      </c>
      <c r="H52" s="83" t="s">
        <v>95</v>
      </c>
      <c r="I52" s="83" t="s">
        <v>95</v>
      </c>
      <c r="J52" s="83" t="s">
        <v>95</v>
      </c>
      <c r="K52" s="83" t="s">
        <v>95</v>
      </c>
      <c r="L52" s="83" t="s">
        <v>95</v>
      </c>
      <c r="M52" s="83" t="s">
        <v>95</v>
      </c>
      <c r="N52" s="83" t="s">
        <v>288</v>
      </c>
      <c r="O52" s="247">
        <f t="shared" si="2"/>
        <v>1</v>
      </c>
      <c r="P52" s="102">
        <v>44696</v>
      </c>
      <c r="Q52" s="248">
        <f t="shared" si="3"/>
        <v>84</v>
      </c>
      <c r="R52" s="83" t="str">
        <f ca="1">IF($A52="","",IF(TODAY()-$C52&lt;90,"Not Yet 90D",IF(COUNTIF('09_Attrition_Tracker'!$B:$B,$B52)&gt;0,"No","Yes")))</f>
        <v>Yes</v>
      </c>
      <c r="S52" s="103" t="str">
        <f>IFERROR(VLOOKUP($B52,'03_Employee_Master'!$A:$C,3,FALSE),"")</f>
        <v>Customer Service</v>
      </c>
    </row>
    <row r="53" spans="1:19">
      <c r="A53" s="100" t="s">
        <v>2344</v>
      </c>
      <c r="B53" s="101" t="s">
        <v>693</v>
      </c>
      <c r="C53" s="102">
        <v>45353</v>
      </c>
      <c r="D53" s="101" t="s">
        <v>379</v>
      </c>
      <c r="E53" s="101" t="s">
        <v>457</v>
      </c>
      <c r="F53" s="83" t="s">
        <v>95</v>
      </c>
      <c r="G53" s="83" t="s">
        <v>95</v>
      </c>
      <c r="H53" s="83" t="s">
        <v>95</v>
      </c>
      <c r="I53" s="83" t="s">
        <v>95</v>
      </c>
      <c r="J53" s="83" t="s">
        <v>95</v>
      </c>
      <c r="K53" s="83" t="s">
        <v>95</v>
      </c>
      <c r="L53" s="83" t="s">
        <v>95</v>
      </c>
      <c r="M53" s="83" t="s">
        <v>95</v>
      </c>
      <c r="N53" s="83" t="s">
        <v>288</v>
      </c>
      <c r="O53" s="247">
        <f t="shared" si="2"/>
        <v>1</v>
      </c>
      <c r="P53" s="102">
        <v>45385</v>
      </c>
      <c r="Q53" s="248">
        <f t="shared" si="3"/>
        <v>32</v>
      </c>
      <c r="R53" s="83" t="str">
        <f ca="1">IF($A53="","",IF(TODAY()-$C53&lt;90,"Not Yet 90D",IF(COUNTIF('09_Attrition_Tracker'!$B:$B,$B53)&gt;0,"No","Yes")))</f>
        <v>Yes</v>
      </c>
      <c r="S53" s="103" t="str">
        <f>IFERROR(VLOOKUP($B53,'03_Employee_Master'!$A:$C,3,FALSE),"")</f>
        <v>Credit Evaluation</v>
      </c>
    </row>
    <row r="54" spans="1:19">
      <c r="A54" s="100" t="s">
        <v>2345</v>
      </c>
      <c r="B54" s="101" t="s">
        <v>641</v>
      </c>
      <c r="C54" s="102">
        <v>44585</v>
      </c>
      <c r="D54" s="101" t="s">
        <v>104</v>
      </c>
      <c r="E54" s="101" t="s">
        <v>474</v>
      </c>
      <c r="F54" s="83" t="s">
        <v>95</v>
      </c>
      <c r="G54" s="83" t="s">
        <v>95</v>
      </c>
      <c r="H54" s="83" t="s">
        <v>95</v>
      </c>
      <c r="I54" s="83" t="s">
        <v>95</v>
      </c>
      <c r="J54" s="83" t="s">
        <v>95</v>
      </c>
      <c r="K54" s="83" t="s">
        <v>95</v>
      </c>
      <c r="L54" s="83" t="s">
        <v>95</v>
      </c>
      <c r="M54" s="83" t="s">
        <v>95</v>
      </c>
      <c r="N54" s="83" t="s">
        <v>288</v>
      </c>
      <c r="O54" s="247">
        <f t="shared" si="2"/>
        <v>1</v>
      </c>
      <c r="P54" s="102">
        <v>44651</v>
      </c>
      <c r="Q54" s="248">
        <f t="shared" si="3"/>
        <v>66</v>
      </c>
      <c r="R54" s="83" t="str">
        <f ca="1">IF($A54="","",IF(TODAY()-$C54&lt;90,"Not Yet 90D",IF(COUNTIF('09_Attrition_Tracker'!$B:$B,$B54)&gt;0,"No","Yes")))</f>
        <v>Yes</v>
      </c>
      <c r="S54" s="103" t="str">
        <f>IFERROR(VLOOKUP($B54,'03_Employee_Master'!$A:$C,3,FALSE),"")</f>
        <v>Compliance</v>
      </c>
    </row>
    <row r="55" spans="1:19">
      <c r="A55" s="100" t="s">
        <v>2346</v>
      </c>
      <c r="B55" s="101" t="s">
        <v>822</v>
      </c>
      <c r="C55" s="102">
        <v>46076</v>
      </c>
      <c r="D55" s="101" t="s">
        <v>37</v>
      </c>
      <c r="E55" s="101" t="s">
        <v>260</v>
      </c>
      <c r="F55" s="83" t="s">
        <v>100</v>
      </c>
      <c r="G55" s="83" t="s">
        <v>95</v>
      </c>
      <c r="H55" s="83" t="s">
        <v>95</v>
      </c>
      <c r="I55" s="83" t="s">
        <v>100</v>
      </c>
      <c r="J55" s="83" t="s">
        <v>95</v>
      </c>
      <c r="K55" s="83" t="s">
        <v>100</v>
      </c>
      <c r="L55" s="83" t="s">
        <v>100</v>
      </c>
      <c r="M55" s="83" t="s">
        <v>95</v>
      </c>
      <c r="N55" s="83" t="s">
        <v>2309</v>
      </c>
      <c r="O55" s="247">
        <f t="shared" si="2"/>
        <v>0.5</v>
      </c>
      <c r="P55" s="102"/>
      <c r="Q55" s="248" t="str">
        <f t="shared" si="3"/>
        <v/>
      </c>
      <c r="R55" s="83" t="str">
        <f ca="1">IF($A55="","",IF(TODAY()-$C55&lt;90,"Not Yet 90D",IF(COUNTIF('09_Attrition_Tracker'!$B:$B,$B55)&gt;0,"No","Yes")))</f>
        <v>Not Yet 90D</v>
      </c>
      <c r="S55" s="103" t="str">
        <f>IFERROR(VLOOKUP($B55,'03_Employee_Master'!$A:$C,3,FALSE),"")</f>
        <v>Finance</v>
      </c>
    </row>
    <row r="56" spans="1:19">
      <c r="A56" s="100" t="s">
        <v>2347</v>
      </c>
      <c r="B56" s="101" t="s">
        <v>874</v>
      </c>
      <c r="C56" s="102">
        <v>44593</v>
      </c>
      <c r="D56" s="101" t="s">
        <v>371</v>
      </c>
      <c r="E56" s="101" t="s">
        <v>463</v>
      </c>
      <c r="F56" s="83" t="s">
        <v>95</v>
      </c>
      <c r="G56" s="83" t="s">
        <v>100</v>
      </c>
      <c r="H56" s="83" t="s">
        <v>95</v>
      </c>
      <c r="I56" s="83" t="s">
        <v>95</v>
      </c>
      <c r="J56" s="83" t="s">
        <v>100</v>
      </c>
      <c r="K56" s="83" t="s">
        <v>100</v>
      </c>
      <c r="L56" s="83" t="s">
        <v>95</v>
      </c>
      <c r="M56" s="83" t="s">
        <v>95</v>
      </c>
      <c r="N56" s="83" t="s">
        <v>2309</v>
      </c>
      <c r="O56" s="247">
        <f t="shared" si="2"/>
        <v>0.625</v>
      </c>
      <c r="P56" s="102"/>
      <c r="Q56" s="248" t="str">
        <f t="shared" si="3"/>
        <v/>
      </c>
      <c r="R56" s="83" t="str">
        <f ca="1">IF($A56="","",IF(TODAY()-$C56&lt;90,"Not Yet 90D",IF(COUNTIF('09_Attrition_Tracker'!$B:$B,$B56)&gt;0,"No","Yes")))</f>
        <v>Yes</v>
      </c>
      <c r="S56" s="103" t="str">
        <f>IFERROR(VLOOKUP($B56,'03_Employee_Master'!$A:$C,3,FALSE),"")</f>
        <v>Collections</v>
      </c>
    </row>
    <row r="57" spans="1:19">
      <c r="A57" s="100" t="s">
        <v>2348</v>
      </c>
      <c r="B57" s="101" t="s">
        <v>782</v>
      </c>
      <c r="C57" s="102">
        <v>45101</v>
      </c>
      <c r="D57" s="101" t="s">
        <v>104</v>
      </c>
      <c r="E57" s="101" t="s">
        <v>113</v>
      </c>
      <c r="F57" s="83" t="s">
        <v>95</v>
      </c>
      <c r="G57" s="83" t="s">
        <v>95</v>
      </c>
      <c r="H57" s="83" t="s">
        <v>95</v>
      </c>
      <c r="I57" s="83" t="s">
        <v>95</v>
      </c>
      <c r="J57" s="83" t="s">
        <v>95</v>
      </c>
      <c r="K57" s="83" t="s">
        <v>95</v>
      </c>
      <c r="L57" s="83" t="s">
        <v>95</v>
      </c>
      <c r="M57" s="83" t="s">
        <v>95</v>
      </c>
      <c r="N57" s="83" t="s">
        <v>288</v>
      </c>
      <c r="O57" s="247">
        <f t="shared" si="2"/>
        <v>1</v>
      </c>
      <c r="P57" s="102">
        <v>45174</v>
      </c>
      <c r="Q57" s="248">
        <f t="shared" si="3"/>
        <v>73</v>
      </c>
      <c r="R57" s="83" t="str">
        <f ca="1">IF($A57="","",IF(TODAY()-$C57&lt;90,"Not Yet 90D",IF(COUNTIF('09_Attrition_Tracker'!$B:$B,$B57)&gt;0,"No","Yes")))</f>
        <v>Yes</v>
      </c>
      <c r="S57" s="103" t="str">
        <f>IFERROR(VLOOKUP($B57,'03_Employee_Master'!$A:$C,3,FALSE),"")</f>
        <v>Compliance</v>
      </c>
    </row>
    <row r="58" spans="1:19">
      <c r="A58" s="100" t="s">
        <v>2349</v>
      </c>
      <c r="B58" s="101" t="s">
        <v>442</v>
      </c>
      <c r="C58" s="102">
        <v>43603</v>
      </c>
      <c r="D58" s="101" t="s">
        <v>407</v>
      </c>
      <c r="E58" s="101" t="s">
        <v>445</v>
      </c>
      <c r="F58" s="83" t="s">
        <v>95</v>
      </c>
      <c r="G58" s="83" t="s">
        <v>95</v>
      </c>
      <c r="H58" s="83" t="s">
        <v>95</v>
      </c>
      <c r="I58" s="83" t="s">
        <v>95</v>
      </c>
      <c r="J58" s="83" t="s">
        <v>95</v>
      </c>
      <c r="K58" s="83" t="s">
        <v>95</v>
      </c>
      <c r="L58" s="83" t="s">
        <v>95</v>
      </c>
      <c r="M58" s="83" t="s">
        <v>95</v>
      </c>
      <c r="N58" s="83" t="s">
        <v>288</v>
      </c>
      <c r="O58" s="247">
        <f t="shared" si="2"/>
        <v>1</v>
      </c>
      <c r="P58" s="102">
        <v>43640</v>
      </c>
      <c r="Q58" s="248">
        <f t="shared" si="3"/>
        <v>37</v>
      </c>
      <c r="R58" s="83" t="str">
        <f ca="1">IF($A58="","",IF(TODAY()-$C58&lt;90,"Not Yet 90D",IF(COUNTIF('09_Attrition_Tracker'!$B:$B,$B58)&gt;0,"No","Yes")))</f>
        <v>Yes</v>
      </c>
      <c r="S58" s="103" t="str">
        <f>IFERROR(VLOOKUP($B58,'03_Employee_Master'!$A:$C,3,FALSE),"")</f>
        <v>Sales &amp; Marketing</v>
      </c>
    </row>
    <row r="59" spans="1:19">
      <c r="A59" s="100" t="s">
        <v>2350</v>
      </c>
      <c r="B59" s="101" t="s">
        <v>542</v>
      </c>
      <c r="C59" s="102">
        <v>45094</v>
      </c>
      <c r="D59" s="101" t="s">
        <v>379</v>
      </c>
      <c r="E59" s="101" t="s">
        <v>545</v>
      </c>
      <c r="F59" s="83" t="s">
        <v>95</v>
      </c>
      <c r="G59" s="83" t="s">
        <v>95</v>
      </c>
      <c r="H59" s="83" t="s">
        <v>95</v>
      </c>
      <c r="I59" s="83" t="s">
        <v>95</v>
      </c>
      <c r="J59" s="83" t="s">
        <v>95</v>
      </c>
      <c r="K59" s="83" t="s">
        <v>95</v>
      </c>
      <c r="L59" s="83" t="s">
        <v>95</v>
      </c>
      <c r="M59" s="83" t="s">
        <v>95</v>
      </c>
      <c r="N59" s="83" t="s">
        <v>288</v>
      </c>
      <c r="O59" s="247">
        <f t="shared" si="2"/>
        <v>1</v>
      </c>
      <c r="P59" s="102">
        <v>45166</v>
      </c>
      <c r="Q59" s="248">
        <f t="shared" si="3"/>
        <v>72</v>
      </c>
      <c r="R59" s="83" t="str">
        <f ca="1">IF($A59="","",IF(TODAY()-$C59&lt;90,"Not Yet 90D",IF(COUNTIF('09_Attrition_Tracker'!$B:$B,$B59)&gt;0,"No","Yes")))</f>
        <v>Yes</v>
      </c>
      <c r="S59" s="103" t="str">
        <f>IFERROR(VLOOKUP($B59,'03_Employee_Master'!$A:$C,3,FALSE),"")</f>
        <v>Credit Evaluation</v>
      </c>
    </row>
    <row r="60" spans="1:19">
      <c r="A60" s="100" t="s">
        <v>2351</v>
      </c>
      <c r="B60" s="101" t="s">
        <v>832</v>
      </c>
      <c r="C60" s="102">
        <v>44162</v>
      </c>
      <c r="D60" s="101" t="s">
        <v>37</v>
      </c>
      <c r="E60" s="101" t="s">
        <v>260</v>
      </c>
      <c r="F60" s="83" t="s">
        <v>95</v>
      </c>
      <c r="G60" s="83" t="s">
        <v>100</v>
      </c>
      <c r="H60" s="83" t="s">
        <v>95</v>
      </c>
      <c r="I60" s="83" t="s">
        <v>95</v>
      </c>
      <c r="J60" s="83" t="s">
        <v>95</v>
      </c>
      <c r="K60" s="83" t="s">
        <v>95</v>
      </c>
      <c r="L60" s="83" t="s">
        <v>95</v>
      </c>
      <c r="M60" s="83" t="s">
        <v>95</v>
      </c>
      <c r="N60" s="83" t="s">
        <v>2309</v>
      </c>
      <c r="O60" s="247">
        <f t="shared" si="2"/>
        <v>0.875</v>
      </c>
      <c r="P60" s="102"/>
      <c r="Q60" s="248" t="str">
        <f t="shared" si="3"/>
        <v/>
      </c>
      <c r="R60" s="83" t="str">
        <f ca="1">IF($A60="","",IF(TODAY()-$C60&lt;90,"Not Yet 90D",IF(COUNTIF('09_Attrition_Tracker'!$B:$B,$B60)&gt;0,"No","Yes")))</f>
        <v>Yes</v>
      </c>
      <c r="S60" s="103" t="str">
        <f>IFERROR(VLOOKUP($B60,'03_Employee_Master'!$A:$C,3,FALSE),"")</f>
        <v>Finance</v>
      </c>
    </row>
    <row r="61" spans="1:19">
      <c r="A61" s="100" t="s">
        <v>2352</v>
      </c>
      <c r="B61" s="101" t="s">
        <v>589</v>
      </c>
      <c r="C61" s="102">
        <v>43915</v>
      </c>
      <c r="D61" s="101" t="s">
        <v>371</v>
      </c>
      <c r="E61" s="101" t="s">
        <v>506</v>
      </c>
      <c r="F61" s="83" t="s">
        <v>95</v>
      </c>
      <c r="G61" s="83" t="s">
        <v>95</v>
      </c>
      <c r="H61" s="83" t="s">
        <v>95</v>
      </c>
      <c r="I61" s="83" t="s">
        <v>95</v>
      </c>
      <c r="J61" s="83" t="s">
        <v>95</v>
      </c>
      <c r="K61" s="83" t="s">
        <v>95</v>
      </c>
      <c r="L61" s="83" t="s">
        <v>95</v>
      </c>
      <c r="M61" s="83" t="s">
        <v>95</v>
      </c>
      <c r="N61" s="83" t="s">
        <v>288</v>
      </c>
      <c r="O61" s="247">
        <f t="shared" si="2"/>
        <v>1</v>
      </c>
      <c r="P61" s="102">
        <v>43975</v>
      </c>
      <c r="Q61" s="248">
        <f t="shared" si="3"/>
        <v>60</v>
      </c>
      <c r="R61" s="83" t="str">
        <f ca="1">IF($A61="","",IF(TODAY()-$C61&lt;90,"Not Yet 90D",IF(COUNTIF('09_Attrition_Tracker'!$B:$B,$B61)&gt;0,"No","Yes")))</f>
        <v>Yes</v>
      </c>
      <c r="S61" s="103" t="str">
        <f>IFERROR(VLOOKUP($B61,'03_Employee_Master'!$A:$C,3,FALSE),"")</f>
        <v>Collections</v>
      </c>
    </row>
    <row r="62" spans="1:19">
      <c r="A62" s="100" t="s">
        <v>2353</v>
      </c>
      <c r="B62" s="101" t="s">
        <v>591</v>
      </c>
      <c r="C62" s="102">
        <v>43200</v>
      </c>
      <c r="D62" s="101" t="s">
        <v>104</v>
      </c>
      <c r="E62" s="101" t="s">
        <v>113</v>
      </c>
      <c r="F62" s="83" t="s">
        <v>95</v>
      </c>
      <c r="G62" s="83" t="s">
        <v>95</v>
      </c>
      <c r="H62" s="83" t="s">
        <v>95</v>
      </c>
      <c r="I62" s="83" t="s">
        <v>95</v>
      </c>
      <c r="J62" s="83" t="s">
        <v>95</v>
      </c>
      <c r="K62" s="83" t="s">
        <v>95</v>
      </c>
      <c r="L62" s="83" t="s">
        <v>95</v>
      </c>
      <c r="M62" s="83" t="s">
        <v>95</v>
      </c>
      <c r="N62" s="83" t="s">
        <v>288</v>
      </c>
      <c r="O62" s="247">
        <f t="shared" si="2"/>
        <v>1</v>
      </c>
      <c r="P62" s="102">
        <v>43241</v>
      </c>
      <c r="Q62" s="248">
        <f t="shared" si="3"/>
        <v>41</v>
      </c>
      <c r="R62" s="83" t="str">
        <f ca="1">IF($A62="","",IF(TODAY()-$C62&lt;90,"Not Yet 90D",IF(COUNTIF('09_Attrition_Tracker'!$B:$B,$B62)&gt;0,"No","Yes")))</f>
        <v>Yes</v>
      </c>
      <c r="S62" s="103" t="str">
        <f>IFERROR(VLOOKUP($B62,'03_Employee_Master'!$A:$C,3,FALSE),"")</f>
        <v>Compliance</v>
      </c>
    </row>
    <row r="63" spans="1:19">
      <c r="A63" s="100" t="s">
        <v>2354</v>
      </c>
      <c r="B63" s="101" t="s">
        <v>718</v>
      </c>
      <c r="C63" s="102">
        <v>43233</v>
      </c>
      <c r="D63" s="101" t="s">
        <v>176</v>
      </c>
      <c r="E63" s="101" t="s">
        <v>178</v>
      </c>
      <c r="F63" s="83" t="s">
        <v>95</v>
      </c>
      <c r="G63" s="83" t="s">
        <v>95</v>
      </c>
      <c r="H63" s="83" t="s">
        <v>95</v>
      </c>
      <c r="I63" s="83" t="s">
        <v>95</v>
      </c>
      <c r="J63" s="83" t="s">
        <v>95</v>
      </c>
      <c r="K63" s="83" t="s">
        <v>95</v>
      </c>
      <c r="L63" s="83" t="s">
        <v>95</v>
      </c>
      <c r="M63" s="83" t="s">
        <v>95</v>
      </c>
      <c r="N63" s="83" t="s">
        <v>288</v>
      </c>
      <c r="O63" s="247">
        <f t="shared" si="2"/>
        <v>1</v>
      </c>
      <c r="P63" s="102">
        <v>43303</v>
      </c>
      <c r="Q63" s="248">
        <f t="shared" si="3"/>
        <v>70</v>
      </c>
      <c r="R63" s="83" t="str">
        <f ca="1">IF($A63="","",IF(TODAY()-$C63&lt;90,"Not Yet 90D",IF(COUNTIF('09_Attrition_Tracker'!$B:$B,$B63)&gt;0,"No","Yes")))</f>
        <v>Yes</v>
      </c>
      <c r="S63" s="103" t="str">
        <f>IFERROR(VLOOKUP($B63,'03_Employee_Master'!$A:$C,3,FALSE),"")</f>
        <v>Loan Processing</v>
      </c>
    </row>
    <row r="64" spans="1:19">
      <c r="A64" s="100" t="s">
        <v>2355</v>
      </c>
      <c r="B64" s="101" t="s">
        <v>849</v>
      </c>
      <c r="C64" s="102">
        <v>46068</v>
      </c>
      <c r="D64" s="101" t="s">
        <v>176</v>
      </c>
      <c r="E64" s="101" t="s">
        <v>653</v>
      </c>
      <c r="F64" s="83" t="s">
        <v>100</v>
      </c>
      <c r="G64" s="83" t="s">
        <v>95</v>
      </c>
      <c r="H64" s="83" t="s">
        <v>95</v>
      </c>
      <c r="I64" s="83" t="s">
        <v>95</v>
      </c>
      <c r="J64" s="83" t="s">
        <v>100</v>
      </c>
      <c r="K64" s="83" t="s">
        <v>100</v>
      </c>
      <c r="L64" s="83" t="s">
        <v>100</v>
      </c>
      <c r="M64" s="83" t="s">
        <v>95</v>
      </c>
      <c r="N64" s="83" t="s">
        <v>2309</v>
      </c>
      <c r="O64" s="247">
        <f t="shared" si="2"/>
        <v>0.5</v>
      </c>
      <c r="P64" s="102"/>
      <c r="Q64" s="248" t="str">
        <f t="shared" si="3"/>
        <v/>
      </c>
      <c r="R64" s="83" t="str">
        <f ca="1">IF($A64="","",IF(TODAY()-$C64&lt;90,"Not Yet 90D",IF(COUNTIF('09_Attrition_Tracker'!$B:$B,$B64)&gt;0,"No","Yes")))</f>
        <v>Not Yet 90D</v>
      </c>
      <c r="S64" s="103" t="str">
        <f>IFERROR(VLOOKUP($B64,'03_Employee_Master'!$A:$C,3,FALSE),"")</f>
        <v>Loan Processing</v>
      </c>
    </row>
    <row r="65" spans="1:19">
      <c r="A65" s="100" t="s">
        <v>2356</v>
      </c>
      <c r="B65" s="101" t="s">
        <v>881</v>
      </c>
      <c r="C65" s="102">
        <v>43655</v>
      </c>
      <c r="D65" s="101" t="s">
        <v>176</v>
      </c>
      <c r="E65" s="101" t="s">
        <v>578</v>
      </c>
      <c r="F65" s="83" t="s">
        <v>100</v>
      </c>
      <c r="G65" s="83" t="s">
        <v>95</v>
      </c>
      <c r="H65" s="83" t="s">
        <v>95</v>
      </c>
      <c r="I65" s="83" t="s">
        <v>95</v>
      </c>
      <c r="J65" s="83" t="s">
        <v>100</v>
      </c>
      <c r="K65" s="83" t="s">
        <v>95</v>
      </c>
      <c r="L65" s="83" t="s">
        <v>95</v>
      </c>
      <c r="M65" s="83" t="s">
        <v>100</v>
      </c>
      <c r="N65" s="83" t="s">
        <v>2309</v>
      </c>
      <c r="O65" s="247">
        <f t="shared" si="2"/>
        <v>0.625</v>
      </c>
      <c r="P65" s="102"/>
      <c r="Q65" s="248" t="str">
        <f t="shared" si="3"/>
        <v/>
      </c>
      <c r="R65" s="83" t="str">
        <f ca="1">IF($A65="","",IF(TODAY()-$C65&lt;90,"Not Yet 90D",IF(COUNTIF('09_Attrition_Tracker'!$B:$B,$B65)&gt;0,"No","Yes")))</f>
        <v>Yes</v>
      </c>
      <c r="S65" s="103" t="str">
        <f>IFERROR(VLOOKUP($B65,'03_Employee_Master'!$A:$C,3,FALSE),"")</f>
        <v>Loan Processing</v>
      </c>
    </row>
    <row r="66" spans="1:19">
      <c r="A66" s="100" t="s">
        <v>2357</v>
      </c>
      <c r="B66" s="101" t="s">
        <v>731</v>
      </c>
      <c r="C66" s="102">
        <v>42943</v>
      </c>
      <c r="D66" s="101" t="s">
        <v>416</v>
      </c>
      <c r="E66" s="101" t="s">
        <v>558</v>
      </c>
      <c r="F66" s="83" t="s">
        <v>95</v>
      </c>
      <c r="G66" s="83" t="s">
        <v>95</v>
      </c>
      <c r="H66" s="83" t="s">
        <v>95</v>
      </c>
      <c r="I66" s="83" t="s">
        <v>95</v>
      </c>
      <c r="J66" s="83" t="s">
        <v>95</v>
      </c>
      <c r="K66" s="83" t="s">
        <v>95</v>
      </c>
      <c r="L66" s="83" t="s">
        <v>95</v>
      </c>
      <c r="M66" s="83" t="s">
        <v>95</v>
      </c>
      <c r="N66" s="83" t="s">
        <v>288</v>
      </c>
      <c r="O66" s="247">
        <f t="shared" si="2"/>
        <v>1</v>
      </c>
      <c r="P66" s="102">
        <v>42989</v>
      </c>
      <c r="Q66" s="248">
        <f t="shared" si="3"/>
        <v>46</v>
      </c>
      <c r="R66" s="83" t="str">
        <f ca="1">IF($A66="","",IF(TODAY()-$C66&lt;90,"Not Yet 90D",IF(COUNTIF('09_Attrition_Tracker'!$B:$B,$B66)&gt;0,"No","Yes")))</f>
        <v>Yes</v>
      </c>
      <c r="S66" s="103" t="str">
        <f>IFERROR(VLOOKUP($B66,'03_Employee_Master'!$A:$C,3,FALSE),"")</f>
        <v>Information Technology</v>
      </c>
    </row>
    <row r="67" spans="1:19">
      <c r="A67" s="100" t="s">
        <v>2358</v>
      </c>
      <c r="B67" s="101" t="s">
        <v>866</v>
      </c>
      <c r="C67" s="102">
        <v>44494</v>
      </c>
      <c r="D67" s="101" t="s">
        <v>421</v>
      </c>
      <c r="E67" s="101" t="s">
        <v>608</v>
      </c>
      <c r="F67" s="83" t="s">
        <v>95</v>
      </c>
      <c r="G67" s="83" t="s">
        <v>95</v>
      </c>
      <c r="H67" s="83" t="s">
        <v>95</v>
      </c>
      <c r="I67" s="83" t="s">
        <v>95</v>
      </c>
      <c r="J67" s="83" t="s">
        <v>95</v>
      </c>
      <c r="K67" s="83" t="s">
        <v>95</v>
      </c>
      <c r="L67" s="83" t="s">
        <v>95</v>
      </c>
      <c r="M67" s="83" t="s">
        <v>100</v>
      </c>
      <c r="N67" s="83" t="s">
        <v>2309</v>
      </c>
      <c r="O67" s="247">
        <f t="shared" si="2"/>
        <v>0.875</v>
      </c>
      <c r="P67" s="102"/>
      <c r="Q67" s="248" t="str">
        <f t="shared" si="3"/>
        <v/>
      </c>
      <c r="R67" s="83" t="str">
        <f ca="1">IF($A67="","",IF(TODAY()-$C67&lt;90,"Not Yet 90D",IF(COUNTIF('09_Attrition_Tracker'!$B:$B,$B67)&gt;0,"No","Yes")))</f>
        <v>Yes</v>
      </c>
      <c r="S67" s="103" t="str">
        <f>IFERROR(VLOOKUP($B67,'03_Employee_Master'!$A:$C,3,FALSE),"")</f>
        <v>Customer Service</v>
      </c>
    </row>
    <row r="68" spans="1:19">
      <c r="A68" s="100" t="s">
        <v>2359</v>
      </c>
      <c r="B68" s="101" t="s">
        <v>674</v>
      </c>
      <c r="C68" s="102">
        <v>43159</v>
      </c>
      <c r="D68" s="101" t="s">
        <v>104</v>
      </c>
      <c r="E68" s="101" t="s">
        <v>496</v>
      </c>
      <c r="F68" s="83" t="s">
        <v>95</v>
      </c>
      <c r="G68" s="83" t="s">
        <v>95</v>
      </c>
      <c r="H68" s="83" t="s">
        <v>95</v>
      </c>
      <c r="I68" s="83" t="s">
        <v>95</v>
      </c>
      <c r="J68" s="83" t="s">
        <v>95</v>
      </c>
      <c r="K68" s="83" t="s">
        <v>95</v>
      </c>
      <c r="L68" s="83" t="s">
        <v>95</v>
      </c>
      <c r="M68" s="83" t="s">
        <v>95</v>
      </c>
      <c r="N68" s="83" t="s">
        <v>288</v>
      </c>
      <c r="O68" s="247">
        <f t="shared" ref="O68:O83" si="4">IF($A68="","",COUNTIF($F68:$M68,"Yes")/8)</f>
        <v>1</v>
      </c>
      <c r="P68" s="102">
        <v>43221</v>
      </c>
      <c r="Q68" s="248">
        <f t="shared" si="3"/>
        <v>62</v>
      </c>
      <c r="R68" s="83" t="str">
        <f ca="1">IF($A68="","",IF(TODAY()-$C68&lt;90,"Not Yet 90D",IF(COUNTIF('09_Attrition_Tracker'!$B:$B,$B68)&gt;0,"No","Yes")))</f>
        <v>Yes</v>
      </c>
      <c r="S68" s="103" t="str">
        <f>IFERROR(VLOOKUP($B68,'03_Employee_Master'!$A:$C,3,FALSE),"")</f>
        <v>Compliance</v>
      </c>
    </row>
    <row r="69" spans="1:19">
      <c r="A69" s="100" t="s">
        <v>2360</v>
      </c>
      <c r="B69" s="101" t="s">
        <v>748</v>
      </c>
      <c r="C69" s="102">
        <v>44973</v>
      </c>
      <c r="D69" s="101" t="s">
        <v>37</v>
      </c>
      <c r="E69" s="101" t="s">
        <v>537</v>
      </c>
      <c r="F69" s="83" t="s">
        <v>95</v>
      </c>
      <c r="G69" s="83" t="s">
        <v>95</v>
      </c>
      <c r="H69" s="83" t="s">
        <v>95</v>
      </c>
      <c r="I69" s="83" t="s">
        <v>95</v>
      </c>
      <c r="J69" s="83" t="s">
        <v>95</v>
      </c>
      <c r="K69" s="83" t="s">
        <v>95</v>
      </c>
      <c r="L69" s="83" t="s">
        <v>95</v>
      </c>
      <c r="M69" s="83" t="s">
        <v>95</v>
      </c>
      <c r="N69" s="83" t="s">
        <v>288</v>
      </c>
      <c r="O69" s="247">
        <f t="shared" si="4"/>
        <v>1</v>
      </c>
      <c r="P69" s="102">
        <v>45009</v>
      </c>
      <c r="Q69" s="248">
        <f t="shared" ref="Q69:Q83" si="5">IF($P69="","",MAX(0,$P69-$C69))</f>
        <v>36</v>
      </c>
      <c r="R69" s="83" t="str">
        <f ca="1">IF($A69="","",IF(TODAY()-$C69&lt;90,"Not Yet 90D",IF(COUNTIF('09_Attrition_Tracker'!$B:$B,$B69)&gt;0,"No","Yes")))</f>
        <v>Yes</v>
      </c>
      <c r="S69" s="103" t="str">
        <f>IFERROR(VLOOKUP($B69,'03_Employee_Master'!$A:$C,3,FALSE),"")</f>
        <v>Finance</v>
      </c>
    </row>
    <row r="70" spans="1:19">
      <c r="A70" s="100" t="s">
        <v>2361</v>
      </c>
      <c r="B70" s="101" t="s">
        <v>746</v>
      </c>
      <c r="C70" s="102">
        <v>45749</v>
      </c>
      <c r="D70" s="101" t="s">
        <v>271</v>
      </c>
      <c r="E70" s="101" t="s">
        <v>20</v>
      </c>
      <c r="F70" s="83" t="s">
        <v>95</v>
      </c>
      <c r="G70" s="83" t="s">
        <v>95</v>
      </c>
      <c r="H70" s="83" t="s">
        <v>95</v>
      </c>
      <c r="I70" s="83" t="s">
        <v>95</v>
      </c>
      <c r="J70" s="83" t="s">
        <v>95</v>
      </c>
      <c r="K70" s="83" t="s">
        <v>95</v>
      </c>
      <c r="L70" s="83" t="s">
        <v>95</v>
      </c>
      <c r="M70" s="83" t="s">
        <v>95</v>
      </c>
      <c r="N70" s="83" t="s">
        <v>288</v>
      </c>
      <c r="O70" s="247">
        <f t="shared" si="4"/>
        <v>1</v>
      </c>
      <c r="P70" s="102">
        <v>45805</v>
      </c>
      <c r="Q70" s="248">
        <f t="shared" si="5"/>
        <v>56</v>
      </c>
      <c r="R70" s="83" t="str">
        <f ca="1">IF($A70="","",IF(TODAY()-$C70&lt;90,"Not Yet 90D",IF(COUNTIF('09_Attrition_Tracker'!$B:$B,$B70)&gt;0,"No","Yes")))</f>
        <v>Yes</v>
      </c>
      <c r="S70" s="103" t="str">
        <f>IFERROR(VLOOKUP($B70,'03_Employee_Master'!$A:$C,3,FALSE),"")</f>
        <v>Human Resources</v>
      </c>
    </row>
    <row r="71" spans="1:19">
      <c r="A71" s="100" t="s">
        <v>2362</v>
      </c>
      <c r="B71" s="101" t="s">
        <v>644</v>
      </c>
      <c r="C71" s="102">
        <v>45138</v>
      </c>
      <c r="D71" s="101" t="s">
        <v>37</v>
      </c>
      <c r="E71" s="101" t="s">
        <v>537</v>
      </c>
      <c r="F71" s="83" t="s">
        <v>95</v>
      </c>
      <c r="G71" s="83" t="s">
        <v>95</v>
      </c>
      <c r="H71" s="83" t="s">
        <v>95</v>
      </c>
      <c r="I71" s="83" t="s">
        <v>95</v>
      </c>
      <c r="J71" s="83" t="s">
        <v>95</v>
      </c>
      <c r="K71" s="83" t="s">
        <v>95</v>
      </c>
      <c r="L71" s="83" t="s">
        <v>95</v>
      </c>
      <c r="M71" s="83" t="s">
        <v>95</v>
      </c>
      <c r="N71" s="83" t="s">
        <v>288</v>
      </c>
      <c r="O71" s="247">
        <f t="shared" si="4"/>
        <v>1</v>
      </c>
      <c r="P71" s="102">
        <v>45223</v>
      </c>
      <c r="Q71" s="248">
        <f t="shared" si="5"/>
        <v>85</v>
      </c>
      <c r="R71" s="83" t="str">
        <f ca="1">IF($A71="","",IF(TODAY()-$C71&lt;90,"Not Yet 90D",IF(COUNTIF('09_Attrition_Tracker'!$B:$B,$B71)&gt;0,"No","Yes")))</f>
        <v>Yes</v>
      </c>
      <c r="S71" s="103" t="str">
        <f>IFERROR(VLOOKUP($B71,'03_Employee_Master'!$A:$C,3,FALSE),"")</f>
        <v>Finance</v>
      </c>
    </row>
    <row r="72" spans="1:19">
      <c r="A72" s="100" t="s">
        <v>2363</v>
      </c>
      <c r="B72" s="101" t="s">
        <v>909</v>
      </c>
      <c r="C72" s="102">
        <v>45672</v>
      </c>
      <c r="D72" s="101" t="s">
        <v>421</v>
      </c>
      <c r="E72" s="101" t="s">
        <v>479</v>
      </c>
      <c r="F72" s="83" t="s">
        <v>95</v>
      </c>
      <c r="G72" s="83" t="s">
        <v>95</v>
      </c>
      <c r="H72" s="83" t="s">
        <v>95</v>
      </c>
      <c r="I72" s="83" t="s">
        <v>95</v>
      </c>
      <c r="J72" s="83" t="s">
        <v>95</v>
      </c>
      <c r="K72" s="83" t="s">
        <v>95</v>
      </c>
      <c r="L72" s="83" t="s">
        <v>95</v>
      </c>
      <c r="M72" s="83" t="s">
        <v>95</v>
      </c>
      <c r="N72" s="83" t="s">
        <v>288</v>
      </c>
      <c r="O72" s="247">
        <f t="shared" si="4"/>
        <v>1</v>
      </c>
      <c r="P72" s="102">
        <v>45735</v>
      </c>
      <c r="Q72" s="248">
        <f t="shared" si="5"/>
        <v>63</v>
      </c>
      <c r="R72" s="83" t="str">
        <f ca="1">IF($A72="","",IF(TODAY()-$C72&lt;90,"Not Yet 90D",IF(COUNTIF('09_Attrition_Tracker'!$B:$B,$B72)&gt;0,"No","Yes")))</f>
        <v>Yes</v>
      </c>
      <c r="S72" s="103" t="str">
        <f>IFERROR(VLOOKUP($B72,'03_Employee_Master'!$A:$C,3,FALSE),"")</f>
        <v>Customer Service</v>
      </c>
    </row>
    <row r="73" spans="1:19">
      <c r="A73" s="100" t="s">
        <v>2364</v>
      </c>
      <c r="B73" s="101" t="s">
        <v>918</v>
      </c>
      <c r="C73" s="102">
        <v>43577</v>
      </c>
      <c r="D73" s="101" t="s">
        <v>176</v>
      </c>
      <c r="E73" s="101" t="s">
        <v>578</v>
      </c>
      <c r="F73" s="83" t="s">
        <v>95</v>
      </c>
      <c r="G73" s="83" t="s">
        <v>95</v>
      </c>
      <c r="H73" s="83" t="s">
        <v>95</v>
      </c>
      <c r="I73" s="83" t="s">
        <v>95</v>
      </c>
      <c r="J73" s="83" t="s">
        <v>95</v>
      </c>
      <c r="K73" s="83" t="s">
        <v>95</v>
      </c>
      <c r="L73" s="83" t="s">
        <v>95</v>
      </c>
      <c r="M73" s="83" t="s">
        <v>95</v>
      </c>
      <c r="N73" s="83" t="s">
        <v>288</v>
      </c>
      <c r="O73" s="247">
        <f t="shared" si="4"/>
        <v>1</v>
      </c>
      <c r="P73" s="102">
        <v>43617</v>
      </c>
      <c r="Q73" s="248">
        <f t="shared" si="5"/>
        <v>40</v>
      </c>
      <c r="R73" s="83" t="str">
        <f ca="1">IF($A73="","",IF(TODAY()-$C73&lt;90,"Not Yet 90D",IF(COUNTIF('09_Attrition_Tracker'!$B:$B,$B73)&gt;0,"No","Yes")))</f>
        <v>Yes</v>
      </c>
      <c r="S73" s="103" t="str">
        <f>IFERROR(VLOOKUP($B73,'03_Employee_Master'!$A:$C,3,FALSE),"")</f>
        <v>Loan Processing</v>
      </c>
    </row>
    <row r="74" spans="1:19">
      <c r="A74" s="100" t="s">
        <v>2365</v>
      </c>
      <c r="B74" s="101" t="s">
        <v>611</v>
      </c>
      <c r="C74" s="102">
        <v>45078</v>
      </c>
      <c r="D74" s="101" t="s">
        <v>416</v>
      </c>
      <c r="E74" s="101" t="s">
        <v>558</v>
      </c>
      <c r="F74" s="83" t="s">
        <v>95</v>
      </c>
      <c r="G74" s="83" t="s">
        <v>95</v>
      </c>
      <c r="H74" s="83" t="s">
        <v>95</v>
      </c>
      <c r="I74" s="83" t="s">
        <v>95</v>
      </c>
      <c r="J74" s="83" t="s">
        <v>95</v>
      </c>
      <c r="K74" s="83" t="s">
        <v>95</v>
      </c>
      <c r="L74" s="83" t="s">
        <v>95</v>
      </c>
      <c r="M74" s="83" t="s">
        <v>95</v>
      </c>
      <c r="N74" s="83" t="s">
        <v>288</v>
      </c>
      <c r="O74" s="247">
        <f t="shared" si="4"/>
        <v>1</v>
      </c>
      <c r="P74" s="102">
        <v>45131</v>
      </c>
      <c r="Q74" s="248">
        <f t="shared" si="5"/>
        <v>53</v>
      </c>
      <c r="R74" s="83" t="str">
        <f ca="1">IF($A74="","",IF(TODAY()-$C74&lt;90,"Not Yet 90D",IF(COUNTIF('09_Attrition_Tracker'!$B:$B,$B74)&gt;0,"No","Yes")))</f>
        <v>Yes</v>
      </c>
      <c r="S74" s="103" t="str">
        <f>IFERROR(VLOOKUP($B74,'03_Employee_Master'!$A:$C,3,FALSE),"")</f>
        <v>Information Technology</v>
      </c>
    </row>
    <row r="75" spans="1:19">
      <c r="A75" s="100" t="s">
        <v>2366</v>
      </c>
      <c r="B75" s="101" t="s">
        <v>789</v>
      </c>
      <c r="C75" s="102">
        <v>44699</v>
      </c>
      <c r="D75" s="101" t="s">
        <v>379</v>
      </c>
      <c r="E75" s="101" t="s">
        <v>457</v>
      </c>
      <c r="F75" s="83" t="s">
        <v>95</v>
      </c>
      <c r="G75" s="83" t="s">
        <v>95</v>
      </c>
      <c r="H75" s="83" t="s">
        <v>95</v>
      </c>
      <c r="I75" s="83" t="s">
        <v>95</v>
      </c>
      <c r="J75" s="83" t="s">
        <v>95</v>
      </c>
      <c r="K75" s="83" t="s">
        <v>95</v>
      </c>
      <c r="L75" s="83" t="s">
        <v>95</v>
      </c>
      <c r="M75" s="83" t="s">
        <v>95</v>
      </c>
      <c r="N75" s="83" t="s">
        <v>288</v>
      </c>
      <c r="O75" s="247">
        <f t="shared" si="4"/>
        <v>1</v>
      </c>
      <c r="P75" s="102">
        <v>44757</v>
      </c>
      <c r="Q75" s="248">
        <f t="shared" si="5"/>
        <v>58</v>
      </c>
      <c r="R75" s="83" t="str">
        <f ca="1">IF($A75="","",IF(TODAY()-$C75&lt;90,"Not Yet 90D",IF(COUNTIF('09_Attrition_Tracker'!$B:$B,$B75)&gt;0,"No","Yes")))</f>
        <v>Yes</v>
      </c>
      <c r="S75" s="103" t="str">
        <f>IFERROR(VLOOKUP($B75,'03_Employee_Master'!$A:$C,3,FALSE),"")</f>
        <v>Credit Evaluation</v>
      </c>
    </row>
    <row r="76" spans="1:19">
      <c r="A76" s="100" t="s">
        <v>2367</v>
      </c>
      <c r="B76" s="101" t="s">
        <v>823</v>
      </c>
      <c r="C76" s="102">
        <v>45094</v>
      </c>
      <c r="D76" s="101" t="s">
        <v>407</v>
      </c>
      <c r="E76" s="101" t="s">
        <v>445</v>
      </c>
      <c r="F76" s="83" t="s">
        <v>95</v>
      </c>
      <c r="G76" s="83" t="s">
        <v>95</v>
      </c>
      <c r="H76" s="83" t="s">
        <v>95</v>
      </c>
      <c r="I76" s="83" t="s">
        <v>95</v>
      </c>
      <c r="J76" s="83" t="s">
        <v>95</v>
      </c>
      <c r="K76" s="83" t="s">
        <v>95</v>
      </c>
      <c r="L76" s="83" t="s">
        <v>95</v>
      </c>
      <c r="M76" s="83" t="s">
        <v>95</v>
      </c>
      <c r="N76" s="83" t="s">
        <v>288</v>
      </c>
      <c r="O76" s="247">
        <f t="shared" si="4"/>
        <v>1</v>
      </c>
      <c r="P76" s="102">
        <v>45178</v>
      </c>
      <c r="Q76" s="248">
        <f t="shared" si="5"/>
        <v>84</v>
      </c>
      <c r="R76" s="83" t="str">
        <f ca="1">IF($A76="","",IF(TODAY()-$C76&lt;90,"Not Yet 90D",IF(COUNTIF('09_Attrition_Tracker'!$B:$B,$B76)&gt;0,"No","Yes")))</f>
        <v>Yes</v>
      </c>
      <c r="S76" s="103" t="str">
        <f>IFERROR(VLOOKUP($B76,'03_Employee_Master'!$A:$C,3,FALSE),"")</f>
        <v>Sales &amp; Marketing</v>
      </c>
    </row>
    <row r="77" spans="1:19">
      <c r="A77" s="100" t="s">
        <v>2368</v>
      </c>
      <c r="B77" s="101" t="s">
        <v>642</v>
      </c>
      <c r="C77" s="102">
        <v>43361</v>
      </c>
      <c r="D77" s="101" t="s">
        <v>37</v>
      </c>
      <c r="E77" s="101" t="s">
        <v>550</v>
      </c>
      <c r="F77" s="83" t="s">
        <v>95</v>
      </c>
      <c r="G77" s="83" t="s">
        <v>95</v>
      </c>
      <c r="H77" s="83" t="s">
        <v>95</v>
      </c>
      <c r="I77" s="83" t="s">
        <v>95</v>
      </c>
      <c r="J77" s="83" t="s">
        <v>95</v>
      </c>
      <c r="K77" s="83" t="s">
        <v>95</v>
      </c>
      <c r="L77" s="83" t="s">
        <v>95</v>
      </c>
      <c r="M77" s="83" t="s">
        <v>95</v>
      </c>
      <c r="N77" s="83" t="s">
        <v>288</v>
      </c>
      <c r="O77" s="247">
        <f t="shared" si="4"/>
        <v>1</v>
      </c>
      <c r="P77" s="102">
        <v>43388</v>
      </c>
      <c r="Q77" s="248">
        <f t="shared" si="5"/>
        <v>27</v>
      </c>
      <c r="R77" s="83" t="str">
        <f ca="1">IF($A77="","",IF(TODAY()-$C77&lt;90,"Not Yet 90D",IF(COUNTIF('09_Attrition_Tracker'!$B:$B,$B77)&gt;0,"No","Yes")))</f>
        <v>Yes</v>
      </c>
      <c r="S77" s="103" t="str">
        <f>IFERROR(VLOOKUP($B77,'03_Employee_Master'!$A:$C,3,FALSE),"")</f>
        <v>Finance</v>
      </c>
    </row>
    <row r="78" spans="1:19">
      <c r="A78" s="100" t="s">
        <v>2369</v>
      </c>
      <c r="B78" s="101" t="s">
        <v>845</v>
      </c>
      <c r="C78" s="102">
        <v>45848</v>
      </c>
      <c r="D78" s="101" t="s">
        <v>407</v>
      </c>
      <c r="E78" s="101" t="s">
        <v>445</v>
      </c>
      <c r="F78" s="83" t="s">
        <v>95</v>
      </c>
      <c r="G78" s="83" t="s">
        <v>95</v>
      </c>
      <c r="H78" s="83" t="s">
        <v>95</v>
      </c>
      <c r="I78" s="83" t="s">
        <v>95</v>
      </c>
      <c r="J78" s="83" t="s">
        <v>100</v>
      </c>
      <c r="K78" s="83" t="s">
        <v>95</v>
      </c>
      <c r="L78" s="83" t="s">
        <v>95</v>
      </c>
      <c r="M78" s="83" t="s">
        <v>95</v>
      </c>
      <c r="N78" s="83" t="s">
        <v>2309</v>
      </c>
      <c r="O78" s="247">
        <f t="shared" si="4"/>
        <v>0.875</v>
      </c>
      <c r="P78" s="102"/>
      <c r="Q78" s="248" t="str">
        <f t="shared" si="5"/>
        <v/>
      </c>
      <c r="R78" s="83" t="str">
        <f ca="1">IF($A78="","",IF(TODAY()-$C78&lt;90,"Not Yet 90D",IF(COUNTIF('09_Attrition_Tracker'!$B:$B,$B78)&gt;0,"No","Yes")))</f>
        <v>Yes</v>
      </c>
      <c r="S78" s="103" t="str">
        <f>IFERROR(VLOOKUP($B78,'03_Employee_Master'!$A:$C,3,FALSE),"")</f>
        <v>Sales &amp; Marketing</v>
      </c>
    </row>
    <row r="79" spans="1:19">
      <c r="A79" s="100" t="s">
        <v>2370</v>
      </c>
      <c r="B79" s="101" t="s">
        <v>612</v>
      </c>
      <c r="C79" s="102">
        <v>45219</v>
      </c>
      <c r="D79" s="101" t="s">
        <v>421</v>
      </c>
      <c r="E79" s="101" t="s">
        <v>608</v>
      </c>
      <c r="F79" s="83" t="s">
        <v>95</v>
      </c>
      <c r="G79" s="83" t="s">
        <v>95</v>
      </c>
      <c r="H79" s="83" t="s">
        <v>95</v>
      </c>
      <c r="I79" s="83" t="s">
        <v>95</v>
      </c>
      <c r="J79" s="83" t="s">
        <v>95</v>
      </c>
      <c r="K79" s="83" t="s">
        <v>95</v>
      </c>
      <c r="L79" s="83" t="s">
        <v>95</v>
      </c>
      <c r="M79" s="83" t="s">
        <v>95</v>
      </c>
      <c r="N79" s="83" t="s">
        <v>288</v>
      </c>
      <c r="O79" s="247">
        <f t="shared" si="4"/>
        <v>1</v>
      </c>
      <c r="P79" s="102">
        <v>45269</v>
      </c>
      <c r="Q79" s="248">
        <f t="shared" si="5"/>
        <v>50</v>
      </c>
      <c r="R79" s="83" t="str">
        <f ca="1">IF($A79="","",IF(TODAY()-$C79&lt;90,"Not Yet 90D",IF(COUNTIF('09_Attrition_Tracker'!$B:$B,$B79)&gt;0,"No","Yes")))</f>
        <v>Yes</v>
      </c>
      <c r="S79" s="103" t="str">
        <f>IFERROR(VLOOKUP($B79,'03_Employee_Master'!$A:$C,3,FALSE),"")</f>
        <v>Customer Service</v>
      </c>
    </row>
    <row r="80" spans="1:19">
      <c r="A80" s="100" t="s">
        <v>2371</v>
      </c>
      <c r="B80" s="101" t="s">
        <v>646</v>
      </c>
      <c r="C80" s="102">
        <v>45103</v>
      </c>
      <c r="D80" s="101" t="s">
        <v>421</v>
      </c>
      <c r="E80" s="101" t="s">
        <v>554</v>
      </c>
      <c r="F80" s="83" t="s">
        <v>95</v>
      </c>
      <c r="G80" s="83" t="s">
        <v>95</v>
      </c>
      <c r="H80" s="83" t="s">
        <v>95</v>
      </c>
      <c r="I80" s="83" t="s">
        <v>95</v>
      </c>
      <c r="J80" s="83" t="s">
        <v>95</v>
      </c>
      <c r="K80" s="83" t="s">
        <v>95</v>
      </c>
      <c r="L80" s="83" t="s">
        <v>95</v>
      </c>
      <c r="M80" s="83" t="s">
        <v>95</v>
      </c>
      <c r="N80" s="83" t="s">
        <v>288</v>
      </c>
      <c r="O80" s="247">
        <f t="shared" si="4"/>
        <v>1</v>
      </c>
      <c r="P80" s="102">
        <v>45152</v>
      </c>
      <c r="Q80" s="248">
        <f t="shared" si="5"/>
        <v>49</v>
      </c>
      <c r="R80" s="83" t="str">
        <f ca="1">IF($A80="","",IF(TODAY()-$C80&lt;90,"Not Yet 90D",IF(COUNTIF('09_Attrition_Tracker'!$B:$B,$B80)&gt;0,"No","Yes")))</f>
        <v>Yes</v>
      </c>
      <c r="S80" s="103" t="str">
        <f>IFERROR(VLOOKUP($B80,'03_Employee_Master'!$A:$C,3,FALSE),"")</f>
        <v>Customer Service</v>
      </c>
    </row>
    <row r="81" spans="1:19">
      <c r="A81" s="100" t="s">
        <v>2372</v>
      </c>
      <c r="B81" s="101" t="s">
        <v>432</v>
      </c>
      <c r="C81" s="102">
        <v>45189</v>
      </c>
      <c r="D81" s="101" t="s">
        <v>176</v>
      </c>
      <c r="E81" s="101" t="s">
        <v>178</v>
      </c>
      <c r="F81" s="83" t="s">
        <v>95</v>
      </c>
      <c r="G81" s="83" t="s">
        <v>95</v>
      </c>
      <c r="H81" s="83" t="s">
        <v>95</v>
      </c>
      <c r="I81" s="83" t="s">
        <v>95</v>
      </c>
      <c r="J81" s="83" t="s">
        <v>95</v>
      </c>
      <c r="K81" s="83" t="s">
        <v>95</v>
      </c>
      <c r="L81" s="83" t="s">
        <v>95</v>
      </c>
      <c r="M81" s="83" t="s">
        <v>95</v>
      </c>
      <c r="N81" s="83" t="s">
        <v>288</v>
      </c>
      <c r="O81" s="247">
        <f t="shared" si="4"/>
        <v>1</v>
      </c>
      <c r="P81" s="102">
        <v>45245</v>
      </c>
      <c r="Q81" s="248">
        <f t="shared" si="5"/>
        <v>56</v>
      </c>
      <c r="R81" s="83" t="str">
        <f ca="1">IF($A81="","",IF(TODAY()-$C81&lt;90,"Not Yet 90D",IF(COUNTIF('09_Attrition_Tracker'!$B:$B,$B81)&gt;0,"No","Yes")))</f>
        <v>Yes</v>
      </c>
      <c r="S81" s="103" t="str">
        <f>IFERROR(VLOOKUP($B81,'03_Employee_Master'!$A:$C,3,FALSE),"")</f>
        <v>Loan Processing</v>
      </c>
    </row>
    <row r="82" spans="1:19">
      <c r="A82" s="100" t="s">
        <v>2373</v>
      </c>
      <c r="B82" s="101" t="s">
        <v>96</v>
      </c>
      <c r="C82" s="102">
        <v>45522</v>
      </c>
      <c r="D82" s="101" t="s">
        <v>104</v>
      </c>
      <c r="E82" s="101" t="s">
        <v>113</v>
      </c>
      <c r="F82" s="83" t="s">
        <v>95</v>
      </c>
      <c r="G82" s="83" t="s">
        <v>95</v>
      </c>
      <c r="H82" s="83" t="s">
        <v>95</v>
      </c>
      <c r="I82" s="83" t="s">
        <v>95</v>
      </c>
      <c r="J82" s="83" t="s">
        <v>95</v>
      </c>
      <c r="K82" s="83" t="s">
        <v>95</v>
      </c>
      <c r="L82" s="83" t="s">
        <v>95</v>
      </c>
      <c r="M82" s="83" t="s">
        <v>95</v>
      </c>
      <c r="N82" s="83" t="s">
        <v>288</v>
      </c>
      <c r="O82" s="247">
        <f t="shared" si="4"/>
        <v>1</v>
      </c>
      <c r="P82" s="102">
        <v>45559</v>
      </c>
      <c r="Q82" s="248">
        <f t="shared" si="5"/>
        <v>37</v>
      </c>
      <c r="R82" s="83" t="str">
        <f ca="1">IF($A82="","",IF(TODAY()-$C82&lt;90,"Not Yet 90D",IF(COUNTIF('09_Attrition_Tracker'!$B:$B,$B82)&gt;0,"No","Yes")))</f>
        <v>Yes</v>
      </c>
      <c r="S82" s="103" t="str">
        <f>IFERROR(VLOOKUP($B82,'03_Employee_Master'!$A:$C,3,FALSE),"")</f>
        <v>Compliance</v>
      </c>
    </row>
    <row r="83" spans="1:19">
      <c r="A83" s="104" t="s">
        <v>2374</v>
      </c>
      <c r="B83" s="105" t="s">
        <v>597</v>
      </c>
      <c r="C83" s="106">
        <v>43147</v>
      </c>
      <c r="D83" s="105" t="s">
        <v>416</v>
      </c>
      <c r="E83" s="105" t="s">
        <v>558</v>
      </c>
      <c r="F83" s="89" t="s">
        <v>95</v>
      </c>
      <c r="G83" s="89" t="s">
        <v>95</v>
      </c>
      <c r="H83" s="89" t="s">
        <v>95</v>
      </c>
      <c r="I83" s="89" t="s">
        <v>95</v>
      </c>
      <c r="J83" s="89" t="s">
        <v>95</v>
      </c>
      <c r="K83" s="89" t="s">
        <v>95</v>
      </c>
      <c r="L83" s="89" t="s">
        <v>95</v>
      </c>
      <c r="M83" s="89" t="s">
        <v>95</v>
      </c>
      <c r="N83" s="89" t="s">
        <v>288</v>
      </c>
      <c r="O83" s="249">
        <f t="shared" si="4"/>
        <v>1</v>
      </c>
      <c r="P83" s="106">
        <v>43198</v>
      </c>
      <c r="Q83" s="250">
        <f t="shared" si="5"/>
        <v>51</v>
      </c>
      <c r="R83" s="89" t="str">
        <f ca="1">IF($A83="","",IF(TODAY()-$C83&lt;90,"Not Yet 90D",IF(COUNTIF('09_Attrition_Tracker'!$B:$B,$B83)&gt;0,"No","Yes")))</f>
        <v>Yes</v>
      </c>
      <c r="S83" s="107" t="str">
        <f>IFERROR(VLOOKUP($B83,'03_Employee_Master'!$A:$C,3,FALSE),"")</f>
        <v>Information Technology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2"/>
  <sheetViews>
    <sheetView showGridLines="0" zoomScale="150" workbookViewId="0">
      <pane ySplit="4" topLeftCell="A15" activePane="bottomLeft" state="frozen"/>
      <selection pane="bottomLeft" activeCell="D20" sqref="D20"/>
    </sheetView>
  </sheetViews>
  <sheetFormatPr baseColWidth="10" defaultColWidth="8.83203125" defaultRowHeight="15"/>
  <cols>
    <col min="1" max="1" width="14" style="91" customWidth="1"/>
    <col min="2" max="2" width="13" style="91" customWidth="1"/>
    <col min="3" max="4" width="22" style="91" customWidth="1"/>
    <col min="5" max="5" width="24" style="91" customWidth="1"/>
    <col min="6" max="6" width="13" style="91" customWidth="1"/>
    <col min="7" max="7" width="18.6640625" style="91" customWidth="1"/>
    <col min="8" max="8" width="23.33203125" style="91" customWidth="1"/>
    <col min="9" max="9" width="16" style="91" customWidth="1"/>
    <col min="10" max="10" width="26.1640625" style="91" customWidth="1"/>
    <col min="11" max="11" width="24" style="91" customWidth="1"/>
    <col min="12" max="12" width="21.6640625" style="91" customWidth="1"/>
    <col min="13" max="13" width="22.33203125" style="91" customWidth="1"/>
    <col min="14" max="14" width="21.6640625" style="91" customWidth="1"/>
    <col min="15" max="15" width="17.5" style="91" customWidth="1"/>
    <col min="16" max="16" width="18.6640625" style="91" customWidth="1"/>
    <col min="17" max="16384" width="8.83203125" style="91"/>
  </cols>
  <sheetData>
    <row r="1" spans="1:16" ht="44">
      <c r="A1" s="53" t="s">
        <v>2375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25">
      <c r="A2" s="68" t="s">
        <v>2376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1:16" ht="16">
      <c r="A4" s="98" t="s">
        <v>299</v>
      </c>
      <c r="B4" s="98" t="s">
        <v>92</v>
      </c>
      <c r="C4" s="98" t="s">
        <v>98</v>
      </c>
      <c r="D4" s="98" t="s">
        <v>102</v>
      </c>
      <c r="E4" s="98" t="s">
        <v>112</v>
      </c>
      <c r="F4" s="98" t="s">
        <v>123</v>
      </c>
      <c r="G4" s="98" t="s">
        <v>305</v>
      </c>
      <c r="H4" s="98" t="s">
        <v>307</v>
      </c>
      <c r="I4" s="98" t="s">
        <v>309</v>
      </c>
      <c r="J4" s="98" t="s">
        <v>313</v>
      </c>
      <c r="K4" s="98" t="s">
        <v>317</v>
      </c>
      <c r="L4" s="98" t="s">
        <v>320</v>
      </c>
      <c r="M4" s="98" t="s">
        <v>147</v>
      </c>
      <c r="N4" s="98" t="s">
        <v>322</v>
      </c>
      <c r="O4" s="98" t="s">
        <v>324</v>
      </c>
      <c r="P4" s="156" t="s">
        <v>325</v>
      </c>
    </row>
    <row r="5" spans="1:16">
      <c r="A5" s="94" t="s">
        <v>301</v>
      </c>
      <c r="B5" s="92" t="s">
        <v>302</v>
      </c>
      <c r="C5" s="92" t="s">
        <v>303</v>
      </c>
      <c r="D5" s="92" t="s">
        <v>104</v>
      </c>
      <c r="E5" s="92" t="s">
        <v>113</v>
      </c>
      <c r="F5" s="93">
        <v>43656</v>
      </c>
      <c r="G5" s="93">
        <v>45711</v>
      </c>
      <c r="H5" s="108">
        <f t="shared" ref="H5:H52" si="0">IF($A5="","",MAX(0,INT(($G5-$F5)/30)))</f>
        <v>68</v>
      </c>
      <c r="I5" s="108" t="s">
        <v>311</v>
      </c>
      <c r="J5" s="108" t="s">
        <v>315</v>
      </c>
      <c r="K5" s="92" t="s">
        <v>319</v>
      </c>
      <c r="L5" s="108" t="s">
        <v>100</v>
      </c>
      <c r="M5" s="108" t="s">
        <v>100</v>
      </c>
      <c r="N5" s="108" t="s">
        <v>323</v>
      </c>
      <c r="O5" s="108" t="s">
        <v>323</v>
      </c>
      <c r="P5" s="155">
        <f t="shared" ref="P5:P52" si="1">IF($A5="","",DATE(YEAR($G5),MONTH($G5),1))</f>
        <v>45689</v>
      </c>
    </row>
    <row r="6" spans="1:16">
      <c r="A6" s="94" t="s">
        <v>2377</v>
      </c>
      <c r="B6" s="92" t="s">
        <v>471</v>
      </c>
      <c r="C6" s="92" t="s">
        <v>472</v>
      </c>
      <c r="D6" s="92" t="s">
        <v>104</v>
      </c>
      <c r="E6" s="92" t="s">
        <v>474</v>
      </c>
      <c r="F6" s="93">
        <v>44816</v>
      </c>
      <c r="G6" s="93">
        <v>45733</v>
      </c>
      <c r="H6" s="108">
        <f t="shared" si="0"/>
        <v>30</v>
      </c>
      <c r="I6" s="108" t="s">
        <v>311</v>
      </c>
      <c r="J6" s="108" t="s">
        <v>415</v>
      </c>
      <c r="K6" s="92" t="s">
        <v>2378</v>
      </c>
      <c r="L6" s="108" t="s">
        <v>95</v>
      </c>
      <c r="M6" s="108" t="s">
        <v>95</v>
      </c>
      <c r="N6" s="108" t="s">
        <v>323</v>
      </c>
      <c r="O6" s="108" t="s">
        <v>323</v>
      </c>
      <c r="P6" s="155">
        <f t="shared" si="1"/>
        <v>45717</v>
      </c>
    </row>
    <row r="7" spans="1:16">
      <c r="A7" s="94" t="s">
        <v>2379</v>
      </c>
      <c r="B7" s="92" t="s">
        <v>476</v>
      </c>
      <c r="C7" s="92" t="s">
        <v>477</v>
      </c>
      <c r="D7" s="92" t="s">
        <v>421</v>
      </c>
      <c r="E7" s="92" t="s">
        <v>479</v>
      </c>
      <c r="F7" s="93">
        <v>45272</v>
      </c>
      <c r="G7" s="93">
        <v>45901</v>
      </c>
      <c r="H7" s="108">
        <f t="shared" si="0"/>
        <v>20</v>
      </c>
      <c r="I7" s="108" t="s">
        <v>311</v>
      </c>
      <c r="J7" s="108" t="s">
        <v>405</v>
      </c>
      <c r="K7" s="92" t="s">
        <v>2378</v>
      </c>
      <c r="L7" s="108" t="s">
        <v>95</v>
      </c>
      <c r="M7" s="108" t="s">
        <v>100</v>
      </c>
      <c r="N7" s="108" t="s">
        <v>2380</v>
      </c>
      <c r="O7" s="108" t="s">
        <v>2381</v>
      </c>
      <c r="P7" s="155">
        <f t="shared" si="1"/>
        <v>45901</v>
      </c>
    </row>
    <row r="8" spans="1:16">
      <c r="A8" s="94" t="s">
        <v>2382</v>
      </c>
      <c r="B8" s="92" t="s">
        <v>493</v>
      </c>
      <c r="C8" s="92" t="s">
        <v>494</v>
      </c>
      <c r="D8" s="92" t="s">
        <v>104</v>
      </c>
      <c r="E8" s="92" t="s">
        <v>496</v>
      </c>
      <c r="F8" s="93">
        <v>44496</v>
      </c>
      <c r="G8" s="93">
        <v>45923</v>
      </c>
      <c r="H8" s="108">
        <f t="shared" si="0"/>
        <v>47</v>
      </c>
      <c r="I8" s="108" t="s">
        <v>311</v>
      </c>
      <c r="J8" s="108" t="s">
        <v>415</v>
      </c>
      <c r="K8" s="92" t="s">
        <v>2383</v>
      </c>
      <c r="L8" s="108" t="s">
        <v>100</v>
      </c>
      <c r="M8" s="108" t="s">
        <v>100</v>
      </c>
      <c r="N8" s="108" t="s">
        <v>323</v>
      </c>
      <c r="O8" s="108" t="s">
        <v>2381</v>
      </c>
      <c r="P8" s="155">
        <f t="shared" si="1"/>
        <v>45901</v>
      </c>
    </row>
    <row r="9" spans="1:16">
      <c r="A9" s="94" t="s">
        <v>2384</v>
      </c>
      <c r="B9" s="92" t="s">
        <v>507</v>
      </c>
      <c r="C9" s="92" t="s">
        <v>508</v>
      </c>
      <c r="D9" s="92" t="s">
        <v>407</v>
      </c>
      <c r="E9" s="92" t="s">
        <v>502</v>
      </c>
      <c r="F9" s="93">
        <v>42892</v>
      </c>
      <c r="G9" s="93">
        <v>45908</v>
      </c>
      <c r="H9" s="108">
        <f t="shared" si="0"/>
        <v>100</v>
      </c>
      <c r="I9" s="108" t="s">
        <v>311</v>
      </c>
      <c r="J9" s="108" t="s">
        <v>415</v>
      </c>
      <c r="K9" s="92" t="s">
        <v>2385</v>
      </c>
      <c r="L9" s="108" t="s">
        <v>95</v>
      </c>
      <c r="M9" s="108" t="s">
        <v>95</v>
      </c>
      <c r="N9" s="108" t="s">
        <v>323</v>
      </c>
      <c r="O9" s="108" t="s">
        <v>2381</v>
      </c>
      <c r="P9" s="155">
        <f t="shared" si="1"/>
        <v>45901</v>
      </c>
    </row>
    <row r="10" spans="1:16">
      <c r="A10" s="94" t="s">
        <v>2386</v>
      </c>
      <c r="B10" s="92" t="s">
        <v>511</v>
      </c>
      <c r="C10" s="92" t="s">
        <v>512</v>
      </c>
      <c r="D10" s="92" t="s">
        <v>271</v>
      </c>
      <c r="E10" s="92" t="s">
        <v>492</v>
      </c>
      <c r="F10" s="93">
        <v>45006</v>
      </c>
      <c r="G10" s="93">
        <v>45892</v>
      </c>
      <c r="H10" s="108">
        <f t="shared" si="0"/>
        <v>29</v>
      </c>
      <c r="I10" s="108" t="s">
        <v>311</v>
      </c>
      <c r="J10" s="108" t="s">
        <v>396</v>
      </c>
      <c r="K10" s="92" t="s">
        <v>2387</v>
      </c>
      <c r="L10" s="108" t="s">
        <v>100</v>
      </c>
      <c r="M10" s="108" t="s">
        <v>95</v>
      </c>
      <c r="N10" s="108" t="s">
        <v>2380</v>
      </c>
      <c r="O10" s="108" t="s">
        <v>323</v>
      </c>
      <c r="P10" s="155">
        <f t="shared" si="1"/>
        <v>45870</v>
      </c>
    </row>
    <row r="11" spans="1:16">
      <c r="A11" s="94" t="s">
        <v>2388</v>
      </c>
      <c r="B11" s="92" t="s">
        <v>527</v>
      </c>
      <c r="C11" s="92" t="s">
        <v>461</v>
      </c>
      <c r="D11" s="92" t="s">
        <v>271</v>
      </c>
      <c r="E11" s="92" t="s">
        <v>492</v>
      </c>
      <c r="F11" s="93">
        <v>44439</v>
      </c>
      <c r="G11" s="93">
        <v>45891</v>
      </c>
      <c r="H11" s="108">
        <f t="shared" si="0"/>
        <v>48</v>
      </c>
      <c r="I11" s="108" t="s">
        <v>386</v>
      </c>
      <c r="J11" s="108" t="s">
        <v>419</v>
      </c>
      <c r="K11" s="92" t="s">
        <v>2389</v>
      </c>
      <c r="L11" s="108" t="s">
        <v>100</v>
      </c>
      <c r="M11" s="108" t="s">
        <v>100</v>
      </c>
      <c r="N11" s="108" t="s">
        <v>2390</v>
      </c>
      <c r="O11" s="108" t="s">
        <v>2381</v>
      </c>
      <c r="P11" s="155">
        <f t="shared" si="1"/>
        <v>45870</v>
      </c>
    </row>
    <row r="12" spans="1:16">
      <c r="A12" s="94" t="s">
        <v>2391</v>
      </c>
      <c r="B12" s="92" t="s">
        <v>561</v>
      </c>
      <c r="C12" s="92" t="s">
        <v>562</v>
      </c>
      <c r="D12" s="92" t="s">
        <v>371</v>
      </c>
      <c r="E12" s="92" t="s">
        <v>463</v>
      </c>
      <c r="F12" s="93">
        <v>44028</v>
      </c>
      <c r="G12" s="93">
        <v>46094</v>
      </c>
      <c r="H12" s="108">
        <f t="shared" si="0"/>
        <v>68</v>
      </c>
      <c r="I12" s="108" t="s">
        <v>311</v>
      </c>
      <c r="J12" s="108" t="s">
        <v>415</v>
      </c>
      <c r="K12" s="92" t="s">
        <v>2389</v>
      </c>
      <c r="L12" s="108" t="s">
        <v>95</v>
      </c>
      <c r="M12" s="108" t="s">
        <v>100</v>
      </c>
      <c r="N12" s="108" t="s">
        <v>2390</v>
      </c>
      <c r="O12" s="108" t="s">
        <v>2381</v>
      </c>
      <c r="P12" s="155">
        <f t="shared" si="1"/>
        <v>46082</v>
      </c>
    </row>
    <row r="13" spans="1:16">
      <c r="A13" s="94" t="s">
        <v>2392</v>
      </c>
      <c r="B13" s="92" t="s">
        <v>563</v>
      </c>
      <c r="C13" s="92" t="s">
        <v>564</v>
      </c>
      <c r="D13" s="92" t="s">
        <v>407</v>
      </c>
      <c r="E13" s="92" t="s">
        <v>502</v>
      </c>
      <c r="F13" s="93">
        <v>43974</v>
      </c>
      <c r="G13" s="93">
        <v>45736</v>
      </c>
      <c r="H13" s="108">
        <f t="shared" si="0"/>
        <v>58</v>
      </c>
      <c r="I13" s="108" t="s">
        <v>311</v>
      </c>
      <c r="J13" s="108" t="s">
        <v>387</v>
      </c>
      <c r="K13" s="92" t="s">
        <v>2383</v>
      </c>
      <c r="L13" s="108" t="s">
        <v>95</v>
      </c>
      <c r="M13" s="108" t="s">
        <v>100</v>
      </c>
      <c r="N13" s="108" t="s">
        <v>323</v>
      </c>
      <c r="O13" s="108" t="s">
        <v>2393</v>
      </c>
      <c r="P13" s="155">
        <f t="shared" si="1"/>
        <v>45717</v>
      </c>
    </row>
    <row r="14" spans="1:16">
      <c r="A14" s="94" t="s">
        <v>2394</v>
      </c>
      <c r="B14" s="92" t="s">
        <v>567</v>
      </c>
      <c r="C14" s="92" t="s">
        <v>568</v>
      </c>
      <c r="D14" s="92" t="s">
        <v>271</v>
      </c>
      <c r="E14" s="92" t="s">
        <v>492</v>
      </c>
      <c r="F14" s="93">
        <v>43357</v>
      </c>
      <c r="G14" s="93">
        <v>45906</v>
      </c>
      <c r="H14" s="108">
        <f t="shared" si="0"/>
        <v>84</v>
      </c>
      <c r="I14" s="108" t="s">
        <v>386</v>
      </c>
      <c r="J14" s="108" t="s">
        <v>410</v>
      </c>
      <c r="K14" s="92" t="s">
        <v>2385</v>
      </c>
      <c r="L14" s="108" t="s">
        <v>100</v>
      </c>
      <c r="M14" s="108" t="s">
        <v>95</v>
      </c>
      <c r="N14" s="108" t="s">
        <v>2380</v>
      </c>
      <c r="O14" s="108" t="s">
        <v>2393</v>
      </c>
      <c r="P14" s="155">
        <f t="shared" si="1"/>
        <v>45901</v>
      </c>
    </row>
    <row r="15" spans="1:16">
      <c r="A15" s="94" t="s">
        <v>2395</v>
      </c>
      <c r="B15" s="92" t="s">
        <v>599</v>
      </c>
      <c r="C15" s="92" t="s">
        <v>600</v>
      </c>
      <c r="D15" s="92" t="s">
        <v>416</v>
      </c>
      <c r="E15" s="92" t="s">
        <v>483</v>
      </c>
      <c r="F15" s="93">
        <v>45397</v>
      </c>
      <c r="G15" s="93">
        <v>45682</v>
      </c>
      <c r="H15" s="108">
        <f t="shared" si="0"/>
        <v>9</v>
      </c>
      <c r="I15" s="108" t="s">
        <v>311</v>
      </c>
      <c r="J15" s="108" t="s">
        <v>410</v>
      </c>
      <c r="K15" s="92" t="s">
        <v>2383</v>
      </c>
      <c r="L15" s="108" t="s">
        <v>95</v>
      </c>
      <c r="M15" s="108" t="s">
        <v>100</v>
      </c>
      <c r="N15" s="108" t="s">
        <v>2390</v>
      </c>
      <c r="O15" s="108" t="s">
        <v>323</v>
      </c>
      <c r="P15" s="155">
        <f t="shared" si="1"/>
        <v>45658</v>
      </c>
    </row>
    <row r="16" spans="1:16">
      <c r="A16" s="94" t="s">
        <v>2396</v>
      </c>
      <c r="B16" s="92" t="s">
        <v>605</v>
      </c>
      <c r="C16" s="92" t="s">
        <v>606</v>
      </c>
      <c r="D16" s="92" t="s">
        <v>421</v>
      </c>
      <c r="E16" s="92" t="s">
        <v>608</v>
      </c>
      <c r="F16" s="93">
        <v>45124</v>
      </c>
      <c r="G16" s="93">
        <v>45938</v>
      </c>
      <c r="H16" s="108">
        <f t="shared" si="0"/>
        <v>27</v>
      </c>
      <c r="I16" s="108" t="s">
        <v>386</v>
      </c>
      <c r="J16" s="108" t="s">
        <v>419</v>
      </c>
      <c r="K16" s="92" t="s">
        <v>2389</v>
      </c>
      <c r="L16" s="108" t="s">
        <v>100</v>
      </c>
      <c r="M16" s="108" t="s">
        <v>95</v>
      </c>
      <c r="N16" s="108" t="s">
        <v>323</v>
      </c>
      <c r="O16" s="108" t="s">
        <v>2393</v>
      </c>
      <c r="P16" s="155">
        <f t="shared" si="1"/>
        <v>45931</v>
      </c>
    </row>
    <row r="17" spans="1:16">
      <c r="A17" s="94" t="s">
        <v>2397</v>
      </c>
      <c r="B17" s="92" t="s">
        <v>776</v>
      </c>
      <c r="C17" s="92" t="s">
        <v>615</v>
      </c>
      <c r="D17" s="92" t="s">
        <v>104</v>
      </c>
      <c r="E17" s="92" t="s">
        <v>496</v>
      </c>
      <c r="F17" s="93">
        <v>45309</v>
      </c>
      <c r="G17" s="93">
        <v>45312</v>
      </c>
      <c r="H17" s="108">
        <f t="shared" si="0"/>
        <v>0</v>
      </c>
      <c r="I17" s="108" t="s">
        <v>311</v>
      </c>
      <c r="J17" s="108" t="s">
        <v>410</v>
      </c>
      <c r="K17" s="92" t="s">
        <v>319</v>
      </c>
      <c r="L17" s="108" t="s">
        <v>100</v>
      </c>
      <c r="M17" s="108" t="s">
        <v>100</v>
      </c>
      <c r="N17" s="108" t="s">
        <v>323</v>
      </c>
      <c r="O17" s="108" t="s">
        <v>2393</v>
      </c>
      <c r="P17" s="155">
        <f t="shared" si="1"/>
        <v>45292</v>
      </c>
    </row>
    <row r="18" spans="1:16">
      <c r="A18" s="94" t="s">
        <v>2398</v>
      </c>
      <c r="B18" s="92" t="s">
        <v>793</v>
      </c>
      <c r="C18" s="92" t="s">
        <v>617</v>
      </c>
      <c r="D18" s="92" t="s">
        <v>37</v>
      </c>
      <c r="E18" s="92" t="s">
        <v>550</v>
      </c>
      <c r="F18" s="93">
        <v>43558</v>
      </c>
      <c r="G18" s="93">
        <v>43620</v>
      </c>
      <c r="H18" s="108">
        <f t="shared" si="0"/>
        <v>2</v>
      </c>
      <c r="I18" s="108" t="s">
        <v>386</v>
      </c>
      <c r="J18" s="108" t="s">
        <v>396</v>
      </c>
      <c r="K18" s="92" t="s">
        <v>319</v>
      </c>
      <c r="L18" s="108" t="s">
        <v>100</v>
      </c>
      <c r="M18" s="108" t="s">
        <v>95</v>
      </c>
      <c r="N18" s="108" t="s">
        <v>2390</v>
      </c>
      <c r="O18" s="108" t="s">
        <v>2381</v>
      </c>
      <c r="P18" s="155">
        <f t="shared" si="1"/>
        <v>43617</v>
      </c>
    </row>
    <row r="19" spans="1:16">
      <c r="A19" s="94" t="s">
        <v>2400</v>
      </c>
      <c r="B19" s="92" t="s">
        <v>915</v>
      </c>
      <c r="C19" s="92" t="s">
        <v>619</v>
      </c>
      <c r="D19" s="92" t="s">
        <v>104</v>
      </c>
      <c r="E19" s="92" t="s">
        <v>113</v>
      </c>
      <c r="F19" s="93">
        <v>46030</v>
      </c>
      <c r="G19" s="93">
        <v>46034</v>
      </c>
      <c r="H19" s="108">
        <f t="shared" si="0"/>
        <v>0</v>
      </c>
      <c r="I19" s="108" t="s">
        <v>311</v>
      </c>
      <c r="J19" s="108" t="s">
        <v>376</v>
      </c>
      <c r="K19" s="92" t="s">
        <v>2387</v>
      </c>
      <c r="L19" s="108" t="s">
        <v>95</v>
      </c>
      <c r="M19" s="108" t="s">
        <v>100</v>
      </c>
      <c r="N19" s="108" t="s">
        <v>2390</v>
      </c>
      <c r="O19" s="108" t="s">
        <v>2381</v>
      </c>
      <c r="P19" s="155">
        <f t="shared" si="1"/>
        <v>46023</v>
      </c>
    </row>
    <row r="20" spans="1:16">
      <c r="A20" s="94" t="s">
        <v>2401</v>
      </c>
      <c r="B20" s="92" t="s">
        <v>897</v>
      </c>
      <c r="C20" s="92" t="s">
        <v>640</v>
      </c>
      <c r="D20" s="92" t="s">
        <v>371</v>
      </c>
      <c r="E20" s="92" t="s">
        <v>463</v>
      </c>
      <c r="F20" s="93">
        <v>43005</v>
      </c>
      <c r="G20" s="93">
        <v>43040</v>
      </c>
      <c r="H20" s="108">
        <f t="shared" si="0"/>
        <v>1</v>
      </c>
      <c r="I20" s="108" t="s">
        <v>311</v>
      </c>
      <c r="J20" s="108" t="s">
        <v>415</v>
      </c>
      <c r="K20" s="92" t="s">
        <v>2378</v>
      </c>
      <c r="L20" s="108" t="s">
        <v>95</v>
      </c>
      <c r="M20" s="108" t="s">
        <v>100</v>
      </c>
      <c r="N20" s="108" t="s">
        <v>323</v>
      </c>
      <c r="O20" s="108" t="s">
        <v>2381</v>
      </c>
      <c r="P20" s="155">
        <f t="shared" si="1"/>
        <v>43040</v>
      </c>
    </row>
    <row r="21" spans="1:16">
      <c r="A21" s="94" t="s">
        <v>2402</v>
      </c>
      <c r="B21" s="92" t="s">
        <v>650</v>
      </c>
      <c r="C21" s="92" t="s">
        <v>651</v>
      </c>
      <c r="D21" s="92" t="s">
        <v>176</v>
      </c>
      <c r="E21" s="92" t="s">
        <v>653</v>
      </c>
      <c r="F21" s="93">
        <v>43021</v>
      </c>
      <c r="G21" s="93">
        <v>45681</v>
      </c>
      <c r="H21" s="108">
        <f t="shared" si="0"/>
        <v>88</v>
      </c>
      <c r="I21" s="108" t="s">
        <v>311</v>
      </c>
      <c r="J21" s="108" t="s">
        <v>405</v>
      </c>
      <c r="K21" s="92" t="s">
        <v>2378</v>
      </c>
      <c r="L21" s="108" t="s">
        <v>100</v>
      </c>
      <c r="M21" s="108" t="s">
        <v>100</v>
      </c>
      <c r="N21" s="108" t="s">
        <v>2380</v>
      </c>
      <c r="O21" s="108" t="s">
        <v>323</v>
      </c>
      <c r="P21" s="155">
        <f t="shared" si="1"/>
        <v>45658</v>
      </c>
    </row>
    <row r="22" spans="1:16">
      <c r="A22" s="94" t="s">
        <v>2403</v>
      </c>
      <c r="B22" s="92" t="s">
        <v>668</v>
      </c>
      <c r="C22" s="92" t="s">
        <v>488</v>
      </c>
      <c r="D22" s="92" t="s">
        <v>37</v>
      </c>
      <c r="E22" s="92" t="s">
        <v>260</v>
      </c>
      <c r="F22" s="93">
        <v>43703</v>
      </c>
      <c r="G22" s="93">
        <v>46101</v>
      </c>
      <c r="H22" s="108">
        <f t="shared" si="0"/>
        <v>79</v>
      </c>
      <c r="I22" s="108" t="s">
        <v>311</v>
      </c>
      <c r="J22" s="108" t="s">
        <v>396</v>
      </c>
      <c r="K22" s="92" t="s">
        <v>2387</v>
      </c>
      <c r="L22" s="108" t="s">
        <v>95</v>
      </c>
      <c r="M22" s="108" t="s">
        <v>100</v>
      </c>
      <c r="N22" s="108" t="s">
        <v>2380</v>
      </c>
      <c r="O22" s="108" t="s">
        <v>2381</v>
      </c>
      <c r="P22" s="155">
        <f t="shared" si="1"/>
        <v>46082</v>
      </c>
    </row>
    <row r="23" spans="1:16">
      <c r="A23" s="94" t="s">
        <v>2404</v>
      </c>
      <c r="B23" s="92" t="s">
        <v>678</v>
      </c>
      <c r="C23" s="92" t="s">
        <v>488</v>
      </c>
      <c r="D23" s="92" t="s">
        <v>407</v>
      </c>
      <c r="E23" s="92" t="s">
        <v>470</v>
      </c>
      <c r="F23" s="93">
        <v>44101</v>
      </c>
      <c r="G23" s="93">
        <v>45721</v>
      </c>
      <c r="H23" s="108">
        <f t="shared" si="0"/>
        <v>54</v>
      </c>
      <c r="I23" s="108" t="s">
        <v>311</v>
      </c>
      <c r="J23" s="108" t="s">
        <v>387</v>
      </c>
      <c r="K23" s="92" t="s">
        <v>2385</v>
      </c>
      <c r="L23" s="108" t="s">
        <v>100</v>
      </c>
      <c r="M23" s="108" t="s">
        <v>95</v>
      </c>
      <c r="N23" s="108" t="s">
        <v>2380</v>
      </c>
      <c r="O23" s="108" t="s">
        <v>2381</v>
      </c>
      <c r="P23" s="155">
        <f t="shared" si="1"/>
        <v>45717</v>
      </c>
    </row>
    <row r="24" spans="1:16">
      <c r="A24" s="94" t="s">
        <v>2405</v>
      </c>
      <c r="B24" s="92" t="s">
        <v>710</v>
      </c>
      <c r="C24" s="92" t="s">
        <v>711</v>
      </c>
      <c r="D24" s="92" t="s">
        <v>152</v>
      </c>
      <c r="E24" s="92" t="s">
        <v>153</v>
      </c>
      <c r="F24" s="93">
        <v>42878</v>
      </c>
      <c r="G24" s="93">
        <v>45754</v>
      </c>
      <c r="H24" s="108">
        <f t="shared" si="0"/>
        <v>95</v>
      </c>
      <c r="I24" s="108" t="s">
        <v>386</v>
      </c>
      <c r="J24" s="108" t="s">
        <v>419</v>
      </c>
      <c r="K24" s="92" t="s">
        <v>319</v>
      </c>
      <c r="L24" s="108" t="s">
        <v>100</v>
      </c>
      <c r="M24" s="108" t="s">
        <v>95</v>
      </c>
      <c r="N24" s="108" t="s">
        <v>2380</v>
      </c>
      <c r="O24" s="108" t="s">
        <v>2381</v>
      </c>
      <c r="P24" s="155">
        <f t="shared" si="1"/>
        <v>45748</v>
      </c>
    </row>
    <row r="25" spans="1:16">
      <c r="A25" s="94" t="s">
        <v>2406</v>
      </c>
      <c r="B25" s="92" t="s">
        <v>712</v>
      </c>
      <c r="C25" s="92" t="s">
        <v>713</v>
      </c>
      <c r="D25" s="92" t="s">
        <v>416</v>
      </c>
      <c r="E25" s="92" t="s">
        <v>483</v>
      </c>
      <c r="F25" s="93">
        <v>45861</v>
      </c>
      <c r="G25" s="93">
        <v>45937</v>
      </c>
      <c r="H25" s="108">
        <f t="shared" si="0"/>
        <v>2</v>
      </c>
      <c r="I25" s="108" t="s">
        <v>311</v>
      </c>
      <c r="J25" s="108" t="s">
        <v>376</v>
      </c>
      <c r="K25" s="92" t="s">
        <v>2383</v>
      </c>
      <c r="L25" s="108" t="s">
        <v>100</v>
      </c>
      <c r="M25" s="108" t="s">
        <v>95</v>
      </c>
      <c r="N25" s="108" t="s">
        <v>2380</v>
      </c>
      <c r="O25" s="108" t="s">
        <v>2381</v>
      </c>
      <c r="P25" s="155">
        <f t="shared" si="1"/>
        <v>45931</v>
      </c>
    </row>
    <row r="26" spans="1:16">
      <c r="A26" s="94" t="s">
        <v>2407</v>
      </c>
      <c r="B26" s="92" t="s">
        <v>714</v>
      </c>
      <c r="C26" s="92" t="s">
        <v>715</v>
      </c>
      <c r="D26" s="92" t="s">
        <v>176</v>
      </c>
      <c r="E26" s="92" t="s">
        <v>178</v>
      </c>
      <c r="F26" s="93">
        <v>45036</v>
      </c>
      <c r="G26" s="93">
        <v>45885</v>
      </c>
      <c r="H26" s="108">
        <f t="shared" si="0"/>
        <v>28</v>
      </c>
      <c r="I26" s="108" t="s">
        <v>311</v>
      </c>
      <c r="J26" s="108" t="s">
        <v>387</v>
      </c>
      <c r="K26" s="92" t="s">
        <v>319</v>
      </c>
      <c r="L26" s="108" t="s">
        <v>100</v>
      </c>
      <c r="M26" s="108" t="s">
        <v>100</v>
      </c>
      <c r="N26" s="108" t="s">
        <v>2380</v>
      </c>
      <c r="O26" s="108" t="s">
        <v>323</v>
      </c>
      <c r="P26" s="155">
        <f t="shared" si="1"/>
        <v>45870</v>
      </c>
    </row>
    <row r="27" spans="1:16">
      <c r="A27" s="94" t="s">
        <v>2408</v>
      </c>
      <c r="B27" s="92" t="s">
        <v>728</v>
      </c>
      <c r="C27" s="92" t="s">
        <v>512</v>
      </c>
      <c r="D27" s="92" t="s">
        <v>371</v>
      </c>
      <c r="E27" s="92" t="s">
        <v>439</v>
      </c>
      <c r="F27" s="93">
        <v>44593</v>
      </c>
      <c r="G27" s="93">
        <v>45909</v>
      </c>
      <c r="H27" s="108">
        <f t="shared" si="0"/>
        <v>43</v>
      </c>
      <c r="I27" s="108" t="s">
        <v>311</v>
      </c>
      <c r="J27" s="108" t="s">
        <v>376</v>
      </c>
      <c r="K27" s="92" t="s">
        <v>2383</v>
      </c>
      <c r="L27" s="108" t="s">
        <v>95</v>
      </c>
      <c r="M27" s="108" t="s">
        <v>100</v>
      </c>
      <c r="N27" s="108" t="s">
        <v>2390</v>
      </c>
      <c r="O27" s="108" t="s">
        <v>2381</v>
      </c>
      <c r="P27" s="155">
        <f t="shared" si="1"/>
        <v>45901</v>
      </c>
    </row>
    <row r="28" spans="1:16">
      <c r="A28" s="94" t="s">
        <v>2409</v>
      </c>
      <c r="B28" s="92" t="s">
        <v>729</v>
      </c>
      <c r="C28" s="92" t="s">
        <v>730</v>
      </c>
      <c r="D28" s="92" t="s">
        <v>37</v>
      </c>
      <c r="E28" s="92" t="s">
        <v>550</v>
      </c>
      <c r="F28" s="93">
        <v>44369</v>
      </c>
      <c r="G28" s="93">
        <v>45820</v>
      </c>
      <c r="H28" s="108">
        <f t="shared" si="0"/>
        <v>48</v>
      </c>
      <c r="I28" s="108" t="s">
        <v>386</v>
      </c>
      <c r="J28" s="108" t="s">
        <v>419</v>
      </c>
      <c r="K28" s="92" t="s">
        <v>2383</v>
      </c>
      <c r="L28" s="108" t="s">
        <v>100</v>
      </c>
      <c r="M28" s="108" t="s">
        <v>95</v>
      </c>
      <c r="N28" s="108" t="s">
        <v>2390</v>
      </c>
      <c r="O28" s="108" t="s">
        <v>323</v>
      </c>
      <c r="P28" s="155">
        <f t="shared" si="1"/>
        <v>45809</v>
      </c>
    </row>
    <row r="29" spans="1:16">
      <c r="A29" s="94" t="s">
        <v>2410</v>
      </c>
      <c r="B29" s="92" t="s">
        <v>752</v>
      </c>
      <c r="C29" s="92" t="s">
        <v>753</v>
      </c>
      <c r="D29" s="92" t="s">
        <v>176</v>
      </c>
      <c r="E29" s="92" t="s">
        <v>178</v>
      </c>
      <c r="F29" s="93">
        <v>45661</v>
      </c>
      <c r="G29" s="93">
        <v>45968</v>
      </c>
      <c r="H29" s="108">
        <f t="shared" si="0"/>
        <v>10</v>
      </c>
      <c r="I29" s="108" t="s">
        <v>311</v>
      </c>
      <c r="J29" s="108" t="s">
        <v>396</v>
      </c>
      <c r="K29" s="92" t="s">
        <v>2383</v>
      </c>
      <c r="L29" s="108" t="s">
        <v>95</v>
      </c>
      <c r="M29" s="108" t="s">
        <v>100</v>
      </c>
      <c r="N29" s="108" t="s">
        <v>2390</v>
      </c>
      <c r="O29" s="108" t="s">
        <v>323</v>
      </c>
      <c r="P29" s="155">
        <f t="shared" si="1"/>
        <v>45962</v>
      </c>
    </row>
    <row r="30" spans="1:16">
      <c r="A30" s="94" t="s">
        <v>2411</v>
      </c>
      <c r="B30" s="92" t="s">
        <v>754</v>
      </c>
      <c r="C30" s="92" t="s">
        <v>755</v>
      </c>
      <c r="D30" s="92" t="s">
        <v>176</v>
      </c>
      <c r="E30" s="92" t="s">
        <v>578</v>
      </c>
      <c r="F30" s="93">
        <v>43729</v>
      </c>
      <c r="G30" s="93">
        <v>45815</v>
      </c>
      <c r="H30" s="108">
        <f t="shared" si="0"/>
        <v>69</v>
      </c>
      <c r="I30" s="108" t="s">
        <v>311</v>
      </c>
      <c r="J30" s="108" t="s">
        <v>415</v>
      </c>
      <c r="K30" s="92" t="s">
        <v>2387</v>
      </c>
      <c r="L30" s="108" t="s">
        <v>95</v>
      </c>
      <c r="M30" s="108" t="s">
        <v>100</v>
      </c>
      <c r="N30" s="108" t="s">
        <v>2390</v>
      </c>
      <c r="O30" s="108" t="s">
        <v>323</v>
      </c>
      <c r="P30" s="155">
        <f t="shared" si="1"/>
        <v>45809</v>
      </c>
    </row>
    <row r="31" spans="1:16">
      <c r="A31" s="94" t="s">
        <v>2412</v>
      </c>
      <c r="B31" s="92" t="s">
        <v>759</v>
      </c>
      <c r="C31" s="92" t="s">
        <v>638</v>
      </c>
      <c r="D31" s="92" t="s">
        <v>416</v>
      </c>
      <c r="E31" s="92" t="s">
        <v>558</v>
      </c>
      <c r="F31" s="93">
        <v>42889</v>
      </c>
      <c r="G31" s="93">
        <v>46023</v>
      </c>
      <c r="H31" s="108">
        <f t="shared" si="0"/>
        <v>104</v>
      </c>
      <c r="I31" s="108" t="s">
        <v>311</v>
      </c>
      <c r="J31" s="108" t="s">
        <v>376</v>
      </c>
      <c r="K31" s="92" t="s">
        <v>2383</v>
      </c>
      <c r="L31" s="108" t="s">
        <v>95</v>
      </c>
      <c r="M31" s="108" t="s">
        <v>100</v>
      </c>
      <c r="N31" s="108" t="s">
        <v>2390</v>
      </c>
      <c r="O31" s="108" t="s">
        <v>2393</v>
      </c>
      <c r="P31" s="155">
        <f t="shared" si="1"/>
        <v>46023</v>
      </c>
    </row>
    <row r="32" spans="1:16">
      <c r="A32" s="94" t="s">
        <v>2413</v>
      </c>
      <c r="B32" s="92" t="s">
        <v>766</v>
      </c>
      <c r="C32" s="92" t="s">
        <v>767</v>
      </c>
      <c r="D32" s="92" t="s">
        <v>176</v>
      </c>
      <c r="E32" s="92" t="s">
        <v>178</v>
      </c>
      <c r="F32" s="93">
        <v>45563</v>
      </c>
      <c r="G32" s="93">
        <v>46115</v>
      </c>
      <c r="H32" s="108">
        <f t="shared" si="0"/>
        <v>18</v>
      </c>
      <c r="I32" s="108" t="s">
        <v>311</v>
      </c>
      <c r="J32" s="108" t="s">
        <v>315</v>
      </c>
      <c r="K32" s="92" t="s">
        <v>2383</v>
      </c>
      <c r="L32" s="108" t="s">
        <v>95</v>
      </c>
      <c r="M32" s="108" t="s">
        <v>95</v>
      </c>
      <c r="N32" s="108" t="s">
        <v>2390</v>
      </c>
      <c r="O32" s="108" t="s">
        <v>323</v>
      </c>
      <c r="P32" s="155">
        <f t="shared" si="1"/>
        <v>46113</v>
      </c>
    </row>
    <row r="33" spans="1:16">
      <c r="A33" s="94" t="s">
        <v>2414</v>
      </c>
      <c r="B33" s="92" t="s">
        <v>771</v>
      </c>
      <c r="C33" s="92" t="s">
        <v>772</v>
      </c>
      <c r="D33" s="92" t="s">
        <v>379</v>
      </c>
      <c r="E33" s="92" t="s">
        <v>545</v>
      </c>
      <c r="F33" s="93">
        <v>44593</v>
      </c>
      <c r="G33" s="93">
        <v>45780</v>
      </c>
      <c r="H33" s="108">
        <f t="shared" si="0"/>
        <v>39</v>
      </c>
      <c r="I33" s="108" t="s">
        <v>386</v>
      </c>
      <c r="J33" s="108" t="s">
        <v>2399</v>
      </c>
      <c r="K33" s="92" t="s">
        <v>319</v>
      </c>
      <c r="L33" s="108" t="s">
        <v>100</v>
      </c>
      <c r="M33" s="108" t="s">
        <v>95</v>
      </c>
      <c r="N33" s="108" t="s">
        <v>323</v>
      </c>
      <c r="O33" s="108" t="s">
        <v>2381</v>
      </c>
      <c r="P33" s="155">
        <f t="shared" si="1"/>
        <v>45778</v>
      </c>
    </row>
    <row r="34" spans="1:16">
      <c r="A34" s="94" t="s">
        <v>2415</v>
      </c>
      <c r="B34" s="92" t="s">
        <v>773</v>
      </c>
      <c r="C34" s="92" t="s">
        <v>562</v>
      </c>
      <c r="D34" s="92" t="s">
        <v>407</v>
      </c>
      <c r="E34" s="92" t="s">
        <v>502</v>
      </c>
      <c r="F34" s="93">
        <v>45104</v>
      </c>
      <c r="G34" s="93">
        <v>46043</v>
      </c>
      <c r="H34" s="108">
        <f t="shared" si="0"/>
        <v>31</v>
      </c>
      <c r="I34" s="108" t="s">
        <v>311</v>
      </c>
      <c r="J34" s="108" t="s">
        <v>415</v>
      </c>
      <c r="K34" s="92" t="s">
        <v>2389</v>
      </c>
      <c r="L34" s="108" t="s">
        <v>95</v>
      </c>
      <c r="M34" s="108" t="s">
        <v>100</v>
      </c>
      <c r="N34" s="108" t="s">
        <v>323</v>
      </c>
      <c r="O34" s="108" t="s">
        <v>2381</v>
      </c>
      <c r="P34" s="155">
        <f t="shared" si="1"/>
        <v>46023</v>
      </c>
    </row>
    <row r="35" spans="1:16">
      <c r="A35" s="94" t="s">
        <v>2416</v>
      </c>
      <c r="B35" s="92" t="s">
        <v>780</v>
      </c>
      <c r="C35" s="92" t="s">
        <v>781</v>
      </c>
      <c r="D35" s="92" t="s">
        <v>371</v>
      </c>
      <c r="E35" s="92" t="s">
        <v>463</v>
      </c>
      <c r="F35" s="93">
        <v>45168</v>
      </c>
      <c r="G35" s="93">
        <v>45866</v>
      </c>
      <c r="H35" s="108">
        <f t="shared" si="0"/>
        <v>23</v>
      </c>
      <c r="I35" s="108" t="s">
        <v>311</v>
      </c>
      <c r="J35" s="108" t="s">
        <v>387</v>
      </c>
      <c r="K35" s="92" t="s">
        <v>2378</v>
      </c>
      <c r="L35" s="108" t="s">
        <v>95</v>
      </c>
      <c r="M35" s="108" t="s">
        <v>95</v>
      </c>
      <c r="N35" s="108" t="s">
        <v>2390</v>
      </c>
      <c r="O35" s="108" t="s">
        <v>2393</v>
      </c>
      <c r="P35" s="155">
        <f t="shared" si="1"/>
        <v>45839</v>
      </c>
    </row>
    <row r="36" spans="1:16">
      <c r="A36" s="94" t="s">
        <v>2417</v>
      </c>
      <c r="B36" s="92" t="s">
        <v>799</v>
      </c>
      <c r="C36" s="92" t="s">
        <v>800</v>
      </c>
      <c r="D36" s="92" t="s">
        <v>152</v>
      </c>
      <c r="E36" s="92" t="s">
        <v>428</v>
      </c>
      <c r="F36" s="93">
        <v>42784</v>
      </c>
      <c r="G36" s="93">
        <v>45941</v>
      </c>
      <c r="H36" s="108">
        <f t="shared" si="0"/>
        <v>105</v>
      </c>
      <c r="I36" s="108" t="s">
        <v>311</v>
      </c>
      <c r="J36" s="108" t="s">
        <v>387</v>
      </c>
      <c r="K36" s="92" t="s">
        <v>2385</v>
      </c>
      <c r="L36" s="108" t="s">
        <v>100</v>
      </c>
      <c r="M36" s="108" t="s">
        <v>95</v>
      </c>
      <c r="N36" s="108" t="s">
        <v>323</v>
      </c>
      <c r="O36" s="108" t="s">
        <v>2381</v>
      </c>
      <c r="P36" s="155">
        <f t="shared" si="1"/>
        <v>45931</v>
      </c>
    </row>
    <row r="37" spans="1:16">
      <c r="A37" s="94" t="s">
        <v>2418</v>
      </c>
      <c r="B37" s="92" t="s">
        <v>807</v>
      </c>
      <c r="C37" s="92" t="s">
        <v>468</v>
      </c>
      <c r="D37" s="92" t="s">
        <v>371</v>
      </c>
      <c r="E37" s="92" t="s">
        <v>463</v>
      </c>
      <c r="F37" s="93">
        <v>43846</v>
      </c>
      <c r="G37" s="93">
        <v>45866</v>
      </c>
      <c r="H37" s="108">
        <f t="shared" si="0"/>
        <v>67</v>
      </c>
      <c r="I37" s="108" t="s">
        <v>386</v>
      </c>
      <c r="J37" s="108" t="s">
        <v>419</v>
      </c>
      <c r="K37" s="92" t="s">
        <v>2389</v>
      </c>
      <c r="L37" s="108" t="s">
        <v>100</v>
      </c>
      <c r="M37" s="108" t="s">
        <v>95</v>
      </c>
      <c r="N37" s="108" t="s">
        <v>2390</v>
      </c>
      <c r="O37" s="108" t="s">
        <v>2393</v>
      </c>
      <c r="P37" s="155">
        <f t="shared" si="1"/>
        <v>45839</v>
      </c>
    </row>
    <row r="38" spans="1:16">
      <c r="A38" s="94" t="s">
        <v>2419</v>
      </c>
      <c r="B38" s="92" t="s">
        <v>818</v>
      </c>
      <c r="C38" s="92" t="s">
        <v>819</v>
      </c>
      <c r="D38" s="92" t="s">
        <v>176</v>
      </c>
      <c r="E38" s="92" t="s">
        <v>178</v>
      </c>
      <c r="F38" s="93">
        <v>44755</v>
      </c>
      <c r="G38" s="93">
        <v>45934</v>
      </c>
      <c r="H38" s="108">
        <f t="shared" si="0"/>
        <v>39</v>
      </c>
      <c r="I38" s="108" t="s">
        <v>386</v>
      </c>
      <c r="J38" s="108" t="s">
        <v>410</v>
      </c>
      <c r="K38" s="92" t="s">
        <v>2385</v>
      </c>
      <c r="L38" s="108" t="s">
        <v>100</v>
      </c>
      <c r="M38" s="108" t="s">
        <v>100</v>
      </c>
      <c r="N38" s="108" t="s">
        <v>2380</v>
      </c>
      <c r="O38" s="108" t="s">
        <v>2393</v>
      </c>
      <c r="P38" s="155">
        <f t="shared" si="1"/>
        <v>45931</v>
      </c>
    </row>
    <row r="39" spans="1:16">
      <c r="A39" s="94" t="s">
        <v>2420</v>
      </c>
      <c r="B39" s="92" t="s">
        <v>828</v>
      </c>
      <c r="C39" s="92" t="s">
        <v>510</v>
      </c>
      <c r="D39" s="92" t="s">
        <v>104</v>
      </c>
      <c r="E39" s="92" t="s">
        <v>474</v>
      </c>
      <c r="F39" s="93">
        <v>44962</v>
      </c>
      <c r="G39" s="93">
        <v>45679</v>
      </c>
      <c r="H39" s="108">
        <f t="shared" si="0"/>
        <v>23</v>
      </c>
      <c r="I39" s="108" t="s">
        <v>311</v>
      </c>
      <c r="J39" s="108" t="s">
        <v>376</v>
      </c>
      <c r="K39" s="92" t="s">
        <v>2378</v>
      </c>
      <c r="L39" s="108" t="s">
        <v>100</v>
      </c>
      <c r="M39" s="108" t="s">
        <v>100</v>
      </c>
      <c r="N39" s="108" t="s">
        <v>2380</v>
      </c>
      <c r="O39" s="108" t="s">
        <v>323</v>
      </c>
      <c r="P39" s="155">
        <f t="shared" si="1"/>
        <v>45658</v>
      </c>
    </row>
    <row r="40" spans="1:16">
      <c r="A40" s="94" t="s">
        <v>2421</v>
      </c>
      <c r="B40" s="92" t="s">
        <v>835</v>
      </c>
      <c r="C40" s="92" t="s">
        <v>836</v>
      </c>
      <c r="D40" s="92" t="s">
        <v>371</v>
      </c>
      <c r="E40" s="92" t="s">
        <v>463</v>
      </c>
      <c r="F40" s="93">
        <v>45100</v>
      </c>
      <c r="G40" s="93">
        <v>45658</v>
      </c>
      <c r="H40" s="108">
        <f t="shared" si="0"/>
        <v>18</v>
      </c>
      <c r="I40" s="108" t="s">
        <v>311</v>
      </c>
      <c r="J40" s="108" t="s">
        <v>376</v>
      </c>
      <c r="K40" s="92" t="s">
        <v>2378</v>
      </c>
      <c r="L40" s="108" t="s">
        <v>95</v>
      </c>
      <c r="M40" s="108" t="s">
        <v>100</v>
      </c>
      <c r="N40" s="108" t="s">
        <v>2380</v>
      </c>
      <c r="O40" s="108" t="s">
        <v>2393</v>
      </c>
      <c r="P40" s="155">
        <f t="shared" si="1"/>
        <v>45658</v>
      </c>
    </row>
    <row r="41" spans="1:16">
      <c r="A41" s="94" t="s">
        <v>2422</v>
      </c>
      <c r="B41" s="92" t="s">
        <v>837</v>
      </c>
      <c r="C41" s="92" t="s">
        <v>838</v>
      </c>
      <c r="D41" s="92" t="s">
        <v>421</v>
      </c>
      <c r="E41" s="92" t="s">
        <v>554</v>
      </c>
      <c r="F41" s="93">
        <v>45140</v>
      </c>
      <c r="G41" s="93">
        <v>45837</v>
      </c>
      <c r="H41" s="108">
        <f t="shared" si="0"/>
        <v>23</v>
      </c>
      <c r="I41" s="108" t="s">
        <v>311</v>
      </c>
      <c r="J41" s="108" t="s">
        <v>405</v>
      </c>
      <c r="K41" s="92" t="s">
        <v>319</v>
      </c>
      <c r="L41" s="108" t="s">
        <v>100</v>
      </c>
      <c r="M41" s="108" t="s">
        <v>100</v>
      </c>
      <c r="N41" s="108" t="s">
        <v>2390</v>
      </c>
      <c r="O41" s="108" t="s">
        <v>323</v>
      </c>
      <c r="P41" s="155">
        <f t="shared" si="1"/>
        <v>45809</v>
      </c>
    </row>
    <row r="42" spans="1:16">
      <c r="A42" s="94" t="s">
        <v>2423</v>
      </c>
      <c r="B42" s="92" t="s">
        <v>839</v>
      </c>
      <c r="C42" s="92" t="s">
        <v>303</v>
      </c>
      <c r="D42" s="92" t="s">
        <v>176</v>
      </c>
      <c r="E42" s="92" t="s">
        <v>178</v>
      </c>
      <c r="F42" s="93">
        <v>43986</v>
      </c>
      <c r="G42" s="93">
        <v>46036</v>
      </c>
      <c r="H42" s="108">
        <f t="shared" si="0"/>
        <v>68</v>
      </c>
      <c r="I42" s="108" t="s">
        <v>311</v>
      </c>
      <c r="J42" s="108" t="s">
        <v>387</v>
      </c>
      <c r="K42" s="92" t="s">
        <v>2383</v>
      </c>
      <c r="L42" s="108" t="s">
        <v>95</v>
      </c>
      <c r="M42" s="108" t="s">
        <v>95</v>
      </c>
      <c r="N42" s="108" t="s">
        <v>2390</v>
      </c>
      <c r="O42" s="108" t="s">
        <v>2381</v>
      </c>
      <c r="P42" s="155">
        <f t="shared" si="1"/>
        <v>46023</v>
      </c>
    </row>
    <row r="43" spans="1:16">
      <c r="A43" s="94" t="s">
        <v>2424</v>
      </c>
      <c r="B43" s="92" t="s">
        <v>840</v>
      </c>
      <c r="C43" s="92" t="s">
        <v>841</v>
      </c>
      <c r="D43" s="92" t="s">
        <v>271</v>
      </c>
      <c r="E43" s="92" t="s">
        <v>522</v>
      </c>
      <c r="F43" s="93">
        <v>45008</v>
      </c>
      <c r="G43" s="93">
        <v>45942</v>
      </c>
      <c r="H43" s="108">
        <f t="shared" si="0"/>
        <v>31</v>
      </c>
      <c r="I43" s="108" t="s">
        <v>386</v>
      </c>
      <c r="J43" s="108" t="s">
        <v>419</v>
      </c>
      <c r="K43" s="92" t="s">
        <v>2378</v>
      </c>
      <c r="L43" s="108" t="s">
        <v>100</v>
      </c>
      <c r="M43" s="108" t="s">
        <v>95</v>
      </c>
      <c r="N43" s="108" t="s">
        <v>2380</v>
      </c>
      <c r="O43" s="108" t="s">
        <v>2381</v>
      </c>
      <c r="P43" s="155">
        <f t="shared" si="1"/>
        <v>45931</v>
      </c>
    </row>
    <row r="44" spans="1:16">
      <c r="A44" s="94" t="s">
        <v>2425</v>
      </c>
      <c r="B44" s="92" t="s">
        <v>863</v>
      </c>
      <c r="C44" s="92" t="s">
        <v>582</v>
      </c>
      <c r="D44" s="92" t="s">
        <v>421</v>
      </c>
      <c r="E44" s="92" t="s">
        <v>479</v>
      </c>
      <c r="F44" s="93">
        <v>42774</v>
      </c>
      <c r="G44" s="93">
        <v>46068</v>
      </c>
      <c r="H44" s="108">
        <f t="shared" si="0"/>
        <v>109</v>
      </c>
      <c r="I44" s="108" t="s">
        <v>311</v>
      </c>
      <c r="J44" s="108" t="s">
        <v>315</v>
      </c>
      <c r="K44" s="92" t="s">
        <v>2387</v>
      </c>
      <c r="L44" s="108" t="s">
        <v>100</v>
      </c>
      <c r="M44" s="108" t="s">
        <v>100</v>
      </c>
      <c r="N44" s="108" t="s">
        <v>2380</v>
      </c>
      <c r="O44" s="108" t="s">
        <v>2393</v>
      </c>
      <c r="P44" s="155">
        <f t="shared" si="1"/>
        <v>46054</v>
      </c>
    </row>
    <row r="45" spans="1:16">
      <c r="A45" s="94" t="s">
        <v>2426</v>
      </c>
      <c r="B45" s="92" t="s">
        <v>864</v>
      </c>
      <c r="C45" s="92" t="s">
        <v>730</v>
      </c>
      <c r="D45" s="92" t="s">
        <v>379</v>
      </c>
      <c r="E45" s="92" t="s">
        <v>457</v>
      </c>
      <c r="F45" s="93">
        <v>43961</v>
      </c>
      <c r="G45" s="93">
        <v>45797</v>
      </c>
      <c r="H45" s="108">
        <f t="shared" si="0"/>
        <v>61</v>
      </c>
      <c r="I45" s="108" t="s">
        <v>386</v>
      </c>
      <c r="J45" s="108" t="s">
        <v>410</v>
      </c>
      <c r="K45" s="92" t="s">
        <v>2387</v>
      </c>
      <c r="L45" s="108" t="s">
        <v>100</v>
      </c>
      <c r="M45" s="108" t="s">
        <v>100</v>
      </c>
      <c r="N45" s="108" t="s">
        <v>323</v>
      </c>
      <c r="O45" s="108" t="s">
        <v>323</v>
      </c>
      <c r="P45" s="155">
        <f t="shared" si="1"/>
        <v>45778</v>
      </c>
    </row>
    <row r="46" spans="1:16">
      <c r="A46" s="94" t="s">
        <v>2427</v>
      </c>
      <c r="B46" s="92" t="s">
        <v>882</v>
      </c>
      <c r="C46" s="92" t="s">
        <v>883</v>
      </c>
      <c r="D46" s="92" t="s">
        <v>176</v>
      </c>
      <c r="E46" s="92" t="s">
        <v>578</v>
      </c>
      <c r="F46" s="93">
        <v>44378</v>
      </c>
      <c r="G46" s="93">
        <v>45893</v>
      </c>
      <c r="H46" s="108">
        <f t="shared" si="0"/>
        <v>50</v>
      </c>
      <c r="I46" s="108" t="s">
        <v>311</v>
      </c>
      <c r="J46" s="108" t="s">
        <v>315</v>
      </c>
      <c r="K46" s="92" t="s">
        <v>2389</v>
      </c>
      <c r="L46" s="108" t="s">
        <v>100</v>
      </c>
      <c r="M46" s="108" t="s">
        <v>95</v>
      </c>
      <c r="N46" s="108" t="s">
        <v>2380</v>
      </c>
      <c r="O46" s="108" t="s">
        <v>323</v>
      </c>
      <c r="P46" s="155">
        <f t="shared" si="1"/>
        <v>45870</v>
      </c>
    </row>
    <row r="47" spans="1:16">
      <c r="A47" s="94" t="s">
        <v>2428</v>
      </c>
      <c r="B47" s="92" t="s">
        <v>892</v>
      </c>
      <c r="C47" s="92" t="s">
        <v>749</v>
      </c>
      <c r="D47" s="92" t="s">
        <v>176</v>
      </c>
      <c r="E47" s="92" t="s">
        <v>178</v>
      </c>
      <c r="F47" s="93">
        <v>44401</v>
      </c>
      <c r="G47" s="93">
        <v>45969</v>
      </c>
      <c r="H47" s="108">
        <f t="shared" si="0"/>
        <v>52</v>
      </c>
      <c r="I47" s="108" t="s">
        <v>386</v>
      </c>
      <c r="J47" s="108" t="s">
        <v>419</v>
      </c>
      <c r="K47" s="92" t="s">
        <v>2389</v>
      </c>
      <c r="L47" s="108" t="s">
        <v>100</v>
      </c>
      <c r="M47" s="108" t="s">
        <v>95</v>
      </c>
      <c r="N47" s="108" t="s">
        <v>323</v>
      </c>
      <c r="O47" s="108" t="s">
        <v>2381</v>
      </c>
      <c r="P47" s="155">
        <f t="shared" si="1"/>
        <v>45962</v>
      </c>
    </row>
    <row r="48" spans="1:16">
      <c r="A48" s="94" t="s">
        <v>2429</v>
      </c>
      <c r="B48" s="92" t="s">
        <v>896</v>
      </c>
      <c r="C48" s="92" t="s">
        <v>675</v>
      </c>
      <c r="D48" s="92" t="s">
        <v>37</v>
      </c>
      <c r="E48" s="92" t="s">
        <v>537</v>
      </c>
      <c r="F48" s="93">
        <v>42943</v>
      </c>
      <c r="G48" s="93">
        <v>46116</v>
      </c>
      <c r="H48" s="108">
        <f t="shared" si="0"/>
        <v>105</v>
      </c>
      <c r="I48" s="108" t="s">
        <v>386</v>
      </c>
      <c r="J48" s="108" t="s">
        <v>2399</v>
      </c>
      <c r="K48" s="92" t="s">
        <v>2387</v>
      </c>
      <c r="L48" s="108" t="s">
        <v>100</v>
      </c>
      <c r="M48" s="108" t="s">
        <v>100</v>
      </c>
      <c r="N48" s="108" t="s">
        <v>323</v>
      </c>
      <c r="O48" s="108" t="s">
        <v>2381</v>
      </c>
      <c r="P48" s="155">
        <f t="shared" si="1"/>
        <v>46113</v>
      </c>
    </row>
    <row r="49" spans="1:16">
      <c r="A49" s="94" t="s">
        <v>2430</v>
      </c>
      <c r="B49" s="92" t="s">
        <v>903</v>
      </c>
      <c r="C49" s="92" t="s">
        <v>904</v>
      </c>
      <c r="D49" s="92" t="s">
        <v>104</v>
      </c>
      <c r="E49" s="92" t="s">
        <v>113</v>
      </c>
      <c r="F49" s="93">
        <v>43389</v>
      </c>
      <c r="G49" s="93">
        <v>45699</v>
      </c>
      <c r="H49" s="108">
        <f t="shared" si="0"/>
        <v>77</v>
      </c>
      <c r="I49" s="108" t="s">
        <v>311</v>
      </c>
      <c r="J49" s="108" t="s">
        <v>387</v>
      </c>
      <c r="K49" s="92" t="s">
        <v>319</v>
      </c>
      <c r="L49" s="108" t="s">
        <v>95</v>
      </c>
      <c r="M49" s="108" t="s">
        <v>100</v>
      </c>
      <c r="N49" s="108" t="s">
        <v>2380</v>
      </c>
      <c r="O49" s="108" t="s">
        <v>323</v>
      </c>
      <c r="P49" s="155">
        <f t="shared" si="1"/>
        <v>45689</v>
      </c>
    </row>
    <row r="50" spans="1:16">
      <c r="A50" s="94" t="s">
        <v>2431</v>
      </c>
      <c r="B50" s="92" t="s">
        <v>907</v>
      </c>
      <c r="C50" s="92" t="s">
        <v>908</v>
      </c>
      <c r="D50" s="92" t="s">
        <v>416</v>
      </c>
      <c r="E50" s="92" t="s">
        <v>541</v>
      </c>
      <c r="F50" s="93">
        <v>44744</v>
      </c>
      <c r="G50" s="93">
        <v>45838</v>
      </c>
      <c r="H50" s="108">
        <f t="shared" si="0"/>
        <v>36</v>
      </c>
      <c r="I50" s="108" t="s">
        <v>311</v>
      </c>
      <c r="J50" s="108" t="s">
        <v>415</v>
      </c>
      <c r="K50" s="92" t="s">
        <v>319</v>
      </c>
      <c r="L50" s="108" t="s">
        <v>95</v>
      </c>
      <c r="M50" s="108" t="s">
        <v>95</v>
      </c>
      <c r="N50" s="108" t="s">
        <v>2380</v>
      </c>
      <c r="O50" s="108" t="s">
        <v>323</v>
      </c>
      <c r="P50" s="155">
        <f t="shared" si="1"/>
        <v>45809</v>
      </c>
    </row>
    <row r="51" spans="1:16">
      <c r="A51" s="94" t="s">
        <v>2432</v>
      </c>
      <c r="B51" s="92" t="s">
        <v>914</v>
      </c>
      <c r="C51" s="92" t="s">
        <v>852</v>
      </c>
      <c r="D51" s="92" t="s">
        <v>379</v>
      </c>
      <c r="E51" s="92" t="s">
        <v>588</v>
      </c>
      <c r="F51" s="93">
        <v>45686</v>
      </c>
      <c r="G51" s="93">
        <v>45779</v>
      </c>
      <c r="H51" s="108">
        <f t="shared" si="0"/>
        <v>3</v>
      </c>
      <c r="I51" s="108" t="s">
        <v>386</v>
      </c>
      <c r="J51" s="108" t="s">
        <v>419</v>
      </c>
      <c r="K51" s="92" t="s">
        <v>2383</v>
      </c>
      <c r="L51" s="108" t="s">
        <v>100</v>
      </c>
      <c r="M51" s="108" t="s">
        <v>100</v>
      </c>
      <c r="N51" s="108" t="s">
        <v>2390</v>
      </c>
      <c r="O51" s="108" t="s">
        <v>323</v>
      </c>
      <c r="P51" s="155">
        <f t="shared" si="1"/>
        <v>45778</v>
      </c>
    </row>
    <row r="52" spans="1:16">
      <c r="A52" s="95" t="s">
        <v>2433</v>
      </c>
      <c r="B52" s="96" t="s">
        <v>919</v>
      </c>
      <c r="C52" s="96" t="s">
        <v>920</v>
      </c>
      <c r="D52" s="96" t="s">
        <v>152</v>
      </c>
      <c r="E52" s="96" t="s">
        <v>452</v>
      </c>
      <c r="F52" s="97">
        <v>43365</v>
      </c>
      <c r="G52" s="97">
        <v>46038</v>
      </c>
      <c r="H52" s="157">
        <f t="shared" si="0"/>
        <v>89</v>
      </c>
      <c r="I52" s="157" t="s">
        <v>311</v>
      </c>
      <c r="J52" s="157" t="s">
        <v>376</v>
      </c>
      <c r="K52" s="96" t="s">
        <v>2383</v>
      </c>
      <c r="L52" s="157" t="s">
        <v>100</v>
      </c>
      <c r="M52" s="157" t="s">
        <v>100</v>
      </c>
      <c r="N52" s="157" t="s">
        <v>2390</v>
      </c>
      <c r="O52" s="157" t="s">
        <v>323</v>
      </c>
      <c r="P52" s="158">
        <f t="shared" si="1"/>
        <v>46023</v>
      </c>
    </row>
  </sheetData>
  <dataValidations count="3">
    <dataValidation type="list" sqref="I5:I52" xr:uid="{00000000-0002-0000-0900-000000000000}">
      <formula1>"Voluntary,Involuntary"</formula1>
    </dataValidation>
    <dataValidation type="list" sqref="J5:J52" xr:uid="{00000000-0002-0000-0900-000001000000}">
      <formula1>AttritionReasonCategories</formula1>
    </dataValidation>
    <dataValidation type="list" allowBlank="1" showInputMessage="1" showErrorMessage="1" sqref="D5:D52" xr:uid="{F288332D-1AA0-CF4E-A955-951399A96AAE}">
      <formula1>Departments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4"/>
  <sheetViews>
    <sheetView showGridLines="0" workbookViewId="0">
      <pane ySplit="4" topLeftCell="A5" activePane="bottomLeft" state="frozen"/>
      <selection pane="bottomLeft" activeCell="G19" sqref="G19"/>
    </sheetView>
  </sheetViews>
  <sheetFormatPr baseColWidth="10" defaultColWidth="8.83203125" defaultRowHeight="15"/>
  <cols>
    <col min="1" max="1" width="16" style="91" customWidth="1"/>
    <col min="2" max="2" width="12" style="91" customWidth="1"/>
    <col min="3" max="3" width="22" style="91" customWidth="1"/>
    <col min="4" max="5" width="18" style="91" customWidth="1"/>
    <col min="6" max="6" width="16" style="91" customWidth="1"/>
    <col min="7" max="7" width="16.5" style="91" customWidth="1"/>
    <col min="8" max="8" width="12" style="91" customWidth="1"/>
    <col min="9" max="9" width="25.6640625" style="91" customWidth="1"/>
    <col min="10" max="10" width="23.5" style="91" customWidth="1"/>
    <col min="11" max="11" width="20.33203125" style="91" customWidth="1"/>
    <col min="12" max="16384" width="8.83203125" style="91"/>
  </cols>
  <sheetData>
    <row r="1" spans="1:11" ht="44">
      <c r="A1" s="53" t="s">
        <v>2434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25">
      <c r="A2" s="68" t="s">
        <v>2435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32">
      <c r="A4" s="98" t="s">
        <v>328</v>
      </c>
      <c r="B4" s="99" t="s">
        <v>331</v>
      </c>
      <c r="C4" s="99" t="s">
        <v>102</v>
      </c>
      <c r="D4" s="99" t="s">
        <v>334</v>
      </c>
      <c r="E4" s="99" t="s">
        <v>335</v>
      </c>
      <c r="F4" s="99" t="s">
        <v>337</v>
      </c>
      <c r="G4" s="99" t="s">
        <v>339</v>
      </c>
      <c r="H4" s="99" t="s">
        <v>341</v>
      </c>
      <c r="I4" s="99" t="s">
        <v>343</v>
      </c>
      <c r="J4" s="99" t="s">
        <v>345</v>
      </c>
      <c r="K4" s="109" t="s">
        <v>347</v>
      </c>
    </row>
    <row r="5" spans="1:11">
      <c r="A5" s="100" t="s">
        <v>330</v>
      </c>
      <c r="B5" s="159">
        <v>45778</v>
      </c>
      <c r="C5" s="101" t="s">
        <v>152</v>
      </c>
      <c r="D5" s="83">
        <v>28</v>
      </c>
      <c r="E5" s="101">
        <v>1484</v>
      </c>
      <c r="F5" s="101">
        <v>1348</v>
      </c>
      <c r="G5" s="114">
        <v>112.5</v>
      </c>
      <c r="H5" s="83">
        <v>6</v>
      </c>
      <c r="I5" s="114">
        <f t="shared" ref="I5:I36" si="0">IFERROR($F5/$D5,0)</f>
        <v>48.142857142857146</v>
      </c>
      <c r="J5" s="114">
        <f t="shared" ref="J5:J36" si="1">IFERROR($E5/$D5,0)</f>
        <v>53</v>
      </c>
      <c r="K5" s="112" t="str">
        <f t="shared" ref="K5:K36" si="2">IF($J5&gt;100,"High",IF($J5&gt;75,"Moderate","Normal"))</f>
        <v>Normal</v>
      </c>
    </row>
    <row r="6" spans="1:11">
      <c r="A6" s="100" t="s">
        <v>2436</v>
      </c>
      <c r="B6" s="159">
        <v>45778</v>
      </c>
      <c r="C6" s="101" t="s">
        <v>379</v>
      </c>
      <c r="D6" s="83">
        <v>19</v>
      </c>
      <c r="E6" s="101">
        <v>2204</v>
      </c>
      <c r="F6" s="101">
        <v>2145</v>
      </c>
      <c r="G6" s="114">
        <v>85.4</v>
      </c>
      <c r="H6" s="83">
        <v>1</v>
      </c>
      <c r="I6" s="114">
        <f t="shared" si="0"/>
        <v>112.89473684210526</v>
      </c>
      <c r="J6" s="114">
        <f t="shared" si="1"/>
        <v>116</v>
      </c>
      <c r="K6" s="112" t="str">
        <f t="shared" si="2"/>
        <v>High</v>
      </c>
    </row>
    <row r="7" spans="1:11">
      <c r="A7" s="100" t="s">
        <v>2437</v>
      </c>
      <c r="B7" s="159">
        <v>45778</v>
      </c>
      <c r="C7" s="101" t="s">
        <v>176</v>
      </c>
      <c r="D7" s="83">
        <v>16</v>
      </c>
      <c r="E7" s="101">
        <v>1248</v>
      </c>
      <c r="F7" s="101">
        <v>1002</v>
      </c>
      <c r="G7" s="114">
        <v>27.2</v>
      </c>
      <c r="H7" s="83">
        <v>0</v>
      </c>
      <c r="I7" s="114">
        <f t="shared" si="0"/>
        <v>62.625</v>
      </c>
      <c r="J7" s="114">
        <f t="shared" si="1"/>
        <v>78</v>
      </c>
      <c r="K7" s="112" t="str">
        <f t="shared" si="2"/>
        <v>Moderate</v>
      </c>
    </row>
    <row r="8" spans="1:11">
      <c r="A8" s="100" t="s">
        <v>2438</v>
      </c>
      <c r="B8" s="159">
        <v>45778</v>
      </c>
      <c r="C8" s="101" t="s">
        <v>371</v>
      </c>
      <c r="D8" s="83">
        <v>14</v>
      </c>
      <c r="E8" s="101">
        <v>1680</v>
      </c>
      <c r="F8" s="101">
        <v>1625</v>
      </c>
      <c r="G8" s="114">
        <v>97.4</v>
      </c>
      <c r="H8" s="83">
        <v>0</v>
      </c>
      <c r="I8" s="114">
        <f t="shared" si="0"/>
        <v>116.07142857142857</v>
      </c>
      <c r="J8" s="114">
        <f t="shared" si="1"/>
        <v>120</v>
      </c>
      <c r="K8" s="112" t="str">
        <f t="shared" si="2"/>
        <v>High</v>
      </c>
    </row>
    <row r="9" spans="1:11">
      <c r="A9" s="100" t="s">
        <v>2439</v>
      </c>
      <c r="B9" s="159">
        <v>45778</v>
      </c>
      <c r="C9" s="101" t="s">
        <v>407</v>
      </c>
      <c r="D9" s="83">
        <v>23</v>
      </c>
      <c r="E9" s="101">
        <v>2116</v>
      </c>
      <c r="F9" s="101">
        <v>1704</v>
      </c>
      <c r="G9" s="114">
        <v>80.7</v>
      </c>
      <c r="H9" s="83">
        <v>6</v>
      </c>
      <c r="I9" s="114">
        <f t="shared" si="0"/>
        <v>74.086956521739125</v>
      </c>
      <c r="J9" s="114">
        <f t="shared" si="1"/>
        <v>92</v>
      </c>
      <c r="K9" s="112" t="str">
        <f t="shared" si="2"/>
        <v>Moderate</v>
      </c>
    </row>
    <row r="10" spans="1:11">
      <c r="A10" s="100" t="s">
        <v>2440</v>
      </c>
      <c r="B10" s="159">
        <v>45778</v>
      </c>
      <c r="C10" s="101" t="s">
        <v>37</v>
      </c>
      <c r="D10" s="83">
        <v>24</v>
      </c>
      <c r="E10" s="101">
        <v>1080</v>
      </c>
      <c r="F10" s="101">
        <v>909</v>
      </c>
      <c r="G10" s="114">
        <v>137.30000000000001</v>
      </c>
      <c r="H10" s="83">
        <v>3</v>
      </c>
      <c r="I10" s="114">
        <f t="shared" si="0"/>
        <v>37.875</v>
      </c>
      <c r="J10" s="114">
        <f t="shared" si="1"/>
        <v>45</v>
      </c>
      <c r="K10" s="112" t="str">
        <f t="shared" si="2"/>
        <v>Normal</v>
      </c>
    </row>
    <row r="11" spans="1:11">
      <c r="A11" s="100" t="s">
        <v>2441</v>
      </c>
      <c r="B11" s="159">
        <v>45778</v>
      </c>
      <c r="C11" s="101" t="s">
        <v>271</v>
      </c>
      <c r="D11" s="83">
        <v>22</v>
      </c>
      <c r="E11" s="101">
        <v>2068</v>
      </c>
      <c r="F11" s="101">
        <v>2018</v>
      </c>
      <c r="G11" s="114">
        <v>78.3</v>
      </c>
      <c r="H11" s="83">
        <v>5</v>
      </c>
      <c r="I11" s="114">
        <f t="shared" si="0"/>
        <v>91.727272727272734</v>
      </c>
      <c r="J11" s="114">
        <f t="shared" si="1"/>
        <v>94</v>
      </c>
      <c r="K11" s="112" t="str">
        <f t="shared" si="2"/>
        <v>Moderate</v>
      </c>
    </row>
    <row r="12" spans="1:11">
      <c r="A12" s="100" t="s">
        <v>2442</v>
      </c>
      <c r="B12" s="159">
        <v>45778</v>
      </c>
      <c r="C12" s="101" t="s">
        <v>416</v>
      </c>
      <c r="D12" s="83">
        <v>24</v>
      </c>
      <c r="E12" s="101">
        <v>1464</v>
      </c>
      <c r="F12" s="101">
        <v>1294</v>
      </c>
      <c r="G12" s="114">
        <v>139.5</v>
      </c>
      <c r="H12" s="83">
        <v>3</v>
      </c>
      <c r="I12" s="114">
        <f t="shared" si="0"/>
        <v>53.916666666666664</v>
      </c>
      <c r="J12" s="114">
        <f t="shared" si="1"/>
        <v>61</v>
      </c>
      <c r="K12" s="112" t="str">
        <f t="shared" si="2"/>
        <v>Normal</v>
      </c>
    </row>
    <row r="13" spans="1:11">
      <c r="A13" s="100" t="s">
        <v>2443</v>
      </c>
      <c r="B13" s="159">
        <v>45778</v>
      </c>
      <c r="C13" s="101" t="s">
        <v>104</v>
      </c>
      <c r="D13" s="83">
        <v>18</v>
      </c>
      <c r="E13" s="101">
        <v>1710</v>
      </c>
      <c r="F13" s="101">
        <v>1336</v>
      </c>
      <c r="G13" s="114">
        <v>140.69999999999999</v>
      </c>
      <c r="H13" s="83">
        <v>2</v>
      </c>
      <c r="I13" s="114">
        <f t="shared" si="0"/>
        <v>74.222222222222229</v>
      </c>
      <c r="J13" s="114">
        <f t="shared" si="1"/>
        <v>95</v>
      </c>
      <c r="K13" s="112" t="str">
        <f t="shared" si="2"/>
        <v>Moderate</v>
      </c>
    </row>
    <row r="14" spans="1:11">
      <c r="A14" s="100" t="s">
        <v>2444</v>
      </c>
      <c r="B14" s="159">
        <v>45778</v>
      </c>
      <c r="C14" s="101" t="s">
        <v>421</v>
      </c>
      <c r="D14" s="83">
        <v>19</v>
      </c>
      <c r="E14" s="101">
        <v>1558</v>
      </c>
      <c r="F14" s="101">
        <v>1476</v>
      </c>
      <c r="G14" s="114">
        <v>95</v>
      </c>
      <c r="H14" s="83">
        <v>3</v>
      </c>
      <c r="I14" s="114">
        <f t="shared" si="0"/>
        <v>77.684210526315795</v>
      </c>
      <c r="J14" s="114">
        <f t="shared" si="1"/>
        <v>82</v>
      </c>
      <c r="K14" s="112" t="str">
        <f t="shared" si="2"/>
        <v>Moderate</v>
      </c>
    </row>
    <row r="15" spans="1:11">
      <c r="A15" s="100" t="s">
        <v>2445</v>
      </c>
      <c r="B15" s="159">
        <v>45809</v>
      </c>
      <c r="C15" s="101" t="s">
        <v>152</v>
      </c>
      <c r="D15" s="83">
        <v>23</v>
      </c>
      <c r="E15" s="101">
        <v>1863</v>
      </c>
      <c r="F15" s="101">
        <v>1507</v>
      </c>
      <c r="G15" s="114">
        <v>145.4</v>
      </c>
      <c r="H15" s="83">
        <v>0</v>
      </c>
      <c r="I15" s="114">
        <f t="shared" si="0"/>
        <v>65.521739130434781</v>
      </c>
      <c r="J15" s="114">
        <f t="shared" si="1"/>
        <v>81</v>
      </c>
      <c r="K15" s="112" t="str">
        <f t="shared" si="2"/>
        <v>Moderate</v>
      </c>
    </row>
    <row r="16" spans="1:11">
      <c r="A16" s="100" t="s">
        <v>2446</v>
      </c>
      <c r="B16" s="159">
        <v>45809</v>
      </c>
      <c r="C16" s="101" t="s">
        <v>379</v>
      </c>
      <c r="D16" s="83">
        <v>18</v>
      </c>
      <c r="E16" s="101">
        <v>1530</v>
      </c>
      <c r="F16" s="101">
        <v>1287</v>
      </c>
      <c r="G16" s="114">
        <v>160.6</v>
      </c>
      <c r="H16" s="83">
        <v>0</v>
      </c>
      <c r="I16" s="114">
        <f t="shared" si="0"/>
        <v>71.5</v>
      </c>
      <c r="J16" s="114">
        <f t="shared" si="1"/>
        <v>85</v>
      </c>
      <c r="K16" s="112" t="str">
        <f t="shared" si="2"/>
        <v>Moderate</v>
      </c>
    </row>
    <row r="17" spans="1:11">
      <c r="A17" s="100" t="s">
        <v>2447</v>
      </c>
      <c r="B17" s="159">
        <v>45809</v>
      </c>
      <c r="C17" s="101" t="s">
        <v>176</v>
      </c>
      <c r="D17" s="83">
        <v>17</v>
      </c>
      <c r="E17" s="101">
        <v>2006</v>
      </c>
      <c r="F17" s="101">
        <v>1756</v>
      </c>
      <c r="G17" s="114">
        <v>129.69999999999999</v>
      </c>
      <c r="H17" s="83">
        <v>3</v>
      </c>
      <c r="I17" s="114">
        <f t="shared" si="0"/>
        <v>103.29411764705883</v>
      </c>
      <c r="J17" s="114">
        <f t="shared" si="1"/>
        <v>118</v>
      </c>
      <c r="K17" s="112" t="str">
        <f t="shared" si="2"/>
        <v>High</v>
      </c>
    </row>
    <row r="18" spans="1:11">
      <c r="A18" s="100" t="s">
        <v>2448</v>
      </c>
      <c r="B18" s="159">
        <v>45809</v>
      </c>
      <c r="C18" s="101" t="s">
        <v>371</v>
      </c>
      <c r="D18" s="83">
        <v>14</v>
      </c>
      <c r="E18" s="101">
        <v>1302</v>
      </c>
      <c r="F18" s="101">
        <v>1030</v>
      </c>
      <c r="G18" s="114">
        <v>104.7</v>
      </c>
      <c r="H18" s="83">
        <v>1</v>
      </c>
      <c r="I18" s="114">
        <f t="shared" si="0"/>
        <v>73.571428571428569</v>
      </c>
      <c r="J18" s="114">
        <f t="shared" si="1"/>
        <v>93</v>
      </c>
      <c r="K18" s="112" t="str">
        <f t="shared" si="2"/>
        <v>Moderate</v>
      </c>
    </row>
    <row r="19" spans="1:11">
      <c r="A19" s="100" t="s">
        <v>2449</v>
      </c>
      <c r="B19" s="159">
        <v>45809</v>
      </c>
      <c r="C19" s="101" t="s">
        <v>407</v>
      </c>
      <c r="D19" s="83">
        <v>25</v>
      </c>
      <c r="E19" s="101">
        <v>1775</v>
      </c>
      <c r="F19" s="101">
        <v>1685</v>
      </c>
      <c r="G19" s="114">
        <v>211.9</v>
      </c>
      <c r="H19" s="83">
        <v>3</v>
      </c>
      <c r="I19" s="114">
        <f t="shared" si="0"/>
        <v>67.400000000000006</v>
      </c>
      <c r="J19" s="114">
        <f t="shared" si="1"/>
        <v>71</v>
      </c>
      <c r="K19" s="112" t="str">
        <f t="shared" si="2"/>
        <v>Normal</v>
      </c>
    </row>
    <row r="20" spans="1:11">
      <c r="A20" s="100" t="s">
        <v>2450</v>
      </c>
      <c r="B20" s="159">
        <v>45809</v>
      </c>
      <c r="C20" s="101" t="s">
        <v>37</v>
      </c>
      <c r="D20" s="83">
        <v>25</v>
      </c>
      <c r="E20" s="101">
        <v>1275</v>
      </c>
      <c r="F20" s="101">
        <v>1229</v>
      </c>
      <c r="G20" s="114">
        <v>180.2</v>
      </c>
      <c r="H20" s="83">
        <v>7</v>
      </c>
      <c r="I20" s="114">
        <f t="shared" si="0"/>
        <v>49.16</v>
      </c>
      <c r="J20" s="114">
        <f t="shared" si="1"/>
        <v>51</v>
      </c>
      <c r="K20" s="112" t="str">
        <f t="shared" si="2"/>
        <v>Normal</v>
      </c>
    </row>
    <row r="21" spans="1:11">
      <c r="A21" s="100" t="s">
        <v>2451</v>
      </c>
      <c r="B21" s="159">
        <v>45809</v>
      </c>
      <c r="C21" s="101" t="s">
        <v>271</v>
      </c>
      <c r="D21" s="83">
        <v>21</v>
      </c>
      <c r="E21" s="101">
        <v>1995</v>
      </c>
      <c r="F21" s="101">
        <v>1675</v>
      </c>
      <c r="G21" s="114">
        <v>157.9</v>
      </c>
      <c r="H21" s="83">
        <v>2</v>
      </c>
      <c r="I21" s="114">
        <f t="shared" si="0"/>
        <v>79.761904761904759</v>
      </c>
      <c r="J21" s="114">
        <f t="shared" si="1"/>
        <v>95</v>
      </c>
      <c r="K21" s="112" t="str">
        <f t="shared" si="2"/>
        <v>Moderate</v>
      </c>
    </row>
    <row r="22" spans="1:11">
      <c r="A22" s="100" t="s">
        <v>2452</v>
      </c>
      <c r="B22" s="159">
        <v>45809</v>
      </c>
      <c r="C22" s="101" t="s">
        <v>416</v>
      </c>
      <c r="D22" s="83">
        <v>18</v>
      </c>
      <c r="E22" s="101">
        <v>2070</v>
      </c>
      <c r="F22" s="101">
        <v>1777</v>
      </c>
      <c r="G22" s="114">
        <v>78.8</v>
      </c>
      <c r="H22" s="83">
        <v>3</v>
      </c>
      <c r="I22" s="114">
        <f t="shared" si="0"/>
        <v>98.722222222222229</v>
      </c>
      <c r="J22" s="114">
        <f t="shared" si="1"/>
        <v>115</v>
      </c>
      <c r="K22" s="112" t="str">
        <f t="shared" si="2"/>
        <v>High</v>
      </c>
    </row>
    <row r="23" spans="1:11">
      <c r="A23" s="100" t="s">
        <v>2453</v>
      </c>
      <c r="B23" s="159">
        <v>45809</v>
      </c>
      <c r="C23" s="101" t="s">
        <v>104</v>
      </c>
      <c r="D23" s="83">
        <v>20</v>
      </c>
      <c r="E23" s="101">
        <v>1900</v>
      </c>
      <c r="F23" s="101">
        <v>1630</v>
      </c>
      <c r="G23" s="114">
        <v>104.5</v>
      </c>
      <c r="H23" s="83">
        <v>2</v>
      </c>
      <c r="I23" s="114">
        <f t="shared" si="0"/>
        <v>81.5</v>
      </c>
      <c r="J23" s="114">
        <f t="shared" si="1"/>
        <v>95</v>
      </c>
      <c r="K23" s="112" t="str">
        <f t="shared" si="2"/>
        <v>Moderate</v>
      </c>
    </row>
    <row r="24" spans="1:11">
      <c r="A24" s="100" t="s">
        <v>2454</v>
      </c>
      <c r="B24" s="159">
        <v>45809</v>
      </c>
      <c r="C24" s="101" t="s">
        <v>421</v>
      </c>
      <c r="D24" s="83">
        <v>20</v>
      </c>
      <c r="E24" s="101">
        <v>1380</v>
      </c>
      <c r="F24" s="101">
        <v>1269</v>
      </c>
      <c r="G24" s="114">
        <v>107.7</v>
      </c>
      <c r="H24" s="83">
        <v>0</v>
      </c>
      <c r="I24" s="114">
        <f t="shared" si="0"/>
        <v>63.45</v>
      </c>
      <c r="J24" s="114">
        <f t="shared" si="1"/>
        <v>69</v>
      </c>
      <c r="K24" s="112" t="str">
        <f t="shared" si="2"/>
        <v>Normal</v>
      </c>
    </row>
    <row r="25" spans="1:11">
      <c r="A25" s="100" t="s">
        <v>2455</v>
      </c>
      <c r="B25" s="159">
        <v>45839</v>
      </c>
      <c r="C25" s="101" t="s">
        <v>152</v>
      </c>
      <c r="D25" s="83">
        <v>23</v>
      </c>
      <c r="E25" s="101">
        <v>1978</v>
      </c>
      <c r="F25" s="101">
        <v>1840</v>
      </c>
      <c r="G25" s="114">
        <v>129.80000000000001</v>
      </c>
      <c r="H25" s="83">
        <v>0</v>
      </c>
      <c r="I25" s="114">
        <f t="shared" si="0"/>
        <v>80</v>
      </c>
      <c r="J25" s="114">
        <f t="shared" si="1"/>
        <v>86</v>
      </c>
      <c r="K25" s="112" t="str">
        <f t="shared" si="2"/>
        <v>Moderate</v>
      </c>
    </row>
    <row r="26" spans="1:11">
      <c r="A26" s="100" t="s">
        <v>2456</v>
      </c>
      <c r="B26" s="159">
        <v>45839</v>
      </c>
      <c r="C26" s="101" t="s">
        <v>379</v>
      </c>
      <c r="D26" s="83">
        <v>20</v>
      </c>
      <c r="E26" s="101">
        <v>1660</v>
      </c>
      <c r="F26" s="101">
        <v>1446</v>
      </c>
      <c r="G26" s="114">
        <v>46.2</v>
      </c>
      <c r="H26" s="83">
        <v>1</v>
      </c>
      <c r="I26" s="114">
        <f t="shared" si="0"/>
        <v>72.3</v>
      </c>
      <c r="J26" s="114">
        <f t="shared" si="1"/>
        <v>83</v>
      </c>
      <c r="K26" s="112" t="str">
        <f t="shared" si="2"/>
        <v>Moderate</v>
      </c>
    </row>
    <row r="27" spans="1:11">
      <c r="A27" s="100" t="s">
        <v>2457</v>
      </c>
      <c r="B27" s="159">
        <v>45839</v>
      </c>
      <c r="C27" s="101" t="s">
        <v>176</v>
      </c>
      <c r="D27" s="83">
        <v>18</v>
      </c>
      <c r="E27" s="101">
        <v>1908</v>
      </c>
      <c r="F27" s="101">
        <v>1599</v>
      </c>
      <c r="G27" s="114">
        <v>38.9</v>
      </c>
      <c r="H27" s="83">
        <v>1</v>
      </c>
      <c r="I27" s="114">
        <f t="shared" si="0"/>
        <v>88.833333333333329</v>
      </c>
      <c r="J27" s="114">
        <f t="shared" si="1"/>
        <v>106</v>
      </c>
      <c r="K27" s="112" t="str">
        <f t="shared" si="2"/>
        <v>High</v>
      </c>
    </row>
    <row r="28" spans="1:11">
      <c r="A28" s="100" t="s">
        <v>2458</v>
      </c>
      <c r="B28" s="159">
        <v>45839</v>
      </c>
      <c r="C28" s="101" t="s">
        <v>371</v>
      </c>
      <c r="D28" s="83">
        <v>18</v>
      </c>
      <c r="E28" s="101">
        <v>1260</v>
      </c>
      <c r="F28" s="101">
        <v>1168</v>
      </c>
      <c r="G28" s="114">
        <v>19.3</v>
      </c>
      <c r="H28" s="83">
        <v>5</v>
      </c>
      <c r="I28" s="114">
        <f t="shared" si="0"/>
        <v>64.888888888888886</v>
      </c>
      <c r="J28" s="114">
        <f t="shared" si="1"/>
        <v>70</v>
      </c>
      <c r="K28" s="112" t="str">
        <f t="shared" si="2"/>
        <v>Normal</v>
      </c>
    </row>
    <row r="29" spans="1:11">
      <c r="A29" s="100" t="s">
        <v>2459</v>
      </c>
      <c r="B29" s="159">
        <v>45839</v>
      </c>
      <c r="C29" s="101" t="s">
        <v>407</v>
      </c>
      <c r="D29" s="83">
        <v>25</v>
      </c>
      <c r="E29" s="101">
        <v>2950</v>
      </c>
      <c r="F29" s="101">
        <v>2361</v>
      </c>
      <c r="G29" s="114">
        <v>182.1</v>
      </c>
      <c r="H29" s="83">
        <v>2</v>
      </c>
      <c r="I29" s="114">
        <f t="shared" si="0"/>
        <v>94.44</v>
      </c>
      <c r="J29" s="114">
        <f t="shared" si="1"/>
        <v>118</v>
      </c>
      <c r="K29" s="112" t="str">
        <f t="shared" si="2"/>
        <v>High</v>
      </c>
    </row>
    <row r="30" spans="1:11">
      <c r="A30" s="100" t="s">
        <v>2460</v>
      </c>
      <c r="B30" s="159">
        <v>45839</v>
      </c>
      <c r="C30" s="101" t="s">
        <v>37</v>
      </c>
      <c r="D30" s="83">
        <v>23</v>
      </c>
      <c r="E30" s="101">
        <v>2277</v>
      </c>
      <c r="F30" s="101">
        <v>2085</v>
      </c>
      <c r="G30" s="114">
        <v>54</v>
      </c>
      <c r="H30" s="83">
        <v>0</v>
      </c>
      <c r="I30" s="114">
        <f t="shared" si="0"/>
        <v>90.652173913043484</v>
      </c>
      <c r="J30" s="114">
        <f t="shared" si="1"/>
        <v>99</v>
      </c>
      <c r="K30" s="112" t="str">
        <f t="shared" si="2"/>
        <v>Moderate</v>
      </c>
    </row>
    <row r="31" spans="1:11">
      <c r="A31" s="100" t="s">
        <v>2461</v>
      </c>
      <c r="B31" s="159">
        <v>45839</v>
      </c>
      <c r="C31" s="101" t="s">
        <v>271</v>
      </c>
      <c r="D31" s="83">
        <v>16</v>
      </c>
      <c r="E31" s="101">
        <v>1440</v>
      </c>
      <c r="F31" s="101">
        <v>1403</v>
      </c>
      <c r="G31" s="114">
        <v>39</v>
      </c>
      <c r="H31" s="83">
        <v>0</v>
      </c>
      <c r="I31" s="114">
        <f t="shared" si="0"/>
        <v>87.6875</v>
      </c>
      <c r="J31" s="114">
        <f t="shared" si="1"/>
        <v>90</v>
      </c>
      <c r="K31" s="112" t="str">
        <f t="shared" si="2"/>
        <v>Moderate</v>
      </c>
    </row>
    <row r="32" spans="1:11">
      <c r="A32" s="100" t="s">
        <v>2462</v>
      </c>
      <c r="B32" s="159">
        <v>45839</v>
      </c>
      <c r="C32" s="101" t="s">
        <v>416</v>
      </c>
      <c r="D32" s="83">
        <v>18</v>
      </c>
      <c r="E32" s="101">
        <v>1980</v>
      </c>
      <c r="F32" s="101">
        <v>1801</v>
      </c>
      <c r="G32" s="114">
        <v>103.4</v>
      </c>
      <c r="H32" s="83">
        <v>1</v>
      </c>
      <c r="I32" s="114">
        <f t="shared" si="0"/>
        <v>100.05555555555556</v>
      </c>
      <c r="J32" s="114">
        <f t="shared" si="1"/>
        <v>110</v>
      </c>
      <c r="K32" s="112" t="str">
        <f t="shared" si="2"/>
        <v>High</v>
      </c>
    </row>
    <row r="33" spans="1:11">
      <c r="A33" s="100" t="s">
        <v>2463</v>
      </c>
      <c r="B33" s="159">
        <v>45839</v>
      </c>
      <c r="C33" s="101" t="s">
        <v>104</v>
      </c>
      <c r="D33" s="83">
        <v>23</v>
      </c>
      <c r="E33" s="101">
        <v>2208</v>
      </c>
      <c r="F33" s="101">
        <v>1830</v>
      </c>
      <c r="G33" s="114">
        <v>44.9</v>
      </c>
      <c r="H33" s="83">
        <v>6</v>
      </c>
      <c r="I33" s="114">
        <f t="shared" si="0"/>
        <v>79.565217391304344</v>
      </c>
      <c r="J33" s="114">
        <f t="shared" si="1"/>
        <v>96</v>
      </c>
      <c r="K33" s="112" t="str">
        <f t="shared" si="2"/>
        <v>Moderate</v>
      </c>
    </row>
    <row r="34" spans="1:11">
      <c r="A34" s="100" t="s">
        <v>2464</v>
      </c>
      <c r="B34" s="159">
        <v>45839</v>
      </c>
      <c r="C34" s="101" t="s">
        <v>421</v>
      </c>
      <c r="D34" s="83">
        <v>21</v>
      </c>
      <c r="E34" s="101">
        <v>1743</v>
      </c>
      <c r="F34" s="101">
        <v>1599</v>
      </c>
      <c r="G34" s="114">
        <v>181.4</v>
      </c>
      <c r="H34" s="83">
        <v>6</v>
      </c>
      <c r="I34" s="114">
        <f t="shared" si="0"/>
        <v>76.142857142857139</v>
      </c>
      <c r="J34" s="114">
        <f t="shared" si="1"/>
        <v>83</v>
      </c>
      <c r="K34" s="112" t="str">
        <f t="shared" si="2"/>
        <v>Moderate</v>
      </c>
    </row>
    <row r="35" spans="1:11">
      <c r="A35" s="100" t="s">
        <v>2465</v>
      </c>
      <c r="B35" s="159">
        <v>45870</v>
      </c>
      <c r="C35" s="101" t="s">
        <v>152</v>
      </c>
      <c r="D35" s="83">
        <v>28</v>
      </c>
      <c r="E35" s="101">
        <v>1568</v>
      </c>
      <c r="F35" s="101">
        <v>1466</v>
      </c>
      <c r="G35" s="114">
        <v>221.7</v>
      </c>
      <c r="H35" s="83">
        <v>6</v>
      </c>
      <c r="I35" s="114">
        <f t="shared" si="0"/>
        <v>52.357142857142854</v>
      </c>
      <c r="J35" s="114">
        <f t="shared" si="1"/>
        <v>56</v>
      </c>
      <c r="K35" s="112" t="str">
        <f t="shared" si="2"/>
        <v>Normal</v>
      </c>
    </row>
    <row r="36" spans="1:11">
      <c r="A36" s="100" t="s">
        <v>2466</v>
      </c>
      <c r="B36" s="159">
        <v>45870</v>
      </c>
      <c r="C36" s="101" t="s">
        <v>379</v>
      </c>
      <c r="D36" s="83">
        <v>16</v>
      </c>
      <c r="E36" s="101">
        <v>1616</v>
      </c>
      <c r="F36" s="101">
        <v>1379</v>
      </c>
      <c r="G36" s="114">
        <v>31.4</v>
      </c>
      <c r="H36" s="83">
        <v>0</v>
      </c>
      <c r="I36" s="114">
        <f t="shared" si="0"/>
        <v>86.1875</v>
      </c>
      <c r="J36" s="114">
        <f t="shared" si="1"/>
        <v>101</v>
      </c>
      <c r="K36" s="112" t="str">
        <f t="shared" si="2"/>
        <v>High</v>
      </c>
    </row>
    <row r="37" spans="1:11">
      <c r="A37" s="100" t="s">
        <v>2467</v>
      </c>
      <c r="B37" s="159">
        <v>45870</v>
      </c>
      <c r="C37" s="101" t="s">
        <v>176</v>
      </c>
      <c r="D37" s="83">
        <v>15</v>
      </c>
      <c r="E37" s="101">
        <v>1605</v>
      </c>
      <c r="F37" s="101">
        <v>1457</v>
      </c>
      <c r="G37" s="114">
        <v>124</v>
      </c>
      <c r="H37" s="83">
        <v>1</v>
      </c>
      <c r="I37" s="114">
        <f t="shared" ref="I37:I68" si="3">IFERROR($F37/$D37,0)</f>
        <v>97.13333333333334</v>
      </c>
      <c r="J37" s="114">
        <f t="shared" ref="J37:J68" si="4">IFERROR($E37/$D37,0)</f>
        <v>107</v>
      </c>
      <c r="K37" s="112" t="str">
        <f t="shared" ref="K37:K68" si="5">IF($J37&gt;100,"High",IF($J37&gt;75,"Moderate","Normal"))</f>
        <v>High</v>
      </c>
    </row>
    <row r="38" spans="1:11">
      <c r="A38" s="100" t="s">
        <v>2468</v>
      </c>
      <c r="B38" s="159">
        <v>45870</v>
      </c>
      <c r="C38" s="101" t="s">
        <v>371</v>
      </c>
      <c r="D38" s="83">
        <v>12</v>
      </c>
      <c r="E38" s="101">
        <v>1440</v>
      </c>
      <c r="F38" s="101">
        <v>1288</v>
      </c>
      <c r="G38" s="114">
        <v>67</v>
      </c>
      <c r="H38" s="83">
        <v>2</v>
      </c>
      <c r="I38" s="114">
        <f t="shared" si="3"/>
        <v>107.33333333333333</v>
      </c>
      <c r="J38" s="114">
        <f t="shared" si="4"/>
        <v>120</v>
      </c>
      <c r="K38" s="112" t="str">
        <f t="shared" si="5"/>
        <v>High</v>
      </c>
    </row>
    <row r="39" spans="1:11">
      <c r="A39" s="100" t="s">
        <v>2469</v>
      </c>
      <c r="B39" s="159">
        <v>45870</v>
      </c>
      <c r="C39" s="101" t="s">
        <v>407</v>
      </c>
      <c r="D39" s="83">
        <v>24</v>
      </c>
      <c r="E39" s="101">
        <v>1368</v>
      </c>
      <c r="F39" s="101">
        <v>1284</v>
      </c>
      <c r="G39" s="114">
        <v>58.8</v>
      </c>
      <c r="H39" s="83">
        <v>7</v>
      </c>
      <c r="I39" s="114">
        <f t="shared" si="3"/>
        <v>53.5</v>
      </c>
      <c r="J39" s="114">
        <f t="shared" si="4"/>
        <v>57</v>
      </c>
      <c r="K39" s="112" t="str">
        <f t="shared" si="5"/>
        <v>Normal</v>
      </c>
    </row>
    <row r="40" spans="1:11">
      <c r="A40" s="100" t="s">
        <v>2470</v>
      </c>
      <c r="B40" s="159">
        <v>45870</v>
      </c>
      <c r="C40" s="101" t="s">
        <v>37</v>
      </c>
      <c r="D40" s="83">
        <v>25</v>
      </c>
      <c r="E40" s="101">
        <v>2500</v>
      </c>
      <c r="F40" s="101">
        <v>2099</v>
      </c>
      <c r="G40" s="114">
        <v>50</v>
      </c>
      <c r="H40" s="83">
        <v>5</v>
      </c>
      <c r="I40" s="114">
        <f t="shared" si="3"/>
        <v>83.96</v>
      </c>
      <c r="J40" s="114">
        <f t="shared" si="4"/>
        <v>100</v>
      </c>
      <c r="K40" s="112" t="str">
        <f t="shared" si="5"/>
        <v>Moderate</v>
      </c>
    </row>
    <row r="41" spans="1:11">
      <c r="A41" s="100" t="s">
        <v>2471</v>
      </c>
      <c r="B41" s="159">
        <v>45870</v>
      </c>
      <c r="C41" s="101" t="s">
        <v>271</v>
      </c>
      <c r="D41" s="83">
        <v>16</v>
      </c>
      <c r="E41" s="101">
        <v>1808</v>
      </c>
      <c r="F41" s="101">
        <v>1477</v>
      </c>
      <c r="G41" s="114">
        <v>120</v>
      </c>
      <c r="H41" s="83">
        <v>0</v>
      </c>
      <c r="I41" s="114">
        <f t="shared" si="3"/>
        <v>92.3125</v>
      </c>
      <c r="J41" s="114">
        <f t="shared" si="4"/>
        <v>113</v>
      </c>
      <c r="K41" s="112" t="str">
        <f t="shared" si="5"/>
        <v>High</v>
      </c>
    </row>
    <row r="42" spans="1:11">
      <c r="A42" s="100" t="s">
        <v>2472</v>
      </c>
      <c r="B42" s="159">
        <v>45870</v>
      </c>
      <c r="C42" s="101" t="s">
        <v>416</v>
      </c>
      <c r="D42" s="83">
        <v>21</v>
      </c>
      <c r="E42" s="101">
        <v>2436</v>
      </c>
      <c r="F42" s="101">
        <v>2298</v>
      </c>
      <c r="G42" s="114">
        <v>152.6</v>
      </c>
      <c r="H42" s="83">
        <v>7</v>
      </c>
      <c r="I42" s="114">
        <f t="shared" si="3"/>
        <v>109.42857142857143</v>
      </c>
      <c r="J42" s="114">
        <f t="shared" si="4"/>
        <v>116</v>
      </c>
      <c r="K42" s="112" t="str">
        <f t="shared" si="5"/>
        <v>High</v>
      </c>
    </row>
    <row r="43" spans="1:11">
      <c r="A43" s="100" t="s">
        <v>2473</v>
      </c>
      <c r="B43" s="159">
        <v>45870</v>
      </c>
      <c r="C43" s="101" t="s">
        <v>104</v>
      </c>
      <c r="D43" s="83">
        <v>18</v>
      </c>
      <c r="E43" s="101">
        <v>1998</v>
      </c>
      <c r="F43" s="101">
        <v>1892</v>
      </c>
      <c r="G43" s="114">
        <v>95.6</v>
      </c>
      <c r="H43" s="83">
        <v>6</v>
      </c>
      <c r="I43" s="114">
        <f t="shared" si="3"/>
        <v>105.11111111111111</v>
      </c>
      <c r="J43" s="114">
        <f t="shared" si="4"/>
        <v>111</v>
      </c>
      <c r="K43" s="112" t="str">
        <f t="shared" si="5"/>
        <v>High</v>
      </c>
    </row>
    <row r="44" spans="1:11">
      <c r="A44" s="100" t="s">
        <v>2474</v>
      </c>
      <c r="B44" s="159">
        <v>45870</v>
      </c>
      <c r="C44" s="101" t="s">
        <v>421</v>
      </c>
      <c r="D44" s="83">
        <v>24</v>
      </c>
      <c r="E44" s="101">
        <v>1440</v>
      </c>
      <c r="F44" s="101">
        <v>1340</v>
      </c>
      <c r="G44" s="114">
        <v>63.8</v>
      </c>
      <c r="H44" s="83">
        <v>1</v>
      </c>
      <c r="I44" s="114">
        <f t="shared" si="3"/>
        <v>55.833333333333336</v>
      </c>
      <c r="J44" s="114">
        <f t="shared" si="4"/>
        <v>60</v>
      </c>
      <c r="K44" s="112" t="str">
        <f t="shared" si="5"/>
        <v>Normal</v>
      </c>
    </row>
    <row r="45" spans="1:11">
      <c r="A45" s="100" t="s">
        <v>2475</v>
      </c>
      <c r="B45" s="159">
        <v>45901</v>
      </c>
      <c r="C45" s="101" t="s">
        <v>152</v>
      </c>
      <c r="D45" s="83">
        <v>23</v>
      </c>
      <c r="E45" s="101">
        <v>1564</v>
      </c>
      <c r="F45" s="101">
        <v>1221</v>
      </c>
      <c r="G45" s="114">
        <v>105.3</v>
      </c>
      <c r="H45" s="83">
        <v>5</v>
      </c>
      <c r="I45" s="114">
        <f t="shared" si="3"/>
        <v>53.086956521739133</v>
      </c>
      <c r="J45" s="114">
        <f t="shared" si="4"/>
        <v>68</v>
      </c>
      <c r="K45" s="112" t="str">
        <f t="shared" si="5"/>
        <v>Normal</v>
      </c>
    </row>
    <row r="46" spans="1:11">
      <c r="A46" s="100" t="s">
        <v>2476</v>
      </c>
      <c r="B46" s="159">
        <v>45901</v>
      </c>
      <c r="C46" s="101" t="s">
        <v>379</v>
      </c>
      <c r="D46" s="83">
        <v>14</v>
      </c>
      <c r="E46" s="101">
        <v>700</v>
      </c>
      <c r="F46" s="101">
        <v>564</v>
      </c>
      <c r="G46" s="114">
        <v>37.1</v>
      </c>
      <c r="H46" s="83">
        <v>1</v>
      </c>
      <c r="I46" s="114">
        <f t="shared" si="3"/>
        <v>40.285714285714285</v>
      </c>
      <c r="J46" s="114">
        <f t="shared" si="4"/>
        <v>50</v>
      </c>
      <c r="K46" s="112" t="str">
        <f t="shared" si="5"/>
        <v>Normal</v>
      </c>
    </row>
    <row r="47" spans="1:11">
      <c r="A47" s="100" t="s">
        <v>2477</v>
      </c>
      <c r="B47" s="159">
        <v>45901</v>
      </c>
      <c r="C47" s="101" t="s">
        <v>176</v>
      </c>
      <c r="D47" s="83">
        <v>15</v>
      </c>
      <c r="E47" s="101">
        <v>1740</v>
      </c>
      <c r="F47" s="101">
        <v>1446</v>
      </c>
      <c r="G47" s="114">
        <v>105.4</v>
      </c>
      <c r="H47" s="83">
        <v>0</v>
      </c>
      <c r="I47" s="114">
        <f t="shared" si="3"/>
        <v>96.4</v>
      </c>
      <c r="J47" s="114">
        <f t="shared" si="4"/>
        <v>116</v>
      </c>
      <c r="K47" s="112" t="str">
        <f t="shared" si="5"/>
        <v>High</v>
      </c>
    </row>
    <row r="48" spans="1:11">
      <c r="A48" s="100" t="s">
        <v>2478</v>
      </c>
      <c r="B48" s="159">
        <v>45901</v>
      </c>
      <c r="C48" s="101" t="s">
        <v>371</v>
      </c>
      <c r="D48" s="83">
        <v>12</v>
      </c>
      <c r="E48" s="101">
        <v>1308</v>
      </c>
      <c r="F48" s="101">
        <v>1098</v>
      </c>
      <c r="G48" s="114">
        <v>104.8</v>
      </c>
      <c r="H48" s="83">
        <v>1</v>
      </c>
      <c r="I48" s="114">
        <f t="shared" si="3"/>
        <v>91.5</v>
      </c>
      <c r="J48" s="114">
        <f t="shared" si="4"/>
        <v>109</v>
      </c>
      <c r="K48" s="112" t="str">
        <f t="shared" si="5"/>
        <v>High</v>
      </c>
    </row>
    <row r="49" spans="1:11">
      <c r="A49" s="100" t="s">
        <v>2479</v>
      </c>
      <c r="B49" s="159">
        <v>45901</v>
      </c>
      <c r="C49" s="101" t="s">
        <v>407</v>
      </c>
      <c r="D49" s="83">
        <v>22</v>
      </c>
      <c r="E49" s="101">
        <v>990</v>
      </c>
      <c r="F49" s="101">
        <v>821</v>
      </c>
      <c r="G49" s="114">
        <v>30.1</v>
      </c>
      <c r="H49" s="83">
        <v>4</v>
      </c>
      <c r="I49" s="114">
        <f t="shared" si="3"/>
        <v>37.31818181818182</v>
      </c>
      <c r="J49" s="114">
        <f t="shared" si="4"/>
        <v>45</v>
      </c>
      <c r="K49" s="112" t="str">
        <f t="shared" si="5"/>
        <v>Normal</v>
      </c>
    </row>
    <row r="50" spans="1:11">
      <c r="A50" s="100" t="s">
        <v>2480</v>
      </c>
      <c r="B50" s="159">
        <v>45901</v>
      </c>
      <c r="C50" s="101" t="s">
        <v>37</v>
      </c>
      <c r="D50" s="83">
        <v>25</v>
      </c>
      <c r="E50" s="101">
        <v>2825</v>
      </c>
      <c r="F50" s="101">
        <v>2454</v>
      </c>
      <c r="G50" s="114">
        <v>140.4</v>
      </c>
      <c r="H50" s="83">
        <v>5</v>
      </c>
      <c r="I50" s="114">
        <f t="shared" si="3"/>
        <v>98.16</v>
      </c>
      <c r="J50" s="114">
        <f t="shared" si="4"/>
        <v>113</v>
      </c>
      <c r="K50" s="112" t="str">
        <f t="shared" si="5"/>
        <v>High</v>
      </c>
    </row>
    <row r="51" spans="1:11">
      <c r="A51" s="100" t="s">
        <v>2481</v>
      </c>
      <c r="B51" s="159">
        <v>45901</v>
      </c>
      <c r="C51" s="101" t="s">
        <v>271</v>
      </c>
      <c r="D51" s="83">
        <v>20</v>
      </c>
      <c r="E51" s="101">
        <v>1800</v>
      </c>
      <c r="F51" s="101">
        <v>1622</v>
      </c>
      <c r="G51" s="114">
        <v>101.7</v>
      </c>
      <c r="H51" s="83">
        <v>5</v>
      </c>
      <c r="I51" s="114">
        <f t="shared" si="3"/>
        <v>81.099999999999994</v>
      </c>
      <c r="J51" s="114">
        <f t="shared" si="4"/>
        <v>90</v>
      </c>
      <c r="K51" s="112" t="str">
        <f t="shared" si="5"/>
        <v>Moderate</v>
      </c>
    </row>
    <row r="52" spans="1:11">
      <c r="A52" s="100" t="s">
        <v>2482</v>
      </c>
      <c r="B52" s="159">
        <v>45901</v>
      </c>
      <c r="C52" s="101" t="s">
        <v>416</v>
      </c>
      <c r="D52" s="83">
        <v>18</v>
      </c>
      <c r="E52" s="101">
        <v>900</v>
      </c>
      <c r="F52" s="101">
        <v>744</v>
      </c>
      <c r="G52" s="114">
        <v>45.1</v>
      </c>
      <c r="H52" s="83">
        <v>2</v>
      </c>
      <c r="I52" s="114">
        <f t="shared" si="3"/>
        <v>41.333333333333336</v>
      </c>
      <c r="J52" s="114">
        <f t="shared" si="4"/>
        <v>50</v>
      </c>
      <c r="K52" s="112" t="str">
        <f t="shared" si="5"/>
        <v>Normal</v>
      </c>
    </row>
    <row r="53" spans="1:11">
      <c r="A53" s="100" t="s">
        <v>2483</v>
      </c>
      <c r="B53" s="159">
        <v>45901</v>
      </c>
      <c r="C53" s="101" t="s">
        <v>104</v>
      </c>
      <c r="D53" s="83">
        <v>24</v>
      </c>
      <c r="E53" s="101">
        <v>1728</v>
      </c>
      <c r="F53" s="101">
        <v>1678</v>
      </c>
      <c r="G53" s="114">
        <v>139.6</v>
      </c>
      <c r="H53" s="83">
        <v>3</v>
      </c>
      <c r="I53" s="114">
        <f t="shared" si="3"/>
        <v>69.916666666666671</v>
      </c>
      <c r="J53" s="114">
        <f t="shared" si="4"/>
        <v>72</v>
      </c>
      <c r="K53" s="112" t="str">
        <f t="shared" si="5"/>
        <v>Normal</v>
      </c>
    </row>
    <row r="54" spans="1:11">
      <c r="A54" s="100" t="s">
        <v>2484</v>
      </c>
      <c r="B54" s="159">
        <v>45901</v>
      </c>
      <c r="C54" s="101" t="s">
        <v>421</v>
      </c>
      <c r="D54" s="83">
        <v>22</v>
      </c>
      <c r="E54" s="101">
        <v>1980</v>
      </c>
      <c r="F54" s="101">
        <v>1654</v>
      </c>
      <c r="G54" s="114">
        <v>150.30000000000001</v>
      </c>
      <c r="H54" s="83">
        <v>6</v>
      </c>
      <c r="I54" s="114">
        <f t="shared" si="3"/>
        <v>75.181818181818187</v>
      </c>
      <c r="J54" s="114">
        <f t="shared" si="4"/>
        <v>90</v>
      </c>
      <c r="K54" s="112" t="str">
        <f t="shared" si="5"/>
        <v>Moderate</v>
      </c>
    </row>
    <row r="55" spans="1:11">
      <c r="A55" s="100" t="s">
        <v>2485</v>
      </c>
      <c r="B55" s="159">
        <v>45931</v>
      </c>
      <c r="C55" s="101" t="s">
        <v>152</v>
      </c>
      <c r="D55" s="83">
        <v>22</v>
      </c>
      <c r="E55" s="101">
        <v>2530</v>
      </c>
      <c r="F55" s="101">
        <v>2102</v>
      </c>
      <c r="G55" s="114">
        <v>89.2</v>
      </c>
      <c r="H55" s="83">
        <v>2</v>
      </c>
      <c r="I55" s="114">
        <f t="shared" si="3"/>
        <v>95.545454545454547</v>
      </c>
      <c r="J55" s="114">
        <f t="shared" si="4"/>
        <v>115</v>
      </c>
      <c r="K55" s="112" t="str">
        <f t="shared" si="5"/>
        <v>High</v>
      </c>
    </row>
    <row r="56" spans="1:11">
      <c r="A56" s="100" t="s">
        <v>2486</v>
      </c>
      <c r="B56" s="159">
        <v>45931</v>
      </c>
      <c r="C56" s="101" t="s">
        <v>379</v>
      </c>
      <c r="D56" s="83">
        <v>17</v>
      </c>
      <c r="E56" s="101">
        <v>1751</v>
      </c>
      <c r="F56" s="101">
        <v>1394</v>
      </c>
      <c r="G56" s="114">
        <v>51.6</v>
      </c>
      <c r="H56" s="83">
        <v>3</v>
      </c>
      <c r="I56" s="114">
        <f t="shared" si="3"/>
        <v>82</v>
      </c>
      <c r="J56" s="114">
        <f t="shared" si="4"/>
        <v>103</v>
      </c>
      <c r="K56" s="112" t="str">
        <f t="shared" si="5"/>
        <v>High</v>
      </c>
    </row>
    <row r="57" spans="1:11">
      <c r="A57" s="100" t="s">
        <v>2487</v>
      </c>
      <c r="B57" s="159">
        <v>45931</v>
      </c>
      <c r="C57" s="101" t="s">
        <v>176</v>
      </c>
      <c r="D57" s="83">
        <v>20</v>
      </c>
      <c r="E57" s="101">
        <v>1260</v>
      </c>
      <c r="F57" s="101">
        <v>1117</v>
      </c>
      <c r="G57" s="114">
        <v>31.3</v>
      </c>
      <c r="H57" s="83">
        <v>5</v>
      </c>
      <c r="I57" s="114">
        <f t="shared" si="3"/>
        <v>55.85</v>
      </c>
      <c r="J57" s="114">
        <f t="shared" si="4"/>
        <v>63</v>
      </c>
      <c r="K57" s="112" t="str">
        <f t="shared" si="5"/>
        <v>Normal</v>
      </c>
    </row>
    <row r="58" spans="1:11">
      <c r="A58" s="100" t="s">
        <v>2488</v>
      </c>
      <c r="B58" s="159">
        <v>45931</v>
      </c>
      <c r="C58" s="101" t="s">
        <v>371</v>
      </c>
      <c r="D58" s="83">
        <v>14</v>
      </c>
      <c r="E58" s="101">
        <v>966</v>
      </c>
      <c r="F58" s="101">
        <v>891</v>
      </c>
      <c r="G58" s="114">
        <v>77.099999999999994</v>
      </c>
      <c r="H58" s="83">
        <v>4</v>
      </c>
      <c r="I58" s="114">
        <f t="shared" si="3"/>
        <v>63.642857142857146</v>
      </c>
      <c r="J58" s="114">
        <f t="shared" si="4"/>
        <v>69</v>
      </c>
      <c r="K58" s="112" t="str">
        <f t="shared" si="5"/>
        <v>Normal</v>
      </c>
    </row>
    <row r="59" spans="1:11">
      <c r="A59" s="100" t="s">
        <v>2489</v>
      </c>
      <c r="B59" s="159">
        <v>45931</v>
      </c>
      <c r="C59" s="101" t="s">
        <v>407</v>
      </c>
      <c r="D59" s="83">
        <v>23</v>
      </c>
      <c r="E59" s="101">
        <v>1495</v>
      </c>
      <c r="F59" s="101">
        <v>1291</v>
      </c>
      <c r="G59" s="114">
        <v>51.2</v>
      </c>
      <c r="H59" s="83">
        <v>6</v>
      </c>
      <c r="I59" s="114">
        <f t="shared" si="3"/>
        <v>56.130434782608695</v>
      </c>
      <c r="J59" s="114">
        <f t="shared" si="4"/>
        <v>65</v>
      </c>
      <c r="K59" s="112" t="str">
        <f t="shared" si="5"/>
        <v>Normal</v>
      </c>
    </row>
    <row r="60" spans="1:11">
      <c r="A60" s="100" t="s">
        <v>2490</v>
      </c>
      <c r="B60" s="159">
        <v>45931</v>
      </c>
      <c r="C60" s="101" t="s">
        <v>37</v>
      </c>
      <c r="D60" s="83">
        <v>23</v>
      </c>
      <c r="E60" s="101">
        <v>1104</v>
      </c>
      <c r="F60" s="101">
        <v>1073</v>
      </c>
      <c r="G60" s="114">
        <v>68.5</v>
      </c>
      <c r="H60" s="83">
        <v>4</v>
      </c>
      <c r="I60" s="114">
        <f t="shared" si="3"/>
        <v>46.652173913043477</v>
      </c>
      <c r="J60" s="114">
        <f t="shared" si="4"/>
        <v>48</v>
      </c>
      <c r="K60" s="112" t="str">
        <f t="shared" si="5"/>
        <v>Normal</v>
      </c>
    </row>
    <row r="61" spans="1:11">
      <c r="A61" s="100" t="s">
        <v>2491</v>
      </c>
      <c r="B61" s="159">
        <v>45931</v>
      </c>
      <c r="C61" s="101" t="s">
        <v>271</v>
      </c>
      <c r="D61" s="83">
        <v>16</v>
      </c>
      <c r="E61" s="101">
        <v>1808</v>
      </c>
      <c r="F61" s="101">
        <v>1450</v>
      </c>
      <c r="G61" s="114">
        <v>86.2</v>
      </c>
      <c r="H61" s="83">
        <v>0</v>
      </c>
      <c r="I61" s="114">
        <f t="shared" si="3"/>
        <v>90.625</v>
      </c>
      <c r="J61" s="114">
        <f t="shared" si="4"/>
        <v>113</v>
      </c>
      <c r="K61" s="112" t="str">
        <f t="shared" si="5"/>
        <v>High</v>
      </c>
    </row>
    <row r="62" spans="1:11">
      <c r="A62" s="100" t="s">
        <v>2492</v>
      </c>
      <c r="B62" s="159">
        <v>45931</v>
      </c>
      <c r="C62" s="101" t="s">
        <v>416</v>
      </c>
      <c r="D62" s="83">
        <v>20</v>
      </c>
      <c r="E62" s="101">
        <v>1120</v>
      </c>
      <c r="F62" s="101">
        <v>954</v>
      </c>
      <c r="G62" s="114">
        <v>73.400000000000006</v>
      </c>
      <c r="H62" s="83">
        <v>2</v>
      </c>
      <c r="I62" s="114">
        <f t="shared" si="3"/>
        <v>47.7</v>
      </c>
      <c r="J62" s="114">
        <f t="shared" si="4"/>
        <v>56</v>
      </c>
      <c r="K62" s="112" t="str">
        <f t="shared" si="5"/>
        <v>Normal</v>
      </c>
    </row>
    <row r="63" spans="1:11">
      <c r="A63" s="100" t="s">
        <v>2493</v>
      </c>
      <c r="B63" s="159">
        <v>45931</v>
      </c>
      <c r="C63" s="101" t="s">
        <v>104</v>
      </c>
      <c r="D63" s="83">
        <v>19</v>
      </c>
      <c r="E63" s="101">
        <v>1387</v>
      </c>
      <c r="F63" s="101">
        <v>1157</v>
      </c>
      <c r="G63" s="114">
        <v>33.9</v>
      </c>
      <c r="H63" s="83">
        <v>1</v>
      </c>
      <c r="I63" s="114">
        <f t="shared" si="3"/>
        <v>60.89473684210526</v>
      </c>
      <c r="J63" s="114">
        <f t="shared" si="4"/>
        <v>73</v>
      </c>
      <c r="K63" s="112" t="str">
        <f t="shared" si="5"/>
        <v>Normal</v>
      </c>
    </row>
    <row r="64" spans="1:11">
      <c r="A64" s="100" t="s">
        <v>2494</v>
      </c>
      <c r="B64" s="159">
        <v>45931</v>
      </c>
      <c r="C64" s="101" t="s">
        <v>421</v>
      </c>
      <c r="D64" s="83">
        <v>21</v>
      </c>
      <c r="E64" s="101">
        <v>1218</v>
      </c>
      <c r="F64" s="101">
        <v>1140</v>
      </c>
      <c r="G64" s="114">
        <v>41.7</v>
      </c>
      <c r="H64" s="83">
        <v>4</v>
      </c>
      <c r="I64" s="114">
        <f t="shared" si="3"/>
        <v>54.285714285714285</v>
      </c>
      <c r="J64" s="114">
        <f t="shared" si="4"/>
        <v>58</v>
      </c>
      <c r="K64" s="112" t="str">
        <f t="shared" si="5"/>
        <v>Normal</v>
      </c>
    </row>
    <row r="65" spans="1:11">
      <c r="A65" s="100" t="s">
        <v>2495</v>
      </c>
      <c r="B65" s="159">
        <v>45962</v>
      </c>
      <c r="C65" s="101" t="s">
        <v>152</v>
      </c>
      <c r="D65" s="83">
        <v>26</v>
      </c>
      <c r="E65" s="101">
        <v>2782</v>
      </c>
      <c r="F65" s="101">
        <v>2223</v>
      </c>
      <c r="G65" s="114">
        <v>98.6</v>
      </c>
      <c r="H65" s="83">
        <v>4</v>
      </c>
      <c r="I65" s="114">
        <f t="shared" si="3"/>
        <v>85.5</v>
      </c>
      <c r="J65" s="114">
        <f t="shared" si="4"/>
        <v>107</v>
      </c>
      <c r="K65" s="112" t="str">
        <f t="shared" si="5"/>
        <v>High</v>
      </c>
    </row>
    <row r="66" spans="1:11">
      <c r="A66" s="100" t="s">
        <v>2496</v>
      </c>
      <c r="B66" s="159">
        <v>45962</v>
      </c>
      <c r="C66" s="101" t="s">
        <v>379</v>
      </c>
      <c r="D66" s="83">
        <v>18</v>
      </c>
      <c r="E66" s="101">
        <v>1422</v>
      </c>
      <c r="F66" s="101">
        <v>1281</v>
      </c>
      <c r="G66" s="114">
        <v>147.1</v>
      </c>
      <c r="H66" s="83">
        <v>1</v>
      </c>
      <c r="I66" s="114">
        <f t="shared" si="3"/>
        <v>71.166666666666671</v>
      </c>
      <c r="J66" s="114">
        <f t="shared" si="4"/>
        <v>79</v>
      </c>
      <c r="K66" s="112" t="str">
        <f t="shared" si="5"/>
        <v>Moderate</v>
      </c>
    </row>
    <row r="67" spans="1:11">
      <c r="A67" s="100" t="s">
        <v>2497</v>
      </c>
      <c r="B67" s="159">
        <v>45962</v>
      </c>
      <c r="C67" s="101" t="s">
        <v>176</v>
      </c>
      <c r="D67" s="83">
        <v>17</v>
      </c>
      <c r="E67" s="101">
        <v>1598</v>
      </c>
      <c r="F67" s="101">
        <v>1304</v>
      </c>
      <c r="G67" s="114">
        <v>126.6</v>
      </c>
      <c r="H67" s="83">
        <v>5</v>
      </c>
      <c r="I67" s="114">
        <f t="shared" si="3"/>
        <v>76.705882352941174</v>
      </c>
      <c r="J67" s="114">
        <f t="shared" si="4"/>
        <v>94</v>
      </c>
      <c r="K67" s="112" t="str">
        <f t="shared" si="5"/>
        <v>Moderate</v>
      </c>
    </row>
    <row r="68" spans="1:11">
      <c r="A68" s="100" t="s">
        <v>2498</v>
      </c>
      <c r="B68" s="159">
        <v>45962</v>
      </c>
      <c r="C68" s="101" t="s">
        <v>371</v>
      </c>
      <c r="D68" s="83">
        <v>18</v>
      </c>
      <c r="E68" s="101">
        <v>2034</v>
      </c>
      <c r="F68" s="101">
        <v>1810</v>
      </c>
      <c r="G68" s="114">
        <v>145</v>
      </c>
      <c r="H68" s="83">
        <v>3</v>
      </c>
      <c r="I68" s="114">
        <f t="shared" si="3"/>
        <v>100.55555555555556</v>
      </c>
      <c r="J68" s="114">
        <f t="shared" si="4"/>
        <v>113</v>
      </c>
      <c r="K68" s="112" t="str">
        <f t="shared" si="5"/>
        <v>High</v>
      </c>
    </row>
    <row r="69" spans="1:11">
      <c r="A69" s="100" t="s">
        <v>2499</v>
      </c>
      <c r="B69" s="159">
        <v>45962</v>
      </c>
      <c r="C69" s="101" t="s">
        <v>407</v>
      </c>
      <c r="D69" s="83">
        <v>22</v>
      </c>
      <c r="E69" s="101">
        <v>2640</v>
      </c>
      <c r="F69" s="101">
        <v>2126</v>
      </c>
      <c r="G69" s="114">
        <v>23.7</v>
      </c>
      <c r="H69" s="83">
        <v>2</v>
      </c>
      <c r="I69" s="114">
        <f t="shared" ref="I69:I100" si="6">IFERROR($F69/$D69,0)</f>
        <v>96.63636363636364</v>
      </c>
      <c r="J69" s="114">
        <f t="shared" ref="J69:J100" si="7">IFERROR($E69/$D69,0)</f>
        <v>120</v>
      </c>
      <c r="K69" s="112" t="str">
        <f t="shared" ref="K69:K100" si="8">IF($J69&gt;100,"High",IF($J69&gt;75,"Moderate","Normal"))</f>
        <v>High</v>
      </c>
    </row>
    <row r="70" spans="1:11">
      <c r="A70" s="100" t="s">
        <v>2500</v>
      </c>
      <c r="B70" s="159">
        <v>45962</v>
      </c>
      <c r="C70" s="101" t="s">
        <v>37</v>
      </c>
      <c r="D70" s="83">
        <v>25</v>
      </c>
      <c r="E70" s="101">
        <v>1525</v>
      </c>
      <c r="F70" s="101">
        <v>1233</v>
      </c>
      <c r="G70" s="114">
        <v>138.5</v>
      </c>
      <c r="H70" s="83">
        <v>4</v>
      </c>
      <c r="I70" s="114">
        <f t="shared" si="6"/>
        <v>49.32</v>
      </c>
      <c r="J70" s="114">
        <f t="shared" si="7"/>
        <v>61</v>
      </c>
      <c r="K70" s="112" t="str">
        <f t="shared" si="8"/>
        <v>Normal</v>
      </c>
    </row>
    <row r="71" spans="1:11">
      <c r="A71" s="100" t="s">
        <v>2501</v>
      </c>
      <c r="B71" s="159">
        <v>45962</v>
      </c>
      <c r="C71" s="101" t="s">
        <v>271</v>
      </c>
      <c r="D71" s="83">
        <v>16</v>
      </c>
      <c r="E71" s="101">
        <v>1472</v>
      </c>
      <c r="F71" s="101">
        <v>1356</v>
      </c>
      <c r="G71" s="114">
        <v>47.9</v>
      </c>
      <c r="H71" s="83">
        <v>4</v>
      </c>
      <c r="I71" s="114">
        <f t="shared" si="6"/>
        <v>84.75</v>
      </c>
      <c r="J71" s="114">
        <f t="shared" si="7"/>
        <v>92</v>
      </c>
      <c r="K71" s="112" t="str">
        <f t="shared" si="8"/>
        <v>Moderate</v>
      </c>
    </row>
    <row r="72" spans="1:11">
      <c r="A72" s="100" t="s">
        <v>2502</v>
      </c>
      <c r="B72" s="159">
        <v>45962</v>
      </c>
      <c r="C72" s="101" t="s">
        <v>416</v>
      </c>
      <c r="D72" s="83">
        <v>21</v>
      </c>
      <c r="E72" s="101">
        <v>2163</v>
      </c>
      <c r="F72" s="101">
        <v>1766</v>
      </c>
      <c r="G72" s="114">
        <v>186.7</v>
      </c>
      <c r="H72" s="83">
        <v>7</v>
      </c>
      <c r="I72" s="114">
        <f t="shared" si="6"/>
        <v>84.095238095238102</v>
      </c>
      <c r="J72" s="114">
        <f t="shared" si="7"/>
        <v>103</v>
      </c>
      <c r="K72" s="112" t="str">
        <f t="shared" si="8"/>
        <v>High</v>
      </c>
    </row>
    <row r="73" spans="1:11">
      <c r="A73" s="100" t="s">
        <v>2503</v>
      </c>
      <c r="B73" s="159">
        <v>45962</v>
      </c>
      <c r="C73" s="101" t="s">
        <v>104</v>
      </c>
      <c r="D73" s="83">
        <v>22</v>
      </c>
      <c r="E73" s="101">
        <v>1782</v>
      </c>
      <c r="F73" s="101">
        <v>1488</v>
      </c>
      <c r="G73" s="114">
        <v>97.3</v>
      </c>
      <c r="H73" s="83">
        <v>3</v>
      </c>
      <c r="I73" s="114">
        <f t="shared" si="6"/>
        <v>67.63636363636364</v>
      </c>
      <c r="J73" s="114">
        <f t="shared" si="7"/>
        <v>81</v>
      </c>
      <c r="K73" s="112" t="str">
        <f t="shared" si="8"/>
        <v>Moderate</v>
      </c>
    </row>
    <row r="74" spans="1:11">
      <c r="A74" s="100" t="s">
        <v>2504</v>
      </c>
      <c r="B74" s="159">
        <v>45962</v>
      </c>
      <c r="C74" s="101" t="s">
        <v>421</v>
      </c>
      <c r="D74" s="83">
        <v>20</v>
      </c>
      <c r="E74" s="101">
        <v>1120</v>
      </c>
      <c r="F74" s="101">
        <v>1085</v>
      </c>
      <c r="G74" s="114">
        <v>85</v>
      </c>
      <c r="H74" s="83">
        <v>2</v>
      </c>
      <c r="I74" s="114">
        <f t="shared" si="6"/>
        <v>54.25</v>
      </c>
      <c r="J74" s="114">
        <f t="shared" si="7"/>
        <v>56</v>
      </c>
      <c r="K74" s="112" t="str">
        <f t="shared" si="8"/>
        <v>Normal</v>
      </c>
    </row>
    <row r="75" spans="1:11">
      <c r="A75" s="100" t="s">
        <v>2505</v>
      </c>
      <c r="B75" s="159">
        <v>45992</v>
      </c>
      <c r="C75" s="101" t="s">
        <v>152</v>
      </c>
      <c r="D75" s="83">
        <v>28</v>
      </c>
      <c r="E75" s="101">
        <v>1568</v>
      </c>
      <c r="F75" s="101">
        <v>1422</v>
      </c>
      <c r="G75" s="114">
        <v>45.2</v>
      </c>
      <c r="H75" s="83">
        <v>3</v>
      </c>
      <c r="I75" s="114">
        <f t="shared" si="6"/>
        <v>50.785714285714285</v>
      </c>
      <c r="J75" s="114">
        <f t="shared" si="7"/>
        <v>56</v>
      </c>
      <c r="K75" s="112" t="str">
        <f t="shared" si="8"/>
        <v>Normal</v>
      </c>
    </row>
    <row r="76" spans="1:11">
      <c r="A76" s="100" t="s">
        <v>2506</v>
      </c>
      <c r="B76" s="159">
        <v>45992</v>
      </c>
      <c r="C76" s="101" t="s">
        <v>379</v>
      </c>
      <c r="D76" s="83">
        <v>14</v>
      </c>
      <c r="E76" s="101">
        <v>924</v>
      </c>
      <c r="F76" s="101">
        <v>827</v>
      </c>
      <c r="G76" s="114">
        <v>23.5</v>
      </c>
      <c r="H76" s="83">
        <v>2</v>
      </c>
      <c r="I76" s="114">
        <f t="shared" si="6"/>
        <v>59.071428571428569</v>
      </c>
      <c r="J76" s="114">
        <f t="shared" si="7"/>
        <v>66</v>
      </c>
      <c r="K76" s="112" t="str">
        <f t="shared" si="8"/>
        <v>Normal</v>
      </c>
    </row>
    <row r="77" spans="1:11">
      <c r="A77" s="100" t="s">
        <v>2507</v>
      </c>
      <c r="B77" s="159">
        <v>45992</v>
      </c>
      <c r="C77" s="101" t="s">
        <v>176</v>
      </c>
      <c r="D77" s="83">
        <v>19</v>
      </c>
      <c r="E77" s="101">
        <v>2052</v>
      </c>
      <c r="F77" s="101">
        <v>1932</v>
      </c>
      <c r="G77" s="114">
        <v>20.6</v>
      </c>
      <c r="H77" s="83">
        <v>3</v>
      </c>
      <c r="I77" s="114">
        <f t="shared" si="6"/>
        <v>101.68421052631579</v>
      </c>
      <c r="J77" s="114">
        <f t="shared" si="7"/>
        <v>108</v>
      </c>
      <c r="K77" s="112" t="str">
        <f t="shared" si="8"/>
        <v>High</v>
      </c>
    </row>
    <row r="78" spans="1:11">
      <c r="A78" s="100" t="s">
        <v>2508</v>
      </c>
      <c r="B78" s="159">
        <v>45992</v>
      </c>
      <c r="C78" s="101" t="s">
        <v>371</v>
      </c>
      <c r="D78" s="83">
        <v>17</v>
      </c>
      <c r="E78" s="101">
        <v>1870</v>
      </c>
      <c r="F78" s="101">
        <v>1807</v>
      </c>
      <c r="G78" s="114">
        <v>35.6</v>
      </c>
      <c r="H78" s="83">
        <v>3</v>
      </c>
      <c r="I78" s="114">
        <f t="shared" si="6"/>
        <v>106.29411764705883</v>
      </c>
      <c r="J78" s="114">
        <f t="shared" si="7"/>
        <v>110</v>
      </c>
      <c r="K78" s="112" t="str">
        <f t="shared" si="8"/>
        <v>High</v>
      </c>
    </row>
    <row r="79" spans="1:11">
      <c r="A79" s="100" t="s">
        <v>2509</v>
      </c>
      <c r="B79" s="159">
        <v>45992</v>
      </c>
      <c r="C79" s="101" t="s">
        <v>407</v>
      </c>
      <c r="D79" s="83">
        <v>23</v>
      </c>
      <c r="E79" s="101">
        <v>2599</v>
      </c>
      <c r="F79" s="101">
        <v>2389</v>
      </c>
      <c r="G79" s="114">
        <v>97.6</v>
      </c>
      <c r="H79" s="83">
        <v>3</v>
      </c>
      <c r="I79" s="114">
        <f t="shared" si="6"/>
        <v>103.8695652173913</v>
      </c>
      <c r="J79" s="114">
        <f t="shared" si="7"/>
        <v>113</v>
      </c>
      <c r="K79" s="112" t="str">
        <f t="shared" si="8"/>
        <v>High</v>
      </c>
    </row>
    <row r="80" spans="1:11">
      <c r="A80" s="100" t="s">
        <v>2510</v>
      </c>
      <c r="B80" s="159">
        <v>45992</v>
      </c>
      <c r="C80" s="101" t="s">
        <v>37</v>
      </c>
      <c r="D80" s="83">
        <v>26</v>
      </c>
      <c r="E80" s="101">
        <v>1170</v>
      </c>
      <c r="F80" s="101">
        <v>1079</v>
      </c>
      <c r="G80" s="114">
        <v>172.1</v>
      </c>
      <c r="H80" s="83">
        <v>5</v>
      </c>
      <c r="I80" s="114">
        <f t="shared" si="6"/>
        <v>41.5</v>
      </c>
      <c r="J80" s="114">
        <f t="shared" si="7"/>
        <v>45</v>
      </c>
      <c r="K80" s="112" t="str">
        <f t="shared" si="8"/>
        <v>Normal</v>
      </c>
    </row>
    <row r="81" spans="1:11">
      <c r="A81" s="100" t="s">
        <v>2511</v>
      </c>
      <c r="B81" s="159">
        <v>45992</v>
      </c>
      <c r="C81" s="101" t="s">
        <v>271</v>
      </c>
      <c r="D81" s="83">
        <v>17</v>
      </c>
      <c r="E81" s="101">
        <v>1904</v>
      </c>
      <c r="F81" s="101">
        <v>1745</v>
      </c>
      <c r="G81" s="114">
        <v>22.8</v>
      </c>
      <c r="H81" s="83">
        <v>3</v>
      </c>
      <c r="I81" s="114">
        <f t="shared" si="6"/>
        <v>102.64705882352941</v>
      </c>
      <c r="J81" s="114">
        <f t="shared" si="7"/>
        <v>112</v>
      </c>
      <c r="K81" s="112" t="str">
        <f t="shared" si="8"/>
        <v>High</v>
      </c>
    </row>
    <row r="82" spans="1:11">
      <c r="A82" s="100" t="s">
        <v>2512</v>
      </c>
      <c r="B82" s="159">
        <v>45992</v>
      </c>
      <c r="C82" s="101" t="s">
        <v>416</v>
      </c>
      <c r="D82" s="83">
        <v>19</v>
      </c>
      <c r="E82" s="101">
        <v>2128</v>
      </c>
      <c r="F82" s="101">
        <v>2044</v>
      </c>
      <c r="G82" s="114">
        <v>45.6</v>
      </c>
      <c r="H82" s="83">
        <v>2</v>
      </c>
      <c r="I82" s="114">
        <f t="shared" si="6"/>
        <v>107.57894736842105</v>
      </c>
      <c r="J82" s="114">
        <f t="shared" si="7"/>
        <v>112</v>
      </c>
      <c r="K82" s="112" t="str">
        <f t="shared" si="8"/>
        <v>High</v>
      </c>
    </row>
    <row r="83" spans="1:11">
      <c r="A83" s="100" t="s">
        <v>2513</v>
      </c>
      <c r="B83" s="159">
        <v>45992</v>
      </c>
      <c r="C83" s="101" t="s">
        <v>104</v>
      </c>
      <c r="D83" s="83">
        <v>24</v>
      </c>
      <c r="E83" s="101">
        <v>1488</v>
      </c>
      <c r="F83" s="101">
        <v>1313</v>
      </c>
      <c r="G83" s="114">
        <v>206.9</v>
      </c>
      <c r="H83" s="83">
        <v>6</v>
      </c>
      <c r="I83" s="114">
        <f t="shared" si="6"/>
        <v>54.708333333333336</v>
      </c>
      <c r="J83" s="114">
        <f t="shared" si="7"/>
        <v>62</v>
      </c>
      <c r="K83" s="112" t="str">
        <f t="shared" si="8"/>
        <v>Normal</v>
      </c>
    </row>
    <row r="84" spans="1:11">
      <c r="A84" s="100" t="s">
        <v>2514</v>
      </c>
      <c r="B84" s="159">
        <v>45992</v>
      </c>
      <c r="C84" s="101" t="s">
        <v>421</v>
      </c>
      <c r="D84" s="83">
        <v>21</v>
      </c>
      <c r="E84" s="101">
        <v>1953</v>
      </c>
      <c r="F84" s="101">
        <v>1589</v>
      </c>
      <c r="G84" s="114">
        <v>183.9</v>
      </c>
      <c r="H84" s="83">
        <v>5</v>
      </c>
      <c r="I84" s="114">
        <f t="shared" si="6"/>
        <v>75.666666666666671</v>
      </c>
      <c r="J84" s="114">
        <f t="shared" si="7"/>
        <v>93</v>
      </c>
      <c r="K84" s="112" t="str">
        <f t="shared" si="8"/>
        <v>Moderate</v>
      </c>
    </row>
    <row r="85" spans="1:11">
      <c r="A85" s="100" t="s">
        <v>2515</v>
      </c>
      <c r="B85" s="159">
        <v>46023</v>
      </c>
      <c r="C85" s="101" t="s">
        <v>152</v>
      </c>
      <c r="D85" s="83">
        <v>27</v>
      </c>
      <c r="E85" s="101">
        <v>2052</v>
      </c>
      <c r="F85" s="101">
        <v>1941</v>
      </c>
      <c r="G85" s="114">
        <v>210.8</v>
      </c>
      <c r="H85" s="83">
        <v>1</v>
      </c>
      <c r="I85" s="114">
        <f t="shared" si="6"/>
        <v>71.888888888888886</v>
      </c>
      <c r="J85" s="114">
        <f t="shared" si="7"/>
        <v>76</v>
      </c>
      <c r="K85" s="112" t="str">
        <f t="shared" si="8"/>
        <v>Moderate</v>
      </c>
    </row>
    <row r="86" spans="1:11">
      <c r="A86" s="100" t="s">
        <v>2516</v>
      </c>
      <c r="B86" s="159">
        <v>46023</v>
      </c>
      <c r="C86" s="101" t="s">
        <v>379</v>
      </c>
      <c r="D86" s="83">
        <v>16</v>
      </c>
      <c r="E86" s="101">
        <v>1328</v>
      </c>
      <c r="F86" s="101">
        <v>1164</v>
      </c>
      <c r="G86" s="114">
        <v>49.9</v>
      </c>
      <c r="H86" s="83">
        <v>0</v>
      </c>
      <c r="I86" s="114">
        <f t="shared" si="6"/>
        <v>72.75</v>
      </c>
      <c r="J86" s="114">
        <f t="shared" si="7"/>
        <v>83</v>
      </c>
      <c r="K86" s="112" t="str">
        <f t="shared" si="8"/>
        <v>Moderate</v>
      </c>
    </row>
    <row r="87" spans="1:11">
      <c r="A87" s="100" t="s">
        <v>2517</v>
      </c>
      <c r="B87" s="159">
        <v>46023</v>
      </c>
      <c r="C87" s="101" t="s">
        <v>176</v>
      </c>
      <c r="D87" s="83">
        <v>20</v>
      </c>
      <c r="E87" s="101">
        <v>2340</v>
      </c>
      <c r="F87" s="101">
        <v>2009</v>
      </c>
      <c r="G87" s="114">
        <v>167.7</v>
      </c>
      <c r="H87" s="83">
        <v>5</v>
      </c>
      <c r="I87" s="114">
        <f t="shared" si="6"/>
        <v>100.45</v>
      </c>
      <c r="J87" s="114">
        <f t="shared" si="7"/>
        <v>117</v>
      </c>
      <c r="K87" s="112" t="str">
        <f t="shared" si="8"/>
        <v>High</v>
      </c>
    </row>
    <row r="88" spans="1:11">
      <c r="A88" s="100" t="s">
        <v>2518</v>
      </c>
      <c r="B88" s="159">
        <v>46023</v>
      </c>
      <c r="C88" s="101" t="s">
        <v>371</v>
      </c>
      <c r="D88" s="83">
        <v>16</v>
      </c>
      <c r="E88" s="101">
        <v>784</v>
      </c>
      <c r="F88" s="101">
        <v>758</v>
      </c>
      <c r="G88" s="114">
        <v>130.19999999999999</v>
      </c>
      <c r="H88" s="83">
        <v>3</v>
      </c>
      <c r="I88" s="114">
        <f t="shared" si="6"/>
        <v>47.375</v>
      </c>
      <c r="J88" s="114">
        <f t="shared" si="7"/>
        <v>49</v>
      </c>
      <c r="K88" s="112" t="str">
        <f t="shared" si="8"/>
        <v>Normal</v>
      </c>
    </row>
    <row r="89" spans="1:11">
      <c r="A89" s="100" t="s">
        <v>2519</v>
      </c>
      <c r="B89" s="159">
        <v>46023</v>
      </c>
      <c r="C89" s="101" t="s">
        <v>407</v>
      </c>
      <c r="D89" s="83">
        <v>19</v>
      </c>
      <c r="E89" s="101">
        <v>1710</v>
      </c>
      <c r="F89" s="101">
        <v>1335</v>
      </c>
      <c r="G89" s="114">
        <v>89</v>
      </c>
      <c r="H89" s="83">
        <v>2</v>
      </c>
      <c r="I89" s="114">
        <f t="shared" si="6"/>
        <v>70.263157894736835</v>
      </c>
      <c r="J89" s="114">
        <f t="shared" si="7"/>
        <v>90</v>
      </c>
      <c r="K89" s="112" t="str">
        <f t="shared" si="8"/>
        <v>Moderate</v>
      </c>
    </row>
    <row r="90" spans="1:11">
      <c r="A90" s="100" t="s">
        <v>2520</v>
      </c>
      <c r="B90" s="159">
        <v>46023</v>
      </c>
      <c r="C90" s="101" t="s">
        <v>37</v>
      </c>
      <c r="D90" s="83">
        <v>22</v>
      </c>
      <c r="E90" s="101">
        <v>1276</v>
      </c>
      <c r="F90" s="101">
        <v>996</v>
      </c>
      <c r="G90" s="114">
        <v>178.7</v>
      </c>
      <c r="H90" s="83">
        <v>2</v>
      </c>
      <c r="I90" s="114">
        <f t="shared" si="6"/>
        <v>45.272727272727273</v>
      </c>
      <c r="J90" s="114">
        <f t="shared" si="7"/>
        <v>58</v>
      </c>
      <c r="K90" s="112" t="str">
        <f t="shared" si="8"/>
        <v>Normal</v>
      </c>
    </row>
    <row r="91" spans="1:11">
      <c r="A91" s="100" t="s">
        <v>2521</v>
      </c>
      <c r="B91" s="159">
        <v>46023</v>
      </c>
      <c r="C91" s="101" t="s">
        <v>271</v>
      </c>
      <c r="D91" s="83">
        <v>19</v>
      </c>
      <c r="E91" s="101">
        <v>1710</v>
      </c>
      <c r="F91" s="101">
        <v>1336</v>
      </c>
      <c r="G91" s="114">
        <v>84.5</v>
      </c>
      <c r="H91" s="83">
        <v>1</v>
      </c>
      <c r="I91" s="114">
        <f t="shared" si="6"/>
        <v>70.315789473684205</v>
      </c>
      <c r="J91" s="114">
        <f t="shared" si="7"/>
        <v>90</v>
      </c>
      <c r="K91" s="112" t="str">
        <f t="shared" si="8"/>
        <v>Moderate</v>
      </c>
    </row>
    <row r="92" spans="1:11">
      <c r="A92" s="100" t="s">
        <v>2522</v>
      </c>
      <c r="B92" s="159">
        <v>46023</v>
      </c>
      <c r="C92" s="101" t="s">
        <v>416</v>
      </c>
      <c r="D92" s="83">
        <v>18</v>
      </c>
      <c r="E92" s="101">
        <v>2016</v>
      </c>
      <c r="F92" s="101">
        <v>1779</v>
      </c>
      <c r="G92" s="114">
        <v>40.1</v>
      </c>
      <c r="H92" s="83">
        <v>0</v>
      </c>
      <c r="I92" s="114">
        <f t="shared" si="6"/>
        <v>98.833333333333329</v>
      </c>
      <c r="J92" s="114">
        <f t="shared" si="7"/>
        <v>112</v>
      </c>
      <c r="K92" s="112" t="str">
        <f t="shared" si="8"/>
        <v>High</v>
      </c>
    </row>
    <row r="93" spans="1:11">
      <c r="A93" s="100" t="s">
        <v>2523</v>
      </c>
      <c r="B93" s="159">
        <v>46023</v>
      </c>
      <c r="C93" s="101" t="s">
        <v>104</v>
      </c>
      <c r="D93" s="83">
        <v>21</v>
      </c>
      <c r="E93" s="101">
        <v>945</v>
      </c>
      <c r="F93" s="101">
        <v>766</v>
      </c>
      <c r="G93" s="114">
        <v>131.30000000000001</v>
      </c>
      <c r="H93" s="83">
        <v>3</v>
      </c>
      <c r="I93" s="114">
        <f t="shared" si="6"/>
        <v>36.476190476190474</v>
      </c>
      <c r="J93" s="114">
        <f t="shared" si="7"/>
        <v>45</v>
      </c>
      <c r="K93" s="112" t="str">
        <f t="shared" si="8"/>
        <v>Normal</v>
      </c>
    </row>
    <row r="94" spans="1:11">
      <c r="A94" s="100" t="s">
        <v>2524</v>
      </c>
      <c r="B94" s="159">
        <v>46023</v>
      </c>
      <c r="C94" s="101" t="s">
        <v>421</v>
      </c>
      <c r="D94" s="83">
        <v>21</v>
      </c>
      <c r="E94" s="101">
        <v>1995</v>
      </c>
      <c r="F94" s="101">
        <v>1705</v>
      </c>
      <c r="G94" s="114">
        <v>82.2</v>
      </c>
      <c r="H94" s="83">
        <v>2</v>
      </c>
      <c r="I94" s="114">
        <f t="shared" si="6"/>
        <v>81.19047619047619</v>
      </c>
      <c r="J94" s="114">
        <f t="shared" si="7"/>
        <v>95</v>
      </c>
      <c r="K94" s="112" t="str">
        <f t="shared" si="8"/>
        <v>Moderate</v>
      </c>
    </row>
    <row r="95" spans="1:11">
      <c r="A95" s="100" t="s">
        <v>2525</v>
      </c>
      <c r="B95" s="159">
        <v>46054</v>
      </c>
      <c r="C95" s="101" t="s">
        <v>152</v>
      </c>
      <c r="D95" s="83">
        <v>26</v>
      </c>
      <c r="E95" s="101">
        <v>2054</v>
      </c>
      <c r="F95" s="101">
        <v>1646</v>
      </c>
      <c r="G95" s="114">
        <v>117.2</v>
      </c>
      <c r="H95" s="83">
        <v>7</v>
      </c>
      <c r="I95" s="114">
        <f t="shared" si="6"/>
        <v>63.307692307692307</v>
      </c>
      <c r="J95" s="114">
        <f t="shared" si="7"/>
        <v>79</v>
      </c>
      <c r="K95" s="112" t="str">
        <f t="shared" si="8"/>
        <v>Moderate</v>
      </c>
    </row>
    <row r="96" spans="1:11">
      <c r="A96" s="100" t="s">
        <v>2526</v>
      </c>
      <c r="B96" s="159">
        <v>46054</v>
      </c>
      <c r="C96" s="101" t="s">
        <v>379</v>
      </c>
      <c r="D96" s="83">
        <v>15</v>
      </c>
      <c r="E96" s="101">
        <v>930</v>
      </c>
      <c r="F96" s="101">
        <v>791</v>
      </c>
      <c r="G96" s="114">
        <v>67.099999999999994</v>
      </c>
      <c r="H96" s="83">
        <v>2</v>
      </c>
      <c r="I96" s="114">
        <f t="shared" si="6"/>
        <v>52.733333333333334</v>
      </c>
      <c r="J96" s="114">
        <f t="shared" si="7"/>
        <v>62</v>
      </c>
      <c r="K96" s="112" t="str">
        <f t="shared" si="8"/>
        <v>Normal</v>
      </c>
    </row>
    <row r="97" spans="1:11">
      <c r="A97" s="100" t="s">
        <v>2527</v>
      </c>
      <c r="B97" s="159">
        <v>46054</v>
      </c>
      <c r="C97" s="101" t="s">
        <v>176</v>
      </c>
      <c r="D97" s="83">
        <v>21</v>
      </c>
      <c r="E97" s="101">
        <v>1470</v>
      </c>
      <c r="F97" s="101">
        <v>1179</v>
      </c>
      <c r="G97" s="114">
        <v>68.900000000000006</v>
      </c>
      <c r="H97" s="83">
        <v>2</v>
      </c>
      <c r="I97" s="114">
        <f t="shared" si="6"/>
        <v>56.142857142857146</v>
      </c>
      <c r="J97" s="114">
        <f t="shared" si="7"/>
        <v>70</v>
      </c>
      <c r="K97" s="112" t="str">
        <f t="shared" si="8"/>
        <v>Normal</v>
      </c>
    </row>
    <row r="98" spans="1:11">
      <c r="A98" s="100" t="s">
        <v>2528</v>
      </c>
      <c r="B98" s="159">
        <v>46054</v>
      </c>
      <c r="C98" s="101" t="s">
        <v>371</v>
      </c>
      <c r="D98" s="83">
        <v>15</v>
      </c>
      <c r="E98" s="101">
        <v>1470</v>
      </c>
      <c r="F98" s="101">
        <v>1365</v>
      </c>
      <c r="G98" s="114">
        <v>123.1</v>
      </c>
      <c r="H98" s="83">
        <v>1</v>
      </c>
      <c r="I98" s="114">
        <f t="shared" si="6"/>
        <v>91</v>
      </c>
      <c r="J98" s="114">
        <f t="shared" si="7"/>
        <v>98</v>
      </c>
      <c r="K98" s="112" t="str">
        <f t="shared" si="8"/>
        <v>Moderate</v>
      </c>
    </row>
    <row r="99" spans="1:11">
      <c r="A99" s="100" t="s">
        <v>2529</v>
      </c>
      <c r="B99" s="159">
        <v>46054</v>
      </c>
      <c r="C99" s="101" t="s">
        <v>407</v>
      </c>
      <c r="D99" s="83">
        <v>24</v>
      </c>
      <c r="E99" s="101">
        <v>1680</v>
      </c>
      <c r="F99" s="101">
        <v>1629</v>
      </c>
      <c r="G99" s="114">
        <v>208.3</v>
      </c>
      <c r="H99" s="83">
        <v>4</v>
      </c>
      <c r="I99" s="114">
        <f t="shared" si="6"/>
        <v>67.875</v>
      </c>
      <c r="J99" s="114">
        <f t="shared" si="7"/>
        <v>70</v>
      </c>
      <c r="K99" s="112" t="str">
        <f t="shared" si="8"/>
        <v>Normal</v>
      </c>
    </row>
    <row r="100" spans="1:11">
      <c r="A100" s="100" t="s">
        <v>2530</v>
      </c>
      <c r="B100" s="159">
        <v>46054</v>
      </c>
      <c r="C100" s="101" t="s">
        <v>37</v>
      </c>
      <c r="D100" s="83">
        <v>20</v>
      </c>
      <c r="E100" s="101">
        <v>1960</v>
      </c>
      <c r="F100" s="101">
        <v>1720</v>
      </c>
      <c r="G100" s="114">
        <v>99.3</v>
      </c>
      <c r="H100" s="83">
        <v>5</v>
      </c>
      <c r="I100" s="114">
        <f t="shared" si="6"/>
        <v>86</v>
      </c>
      <c r="J100" s="114">
        <f t="shared" si="7"/>
        <v>98</v>
      </c>
      <c r="K100" s="112" t="str">
        <f t="shared" si="8"/>
        <v>Moderate</v>
      </c>
    </row>
    <row r="101" spans="1:11">
      <c r="A101" s="100" t="s">
        <v>2531</v>
      </c>
      <c r="B101" s="159">
        <v>46054</v>
      </c>
      <c r="C101" s="101" t="s">
        <v>271</v>
      </c>
      <c r="D101" s="83">
        <v>21</v>
      </c>
      <c r="E101" s="101">
        <v>1281</v>
      </c>
      <c r="F101" s="101">
        <v>1082</v>
      </c>
      <c r="G101" s="114">
        <v>149.4</v>
      </c>
      <c r="H101" s="83">
        <v>6</v>
      </c>
      <c r="I101" s="114">
        <f t="shared" ref="I101:I124" si="9">IFERROR($F101/$D101,0)</f>
        <v>51.523809523809526</v>
      </c>
      <c r="J101" s="114">
        <f t="shared" ref="J101:J124" si="10">IFERROR($E101/$D101,0)</f>
        <v>61</v>
      </c>
      <c r="K101" s="112" t="str">
        <f t="shared" ref="K101:K124" si="11">IF($J101&gt;100,"High",IF($J101&gt;75,"Moderate","Normal"))</f>
        <v>Normal</v>
      </c>
    </row>
    <row r="102" spans="1:11">
      <c r="A102" s="100" t="s">
        <v>2532</v>
      </c>
      <c r="B102" s="159">
        <v>46054</v>
      </c>
      <c r="C102" s="101" t="s">
        <v>416</v>
      </c>
      <c r="D102" s="83">
        <v>22</v>
      </c>
      <c r="E102" s="101">
        <v>2068</v>
      </c>
      <c r="F102" s="101">
        <v>1667</v>
      </c>
      <c r="G102" s="114">
        <v>190.6</v>
      </c>
      <c r="H102" s="83">
        <v>0</v>
      </c>
      <c r="I102" s="114">
        <f t="shared" si="9"/>
        <v>75.772727272727266</v>
      </c>
      <c r="J102" s="114">
        <f t="shared" si="10"/>
        <v>94</v>
      </c>
      <c r="K102" s="112" t="str">
        <f t="shared" si="11"/>
        <v>Moderate</v>
      </c>
    </row>
    <row r="103" spans="1:11">
      <c r="A103" s="100" t="s">
        <v>2533</v>
      </c>
      <c r="B103" s="159">
        <v>46054</v>
      </c>
      <c r="C103" s="101" t="s">
        <v>104</v>
      </c>
      <c r="D103" s="83">
        <v>19</v>
      </c>
      <c r="E103" s="101">
        <v>1216</v>
      </c>
      <c r="F103" s="101">
        <v>1032</v>
      </c>
      <c r="G103" s="114">
        <v>21.1</v>
      </c>
      <c r="H103" s="83">
        <v>5</v>
      </c>
      <c r="I103" s="114">
        <f t="shared" si="9"/>
        <v>54.315789473684212</v>
      </c>
      <c r="J103" s="114">
        <f t="shared" si="10"/>
        <v>64</v>
      </c>
      <c r="K103" s="112" t="str">
        <f t="shared" si="11"/>
        <v>Normal</v>
      </c>
    </row>
    <row r="104" spans="1:11">
      <c r="A104" s="100" t="s">
        <v>2534</v>
      </c>
      <c r="B104" s="159">
        <v>46054</v>
      </c>
      <c r="C104" s="101" t="s">
        <v>421</v>
      </c>
      <c r="D104" s="83">
        <v>19</v>
      </c>
      <c r="E104" s="101">
        <v>969</v>
      </c>
      <c r="F104" s="101">
        <v>887</v>
      </c>
      <c r="G104" s="114">
        <v>71</v>
      </c>
      <c r="H104" s="83">
        <v>4</v>
      </c>
      <c r="I104" s="114">
        <f t="shared" si="9"/>
        <v>46.684210526315788</v>
      </c>
      <c r="J104" s="114">
        <f t="shared" si="10"/>
        <v>51</v>
      </c>
      <c r="K104" s="112" t="str">
        <f t="shared" si="11"/>
        <v>Normal</v>
      </c>
    </row>
    <row r="105" spans="1:11">
      <c r="A105" s="100" t="s">
        <v>2535</v>
      </c>
      <c r="B105" s="159">
        <v>46082</v>
      </c>
      <c r="C105" s="101" t="s">
        <v>152</v>
      </c>
      <c r="D105" s="83">
        <v>27</v>
      </c>
      <c r="E105" s="101">
        <v>1242</v>
      </c>
      <c r="F105" s="101">
        <v>1076</v>
      </c>
      <c r="G105" s="114">
        <v>89.5</v>
      </c>
      <c r="H105" s="83">
        <v>7</v>
      </c>
      <c r="I105" s="114">
        <f t="shared" si="9"/>
        <v>39.851851851851855</v>
      </c>
      <c r="J105" s="114">
        <f t="shared" si="10"/>
        <v>46</v>
      </c>
      <c r="K105" s="112" t="str">
        <f t="shared" si="11"/>
        <v>Normal</v>
      </c>
    </row>
    <row r="106" spans="1:11">
      <c r="A106" s="100" t="s">
        <v>2536</v>
      </c>
      <c r="B106" s="159">
        <v>46082</v>
      </c>
      <c r="C106" s="101" t="s">
        <v>379</v>
      </c>
      <c r="D106" s="83">
        <v>14</v>
      </c>
      <c r="E106" s="101">
        <v>1386</v>
      </c>
      <c r="F106" s="101">
        <v>1149</v>
      </c>
      <c r="G106" s="114">
        <v>31.1</v>
      </c>
      <c r="H106" s="83">
        <v>4</v>
      </c>
      <c r="I106" s="114">
        <f t="shared" si="9"/>
        <v>82.071428571428569</v>
      </c>
      <c r="J106" s="114">
        <f t="shared" si="10"/>
        <v>99</v>
      </c>
      <c r="K106" s="112" t="str">
        <f t="shared" si="11"/>
        <v>Moderate</v>
      </c>
    </row>
    <row r="107" spans="1:11">
      <c r="A107" s="100" t="s">
        <v>2537</v>
      </c>
      <c r="B107" s="159">
        <v>46082</v>
      </c>
      <c r="C107" s="101" t="s">
        <v>176</v>
      </c>
      <c r="D107" s="83">
        <v>16</v>
      </c>
      <c r="E107" s="101">
        <v>1216</v>
      </c>
      <c r="F107" s="101">
        <v>1016</v>
      </c>
      <c r="G107" s="114">
        <v>30.7</v>
      </c>
      <c r="H107" s="83">
        <v>2</v>
      </c>
      <c r="I107" s="114">
        <f t="shared" si="9"/>
        <v>63.5</v>
      </c>
      <c r="J107" s="114">
        <f t="shared" si="10"/>
        <v>76</v>
      </c>
      <c r="K107" s="112" t="str">
        <f t="shared" si="11"/>
        <v>Moderate</v>
      </c>
    </row>
    <row r="108" spans="1:11">
      <c r="A108" s="100" t="s">
        <v>2538</v>
      </c>
      <c r="B108" s="159">
        <v>46082</v>
      </c>
      <c r="C108" s="101" t="s">
        <v>371</v>
      </c>
      <c r="D108" s="83">
        <v>17</v>
      </c>
      <c r="E108" s="101">
        <v>1292</v>
      </c>
      <c r="F108" s="101">
        <v>1179</v>
      </c>
      <c r="G108" s="114">
        <v>75.400000000000006</v>
      </c>
      <c r="H108" s="83">
        <v>3</v>
      </c>
      <c r="I108" s="114">
        <f t="shared" si="9"/>
        <v>69.352941176470594</v>
      </c>
      <c r="J108" s="114">
        <f t="shared" si="10"/>
        <v>76</v>
      </c>
      <c r="K108" s="112" t="str">
        <f t="shared" si="11"/>
        <v>Moderate</v>
      </c>
    </row>
    <row r="109" spans="1:11">
      <c r="A109" s="100" t="s">
        <v>2539</v>
      </c>
      <c r="B109" s="159">
        <v>46082</v>
      </c>
      <c r="C109" s="101" t="s">
        <v>407</v>
      </c>
      <c r="D109" s="83">
        <v>24</v>
      </c>
      <c r="E109" s="101">
        <v>1392</v>
      </c>
      <c r="F109" s="101">
        <v>1280</v>
      </c>
      <c r="G109" s="114">
        <v>120.4</v>
      </c>
      <c r="H109" s="83">
        <v>2</v>
      </c>
      <c r="I109" s="114">
        <f t="shared" si="9"/>
        <v>53.333333333333336</v>
      </c>
      <c r="J109" s="114">
        <f t="shared" si="10"/>
        <v>58</v>
      </c>
      <c r="K109" s="112" t="str">
        <f t="shared" si="11"/>
        <v>Normal</v>
      </c>
    </row>
    <row r="110" spans="1:11">
      <c r="A110" s="100" t="s">
        <v>2540</v>
      </c>
      <c r="B110" s="159">
        <v>46082</v>
      </c>
      <c r="C110" s="101" t="s">
        <v>37</v>
      </c>
      <c r="D110" s="83">
        <v>21</v>
      </c>
      <c r="E110" s="101">
        <v>2520</v>
      </c>
      <c r="F110" s="101">
        <v>2282</v>
      </c>
      <c r="G110" s="114">
        <v>46</v>
      </c>
      <c r="H110" s="83">
        <v>1</v>
      </c>
      <c r="I110" s="114">
        <f t="shared" si="9"/>
        <v>108.66666666666667</v>
      </c>
      <c r="J110" s="114">
        <f t="shared" si="10"/>
        <v>120</v>
      </c>
      <c r="K110" s="112" t="str">
        <f t="shared" si="11"/>
        <v>High</v>
      </c>
    </row>
    <row r="111" spans="1:11">
      <c r="A111" s="100" t="s">
        <v>2541</v>
      </c>
      <c r="B111" s="159">
        <v>46082</v>
      </c>
      <c r="C111" s="101" t="s">
        <v>271</v>
      </c>
      <c r="D111" s="83">
        <v>17</v>
      </c>
      <c r="E111" s="101">
        <v>1632</v>
      </c>
      <c r="F111" s="101">
        <v>1285</v>
      </c>
      <c r="G111" s="114">
        <v>151.69999999999999</v>
      </c>
      <c r="H111" s="83">
        <v>1</v>
      </c>
      <c r="I111" s="114">
        <f t="shared" si="9"/>
        <v>75.588235294117652</v>
      </c>
      <c r="J111" s="114">
        <f t="shared" si="10"/>
        <v>96</v>
      </c>
      <c r="K111" s="112" t="str">
        <f t="shared" si="11"/>
        <v>Moderate</v>
      </c>
    </row>
    <row r="112" spans="1:11">
      <c r="A112" s="100" t="s">
        <v>2542</v>
      </c>
      <c r="B112" s="159">
        <v>46082</v>
      </c>
      <c r="C112" s="101" t="s">
        <v>416</v>
      </c>
      <c r="D112" s="83">
        <v>21</v>
      </c>
      <c r="E112" s="101">
        <v>987</v>
      </c>
      <c r="F112" s="101">
        <v>891</v>
      </c>
      <c r="G112" s="114">
        <v>36.299999999999997</v>
      </c>
      <c r="H112" s="83">
        <v>0</v>
      </c>
      <c r="I112" s="114">
        <f t="shared" si="9"/>
        <v>42.428571428571431</v>
      </c>
      <c r="J112" s="114">
        <f t="shared" si="10"/>
        <v>47</v>
      </c>
      <c r="K112" s="112" t="str">
        <f t="shared" si="11"/>
        <v>Normal</v>
      </c>
    </row>
    <row r="113" spans="1:11">
      <c r="A113" s="100" t="s">
        <v>2543</v>
      </c>
      <c r="B113" s="159">
        <v>46082</v>
      </c>
      <c r="C113" s="101" t="s">
        <v>104</v>
      </c>
      <c r="D113" s="83">
        <v>21</v>
      </c>
      <c r="E113" s="101">
        <v>2037</v>
      </c>
      <c r="F113" s="101">
        <v>1802</v>
      </c>
      <c r="G113" s="114">
        <v>138.6</v>
      </c>
      <c r="H113" s="83">
        <v>3</v>
      </c>
      <c r="I113" s="114">
        <f t="shared" si="9"/>
        <v>85.80952380952381</v>
      </c>
      <c r="J113" s="114">
        <f t="shared" si="10"/>
        <v>97</v>
      </c>
      <c r="K113" s="112" t="str">
        <f t="shared" si="11"/>
        <v>Moderate</v>
      </c>
    </row>
    <row r="114" spans="1:11">
      <c r="A114" s="100" t="s">
        <v>2544</v>
      </c>
      <c r="B114" s="159">
        <v>46082</v>
      </c>
      <c r="C114" s="101" t="s">
        <v>421</v>
      </c>
      <c r="D114" s="83">
        <v>19</v>
      </c>
      <c r="E114" s="101">
        <v>1672</v>
      </c>
      <c r="F114" s="101">
        <v>1446</v>
      </c>
      <c r="G114" s="114">
        <v>28.3</v>
      </c>
      <c r="H114" s="83">
        <v>3</v>
      </c>
      <c r="I114" s="114">
        <f t="shared" si="9"/>
        <v>76.10526315789474</v>
      </c>
      <c r="J114" s="114">
        <f t="shared" si="10"/>
        <v>88</v>
      </c>
      <c r="K114" s="112" t="str">
        <f t="shared" si="11"/>
        <v>Moderate</v>
      </c>
    </row>
    <row r="115" spans="1:11">
      <c r="A115" s="100" t="s">
        <v>2545</v>
      </c>
      <c r="B115" s="159">
        <v>46113</v>
      </c>
      <c r="C115" s="101" t="s">
        <v>152</v>
      </c>
      <c r="D115" s="83">
        <v>27</v>
      </c>
      <c r="E115" s="101">
        <v>1377</v>
      </c>
      <c r="F115" s="101">
        <v>1157</v>
      </c>
      <c r="G115" s="114">
        <v>85.2</v>
      </c>
      <c r="H115" s="83">
        <v>4</v>
      </c>
      <c r="I115" s="114">
        <f t="shared" si="9"/>
        <v>42.851851851851855</v>
      </c>
      <c r="J115" s="114">
        <f t="shared" si="10"/>
        <v>51</v>
      </c>
      <c r="K115" s="112" t="str">
        <f t="shared" si="11"/>
        <v>Normal</v>
      </c>
    </row>
    <row r="116" spans="1:11">
      <c r="A116" s="100" t="s">
        <v>2546</v>
      </c>
      <c r="B116" s="159">
        <v>46113</v>
      </c>
      <c r="C116" s="101" t="s">
        <v>379</v>
      </c>
      <c r="D116" s="83">
        <v>16</v>
      </c>
      <c r="E116" s="101">
        <v>1568</v>
      </c>
      <c r="F116" s="101">
        <v>1300</v>
      </c>
      <c r="G116" s="114">
        <v>130.6</v>
      </c>
      <c r="H116" s="83">
        <v>1</v>
      </c>
      <c r="I116" s="114">
        <f t="shared" si="9"/>
        <v>81.25</v>
      </c>
      <c r="J116" s="114">
        <f t="shared" si="10"/>
        <v>98</v>
      </c>
      <c r="K116" s="112" t="str">
        <f t="shared" si="11"/>
        <v>Moderate</v>
      </c>
    </row>
    <row r="117" spans="1:11">
      <c r="A117" s="100" t="s">
        <v>2547</v>
      </c>
      <c r="B117" s="159">
        <v>46113</v>
      </c>
      <c r="C117" s="101" t="s">
        <v>176</v>
      </c>
      <c r="D117" s="83">
        <v>15</v>
      </c>
      <c r="E117" s="101">
        <v>675</v>
      </c>
      <c r="F117" s="101">
        <v>533</v>
      </c>
      <c r="G117" s="114">
        <v>104.4</v>
      </c>
      <c r="H117" s="83">
        <v>1</v>
      </c>
      <c r="I117" s="114">
        <f t="shared" si="9"/>
        <v>35.533333333333331</v>
      </c>
      <c r="J117" s="114">
        <f t="shared" si="10"/>
        <v>45</v>
      </c>
      <c r="K117" s="112" t="str">
        <f t="shared" si="11"/>
        <v>Normal</v>
      </c>
    </row>
    <row r="118" spans="1:11">
      <c r="A118" s="100" t="s">
        <v>2548</v>
      </c>
      <c r="B118" s="159">
        <v>46113</v>
      </c>
      <c r="C118" s="101" t="s">
        <v>371</v>
      </c>
      <c r="D118" s="83">
        <v>14</v>
      </c>
      <c r="E118" s="101">
        <v>1470</v>
      </c>
      <c r="F118" s="101">
        <v>1228</v>
      </c>
      <c r="G118" s="114">
        <v>81.900000000000006</v>
      </c>
      <c r="H118" s="83">
        <v>3</v>
      </c>
      <c r="I118" s="114">
        <f t="shared" si="9"/>
        <v>87.714285714285708</v>
      </c>
      <c r="J118" s="114">
        <f t="shared" si="10"/>
        <v>105</v>
      </c>
      <c r="K118" s="112" t="str">
        <f t="shared" si="11"/>
        <v>High</v>
      </c>
    </row>
    <row r="119" spans="1:11">
      <c r="A119" s="100" t="s">
        <v>2549</v>
      </c>
      <c r="B119" s="159">
        <v>46113</v>
      </c>
      <c r="C119" s="101" t="s">
        <v>407</v>
      </c>
      <c r="D119" s="83">
        <v>20</v>
      </c>
      <c r="E119" s="101">
        <v>1540</v>
      </c>
      <c r="F119" s="101">
        <v>1493</v>
      </c>
      <c r="G119" s="114">
        <v>78.2</v>
      </c>
      <c r="H119" s="83">
        <v>2</v>
      </c>
      <c r="I119" s="114">
        <f t="shared" si="9"/>
        <v>74.650000000000006</v>
      </c>
      <c r="J119" s="114">
        <f t="shared" si="10"/>
        <v>77</v>
      </c>
      <c r="K119" s="112" t="str">
        <f t="shared" si="11"/>
        <v>Moderate</v>
      </c>
    </row>
    <row r="120" spans="1:11">
      <c r="A120" s="100" t="s">
        <v>2550</v>
      </c>
      <c r="B120" s="159">
        <v>46113</v>
      </c>
      <c r="C120" s="101" t="s">
        <v>37</v>
      </c>
      <c r="D120" s="83">
        <v>20</v>
      </c>
      <c r="E120" s="101">
        <v>1140</v>
      </c>
      <c r="F120" s="101">
        <v>1041</v>
      </c>
      <c r="G120" s="114">
        <v>129.30000000000001</v>
      </c>
      <c r="H120" s="83">
        <v>6</v>
      </c>
      <c r="I120" s="114">
        <f t="shared" si="9"/>
        <v>52.05</v>
      </c>
      <c r="J120" s="114">
        <f t="shared" si="10"/>
        <v>57</v>
      </c>
      <c r="K120" s="112" t="str">
        <f t="shared" si="11"/>
        <v>Normal</v>
      </c>
    </row>
    <row r="121" spans="1:11">
      <c r="A121" s="100" t="s">
        <v>2551</v>
      </c>
      <c r="B121" s="159">
        <v>46113</v>
      </c>
      <c r="C121" s="101" t="s">
        <v>271</v>
      </c>
      <c r="D121" s="83">
        <v>22</v>
      </c>
      <c r="E121" s="101">
        <v>1342</v>
      </c>
      <c r="F121" s="101">
        <v>1135</v>
      </c>
      <c r="G121" s="114">
        <v>152.5</v>
      </c>
      <c r="H121" s="83">
        <v>5</v>
      </c>
      <c r="I121" s="114">
        <f t="shared" si="9"/>
        <v>51.590909090909093</v>
      </c>
      <c r="J121" s="114">
        <f t="shared" si="10"/>
        <v>61</v>
      </c>
      <c r="K121" s="112" t="str">
        <f t="shared" si="11"/>
        <v>Normal</v>
      </c>
    </row>
    <row r="122" spans="1:11">
      <c r="A122" s="100" t="s">
        <v>2552</v>
      </c>
      <c r="B122" s="159">
        <v>46113</v>
      </c>
      <c r="C122" s="101" t="s">
        <v>416</v>
      </c>
      <c r="D122" s="83">
        <v>23</v>
      </c>
      <c r="E122" s="101">
        <v>2760</v>
      </c>
      <c r="F122" s="101">
        <v>2444</v>
      </c>
      <c r="G122" s="114">
        <v>91.4</v>
      </c>
      <c r="H122" s="83">
        <v>4</v>
      </c>
      <c r="I122" s="114">
        <f t="shared" si="9"/>
        <v>106.26086956521739</v>
      </c>
      <c r="J122" s="114">
        <f t="shared" si="10"/>
        <v>120</v>
      </c>
      <c r="K122" s="112" t="str">
        <f t="shared" si="11"/>
        <v>High</v>
      </c>
    </row>
    <row r="123" spans="1:11">
      <c r="A123" s="100" t="s">
        <v>2553</v>
      </c>
      <c r="B123" s="159">
        <v>46113</v>
      </c>
      <c r="C123" s="101" t="s">
        <v>104</v>
      </c>
      <c r="D123" s="83">
        <v>19</v>
      </c>
      <c r="E123" s="101">
        <v>2261</v>
      </c>
      <c r="F123" s="101">
        <v>1937</v>
      </c>
      <c r="G123" s="114">
        <v>153.9</v>
      </c>
      <c r="H123" s="83">
        <v>1</v>
      </c>
      <c r="I123" s="114">
        <f t="shared" si="9"/>
        <v>101.94736842105263</v>
      </c>
      <c r="J123" s="114">
        <f t="shared" si="10"/>
        <v>119</v>
      </c>
      <c r="K123" s="112" t="str">
        <f t="shared" si="11"/>
        <v>High</v>
      </c>
    </row>
    <row r="124" spans="1:11">
      <c r="A124" s="104" t="s">
        <v>2554</v>
      </c>
      <c r="B124" s="160">
        <v>46113</v>
      </c>
      <c r="C124" s="105" t="s">
        <v>421</v>
      </c>
      <c r="D124" s="89">
        <v>23</v>
      </c>
      <c r="E124" s="105">
        <v>1380</v>
      </c>
      <c r="F124" s="105">
        <v>1087</v>
      </c>
      <c r="G124" s="115">
        <v>201.2</v>
      </c>
      <c r="H124" s="89">
        <v>3</v>
      </c>
      <c r="I124" s="115">
        <f t="shared" si="9"/>
        <v>47.260869565217391</v>
      </c>
      <c r="J124" s="115">
        <f t="shared" si="10"/>
        <v>60</v>
      </c>
      <c r="K124" s="113" t="str">
        <f t="shared" si="11"/>
        <v>Normal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4"/>
  <sheetViews>
    <sheetView showGridLines="0" workbookViewId="0">
      <pane ySplit="4" topLeftCell="A5" activePane="bottomLeft" state="frozen"/>
      <selection pane="bottomLeft" activeCell="E20" sqref="A1:XFD1048576"/>
    </sheetView>
  </sheetViews>
  <sheetFormatPr baseColWidth="10" defaultColWidth="8.83203125" defaultRowHeight="15"/>
  <cols>
    <col min="1" max="1" width="14" style="91" customWidth="1"/>
    <col min="2" max="2" width="12" style="91" customWidth="1"/>
    <col min="3" max="3" width="22" style="91" customWidth="1"/>
    <col min="4" max="5" width="18" style="91" customWidth="1"/>
    <col min="6" max="6" width="20.83203125" style="91" customWidth="1"/>
    <col min="7" max="7" width="16" style="91" customWidth="1"/>
    <col min="8" max="8" width="14" style="91" customWidth="1"/>
    <col min="9" max="16384" width="8.83203125" style="91"/>
  </cols>
  <sheetData>
    <row r="1" spans="1:8" ht="44">
      <c r="A1" s="53" t="s">
        <v>2555</v>
      </c>
      <c r="B1" s="53"/>
      <c r="C1" s="53"/>
      <c r="D1" s="53"/>
      <c r="E1" s="53"/>
      <c r="F1" s="53"/>
      <c r="G1" s="53"/>
      <c r="H1" s="53"/>
    </row>
    <row r="2" spans="1:8" ht="25">
      <c r="A2" s="68" t="s">
        <v>2556</v>
      </c>
      <c r="B2" s="68"/>
      <c r="C2" s="68"/>
      <c r="D2" s="68"/>
      <c r="E2" s="68"/>
      <c r="F2" s="68"/>
      <c r="G2" s="68"/>
      <c r="H2" s="68"/>
    </row>
    <row r="4" spans="1:8" ht="16">
      <c r="A4" s="98" t="s">
        <v>351</v>
      </c>
      <c r="B4" s="99" t="s">
        <v>331</v>
      </c>
      <c r="C4" s="99" t="s">
        <v>102</v>
      </c>
      <c r="D4" s="99" t="s">
        <v>114</v>
      </c>
      <c r="E4" s="99" t="s">
        <v>334</v>
      </c>
      <c r="F4" s="99" t="s">
        <v>155</v>
      </c>
      <c r="G4" s="99" t="s">
        <v>354</v>
      </c>
      <c r="H4" s="109" t="s">
        <v>355</v>
      </c>
    </row>
    <row r="5" spans="1:8">
      <c r="A5" s="100" t="s">
        <v>353</v>
      </c>
      <c r="B5" s="159">
        <v>45778</v>
      </c>
      <c r="C5" s="101" t="s">
        <v>152</v>
      </c>
      <c r="D5" s="101" t="s">
        <v>154</v>
      </c>
      <c r="E5" s="83">
        <v>28</v>
      </c>
      <c r="F5" s="83">
        <v>25</v>
      </c>
      <c r="G5" s="83">
        <f t="shared" ref="G5:G36" si="0">IF($A5="","",MAX(0,$F5-$E5))</f>
        <v>0</v>
      </c>
      <c r="H5" s="251">
        <f t="shared" ref="H5:H36" si="1">IFERROR($G5/$F5,0)</f>
        <v>0</v>
      </c>
    </row>
    <row r="6" spans="1:8">
      <c r="A6" s="100" t="s">
        <v>2557</v>
      </c>
      <c r="B6" s="159">
        <v>45778</v>
      </c>
      <c r="C6" s="101" t="s">
        <v>379</v>
      </c>
      <c r="D6" s="101" t="s">
        <v>390</v>
      </c>
      <c r="E6" s="83">
        <v>19</v>
      </c>
      <c r="F6" s="83">
        <v>33</v>
      </c>
      <c r="G6" s="83">
        <f t="shared" si="0"/>
        <v>14</v>
      </c>
      <c r="H6" s="251">
        <f t="shared" si="1"/>
        <v>0.42424242424242425</v>
      </c>
    </row>
    <row r="7" spans="1:8">
      <c r="A7" s="100" t="s">
        <v>2558</v>
      </c>
      <c r="B7" s="159">
        <v>45778</v>
      </c>
      <c r="C7" s="101" t="s">
        <v>176</v>
      </c>
      <c r="D7" s="101" t="s">
        <v>154</v>
      </c>
      <c r="E7" s="83">
        <v>16</v>
      </c>
      <c r="F7" s="83">
        <v>38</v>
      </c>
      <c r="G7" s="83">
        <f t="shared" si="0"/>
        <v>22</v>
      </c>
      <c r="H7" s="251">
        <f t="shared" si="1"/>
        <v>0.57894736842105265</v>
      </c>
    </row>
    <row r="8" spans="1:8">
      <c r="A8" s="100" t="s">
        <v>2559</v>
      </c>
      <c r="B8" s="159">
        <v>45778</v>
      </c>
      <c r="C8" s="101" t="s">
        <v>371</v>
      </c>
      <c r="D8" s="101" t="s">
        <v>371</v>
      </c>
      <c r="E8" s="83">
        <v>14</v>
      </c>
      <c r="F8" s="83">
        <v>39</v>
      </c>
      <c r="G8" s="83">
        <f t="shared" si="0"/>
        <v>25</v>
      </c>
      <c r="H8" s="251">
        <f t="shared" si="1"/>
        <v>0.64102564102564108</v>
      </c>
    </row>
    <row r="9" spans="1:8">
      <c r="A9" s="100" t="s">
        <v>2560</v>
      </c>
      <c r="B9" s="159">
        <v>45778</v>
      </c>
      <c r="C9" s="101" t="s">
        <v>407</v>
      </c>
      <c r="D9" s="101" t="s">
        <v>417</v>
      </c>
      <c r="E9" s="83">
        <v>23</v>
      </c>
      <c r="F9" s="83">
        <v>23</v>
      </c>
      <c r="G9" s="83">
        <f t="shared" si="0"/>
        <v>0</v>
      </c>
      <c r="H9" s="251">
        <f t="shared" si="1"/>
        <v>0</v>
      </c>
    </row>
    <row r="10" spans="1:8">
      <c r="A10" s="100" t="s">
        <v>2561</v>
      </c>
      <c r="B10" s="159">
        <v>45778</v>
      </c>
      <c r="C10" s="101" t="s">
        <v>37</v>
      </c>
      <c r="D10" s="101" t="s">
        <v>37</v>
      </c>
      <c r="E10" s="83">
        <v>24</v>
      </c>
      <c r="F10" s="83">
        <v>27</v>
      </c>
      <c r="G10" s="83">
        <f t="shared" si="0"/>
        <v>3</v>
      </c>
      <c r="H10" s="251">
        <f t="shared" si="1"/>
        <v>0.1111111111111111</v>
      </c>
    </row>
    <row r="11" spans="1:8">
      <c r="A11" s="100" t="s">
        <v>2562</v>
      </c>
      <c r="B11" s="159">
        <v>45778</v>
      </c>
      <c r="C11" s="101" t="s">
        <v>271</v>
      </c>
      <c r="D11" s="101" t="s">
        <v>408</v>
      </c>
      <c r="E11" s="83">
        <v>22</v>
      </c>
      <c r="F11" s="83">
        <v>25</v>
      </c>
      <c r="G11" s="83">
        <f t="shared" si="0"/>
        <v>3</v>
      </c>
      <c r="H11" s="251">
        <f t="shared" si="1"/>
        <v>0.12</v>
      </c>
    </row>
    <row r="12" spans="1:8">
      <c r="A12" s="100" t="s">
        <v>2563</v>
      </c>
      <c r="B12" s="159">
        <v>45778</v>
      </c>
      <c r="C12" s="101" t="s">
        <v>416</v>
      </c>
      <c r="D12" s="101" t="s">
        <v>411</v>
      </c>
      <c r="E12" s="83">
        <v>24</v>
      </c>
      <c r="F12" s="83">
        <v>29</v>
      </c>
      <c r="G12" s="83">
        <f t="shared" si="0"/>
        <v>5</v>
      </c>
      <c r="H12" s="251">
        <f t="shared" si="1"/>
        <v>0.17241379310344829</v>
      </c>
    </row>
    <row r="13" spans="1:8">
      <c r="A13" s="100" t="s">
        <v>2564</v>
      </c>
      <c r="B13" s="159">
        <v>45778</v>
      </c>
      <c r="C13" s="101" t="s">
        <v>104</v>
      </c>
      <c r="D13" s="101" t="s">
        <v>104</v>
      </c>
      <c r="E13" s="83">
        <v>18</v>
      </c>
      <c r="F13" s="83">
        <v>27</v>
      </c>
      <c r="G13" s="83">
        <f t="shared" si="0"/>
        <v>9</v>
      </c>
      <c r="H13" s="251">
        <f t="shared" si="1"/>
        <v>0.33333333333333331</v>
      </c>
    </row>
    <row r="14" spans="1:8">
      <c r="A14" s="100" t="s">
        <v>2565</v>
      </c>
      <c r="B14" s="159">
        <v>45778</v>
      </c>
      <c r="C14" s="101" t="s">
        <v>421</v>
      </c>
      <c r="D14" s="101" t="s">
        <v>420</v>
      </c>
      <c r="E14" s="83">
        <v>19</v>
      </c>
      <c r="F14" s="83">
        <v>27</v>
      </c>
      <c r="G14" s="83">
        <f t="shared" si="0"/>
        <v>8</v>
      </c>
      <c r="H14" s="251">
        <f t="shared" si="1"/>
        <v>0.29629629629629628</v>
      </c>
    </row>
    <row r="15" spans="1:8">
      <c r="A15" s="100" t="s">
        <v>2566</v>
      </c>
      <c r="B15" s="159">
        <v>45809</v>
      </c>
      <c r="C15" s="101" t="s">
        <v>152</v>
      </c>
      <c r="D15" s="101" t="s">
        <v>154</v>
      </c>
      <c r="E15" s="83">
        <v>23</v>
      </c>
      <c r="F15" s="83">
        <v>25</v>
      </c>
      <c r="G15" s="83">
        <f t="shared" si="0"/>
        <v>2</v>
      </c>
      <c r="H15" s="251">
        <f t="shared" si="1"/>
        <v>0.08</v>
      </c>
    </row>
    <row r="16" spans="1:8">
      <c r="A16" s="100" t="s">
        <v>2567</v>
      </c>
      <c r="B16" s="159">
        <v>45809</v>
      </c>
      <c r="C16" s="101" t="s">
        <v>379</v>
      </c>
      <c r="D16" s="101" t="s">
        <v>390</v>
      </c>
      <c r="E16" s="83">
        <v>18</v>
      </c>
      <c r="F16" s="83">
        <v>33</v>
      </c>
      <c r="G16" s="83">
        <f t="shared" si="0"/>
        <v>15</v>
      </c>
      <c r="H16" s="251">
        <f t="shared" si="1"/>
        <v>0.45454545454545453</v>
      </c>
    </row>
    <row r="17" spans="1:8">
      <c r="A17" s="100" t="s">
        <v>2568</v>
      </c>
      <c r="B17" s="159">
        <v>45809</v>
      </c>
      <c r="C17" s="101" t="s">
        <v>176</v>
      </c>
      <c r="D17" s="101" t="s">
        <v>154</v>
      </c>
      <c r="E17" s="83">
        <v>17</v>
      </c>
      <c r="F17" s="83">
        <v>38</v>
      </c>
      <c r="G17" s="83">
        <f t="shared" si="0"/>
        <v>21</v>
      </c>
      <c r="H17" s="251">
        <f t="shared" si="1"/>
        <v>0.55263157894736847</v>
      </c>
    </row>
    <row r="18" spans="1:8">
      <c r="A18" s="100" t="s">
        <v>2569</v>
      </c>
      <c r="B18" s="159">
        <v>45809</v>
      </c>
      <c r="C18" s="101" t="s">
        <v>371</v>
      </c>
      <c r="D18" s="101" t="s">
        <v>371</v>
      </c>
      <c r="E18" s="83">
        <v>14</v>
      </c>
      <c r="F18" s="83">
        <v>39</v>
      </c>
      <c r="G18" s="83">
        <f t="shared" si="0"/>
        <v>25</v>
      </c>
      <c r="H18" s="251">
        <f t="shared" si="1"/>
        <v>0.64102564102564108</v>
      </c>
    </row>
    <row r="19" spans="1:8">
      <c r="A19" s="100" t="s">
        <v>2570</v>
      </c>
      <c r="B19" s="159">
        <v>45809</v>
      </c>
      <c r="C19" s="101" t="s">
        <v>407</v>
      </c>
      <c r="D19" s="101" t="s">
        <v>417</v>
      </c>
      <c r="E19" s="83">
        <v>25</v>
      </c>
      <c r="F19" s="83">
        <v>23</v>
      </c>
      <c r="G19" s="83">
        <f t="shared" si="0"/>
        <v>0</v>
      </c>
      <c r="H19" s="251">
        <f t="shared" si="1"/>
        <v>0</v>
      </c>
    </row>
    <row r="20" spans="1:8">
      <c r="A20" s="100" t="s">
        <v>2571</v>
      </c>
      <c r="B20" s="159">
        <v>45809</v>
      </c>
      <c r="C20" s="101" t="s">
        <v>37</v>
      </c>
      <c r="D20" s="101" t="s">
        <v>37</v>
      </c>
      <c r="E20" s="83">
        <v>25</v>
      </c>
      <c r="F20" s="83">
        <v>27</v>
      </c>
      <c r="G20" s="83">
        <f t="shared" si="0"/>
        <v>2</v>
      </c>
      <c r="H20" s="251">
        <f t="shared" si="1"/>
        <v>7.407407407407407E-2</v>
      </c>
    </row>
    <row r="21" spans="1:8">
      <c r="A21" s="100" t="s">
        <v>2572</v>
      </c>
      <c r="B21" s="159">
        <v>45809</v>
      </c>
      <c r="C21" s="101" t="s">
        <v>271</v>
      </c>
      <c r="D21" s="101" t="s">
        <v>408</v>
      </c>
      <c r="E21" s="83">
        <v>21</v>
      </c>
      <c r="F21" s="83">
        <v>25</v>
      </c>
      <c r="G21" s="83">
        <f t="shared" si="0"/>
        <v>4</v>
      </c>
      <c r="H21" s="251">
        <f t="shared" si="1"/>
        <v>0.16</v>
      </c>
    </row>
    <row r="22" spans="1:8">
      <c r="A22" s="100" t="s">
        <v>2573</v>
      </c>
      <c r="B22" s="159">
        <v>45809</v>
      </c>
      <c r="C22" s="101" t="s">
        <v>416</v>
      </c>
      <c r="D22" s="101" t="s">
        <v>411</v>
      </c>
      <c r="E22" s="83">
        <v>18</v>
      </c>
      <c r="F22" s="83">
        <v>29</v>
      </c>
      <c r="G22" s="83">
        <f t="shared" si="0"/>
        <v>11</v>
      </c>
      <c r="H22" s="251">
        <f t="shared" si="1"/>
        <v>0.37931034482758619</v>
      </c>
    </row>
    <row r="23" spans="1:8">
      <c r="A23" s="100" t="s">
        <v>2574</v>
      </c>
      <c r="B23" s="159">
        <v>45809</v>
      </c>
      <c r="C23" s="101" t="s">
        <v>104</v>
      </c>
      <c r="D23" s="101" t="s">
        <v>104</v>
      </c>
      <c r="E23" s="83">
        <v>20</v>
      </c>
      <c r="F23" s="83">
        <v>27</v>
      </c>
      <c r="G23" s="83">
        <f t="shared" si="0"/>
        <v>7</v>
      </c>
      <c r="H23" s="251">
        <f t="shared" si="1"/>
        <v>0.25925925925925924</v>
      </c>
    </row>
    <row r="24" spans="1:8">
      <c r="A24" s="100" t="s">
        <v>2575</v>
      </c>
      <c r="B24" s="159">
        <v>45809</v>
      </c>
      <c r="C24" s="101" t="s">
        <v>421</v>
      </c>
      <c r="D24" s="101" t="s">
        <v>420</v>
      </c>
      <c r="E24" s="83">
        <v>20</v>
      </c>
      <c r="F24" s="83">
        <v>27</v>
      </c>
      <c r="G24" s="83">
        <f t="shared" si="0"/>
        <v>7</v>
      </c>
      <c r="H24" s="251">
        <f t="shared" si="1"/>
        <v>0.25925925925925924</v>
      </c>
    </row>
    <row r="25" spans="1:8">
      <c r="A25" s="100" t="s">
        <v>2576</v>
      </c>
      <c r="B25" s="159">
        <v>45839</v>
      </c>
      <c r="C25" s="101" t="s">
        <v>152</v>
      </c>
      <c r="D25" s="101" t="s">
        <v>154</v>
      </c>
      <c r="E25" s="83">
        <v>23</v>
      </c>
      <c r="F25" s="83">
        <v>25</v>
      </c>
      <c r="G25" s="83">
        <f t="shared" si="0"/>
        <v>2</v>
      </c>
      <c r="H25" s="251">
        <f t="shared" si="1"/>
        <v>0.08</v>
      </c>
    </row>
    <row r="26" spans="1:8">
      <c r="A26" s="100" t="s">
        <v>2577</v>
      </c>
      <c r="B26" s="159">
        <v>45839</v>
      </c>
      <c r="C26" s="101" t="s">
        <v>379</v>
      </c>
      <c r="D26" s="101" t="s">
        <v>390</v>
      </c>
      <c r="E26" s="83">
        <v>20</v>
      </c>
      <c r="F26" s="83">
        <v>33</v>
      </c>
      <c r="G26" s="83">
        <f t="shared" si="0"/>
        <v>13</v>
      </c>
      <c r="H26" s="251">
        <f t="shared" si="1"/>
        <v>0.39393939393939392</v>
      </c>
    </row>
    <row r="27" spans="1:8">
      <c r="A27" s="100" t="s">
        <v>2578</v>
      </c>
      <c r="B27" s="159">
        <v>45839</v>
      </c>
      <c r="C27" s="101" t="s">
        <v>176</v>
      </c>
      <c r="D27" s="101" t="s">
        <v>154</v>
      </c>
      <c r="E27" s="83">
        <v>18</v>
      </c>
      <c r="F27" s="83">
        <v>38</v>
      </c>
      <c r="G27" s="83">
        <f t="shared" si="0"/>
        <v>20</v>
      </c>
      <c r="H27" s="251">
        <f t="shared" si="1"/>
        <v>0.52631578947368418</v>
      </c>
    </row>
    <row r="28" spans="1:8">
      <c r="A28" s="100" t="s">
        <v>2579</v>
      </c>
      <c r="B28" s="159">
        <v>45839</v>
      </c>
      <c r="C28" s="101" t="s">
        <v>371</v>
      </c>
      <c r="D28" s="101" t="s">
        <v>371</v>
      </c>
      <c r="E28" s="83">
        <v>18</v>
      </c>
      <c r="F28" s="83">
        <v>39</v>
      </c>
      <c r="G28" s="83">
        <f t="shared" si="0"/>
        <v>21</v>
      </c>
      <c r="H28" s="251">
        <f t="shared" si="1"/>
        <v>0.53846153846153844</v>
      </c>
    </row>
    <row r="29" spans="1:8">
      <c r="A29" s="100" t="s">
        <v>2580</v>
      </c>
      <c r="B29" s="159">
        <v>45839</v>
      </c>
      <c r="C29" s="101" t="s">
        <v>407</v>
      </c>
      <c r="D29" s="101" t="s">
        <v>417</v>
      </c>
      <c r="E29" s="83">
        <v>25</v>
      </c>
      <c r="F29" s="83">
        <v>23</v>
      </c>
      <c r="G29" s="83">
        <f t="shared" si="0"/>
        <v>0</v>
      </c>
      <c r="H29" s="251">
        <f t="shared" si="1"/>
        <v>0</v>
      </c>
    </row>
    <row r="30" spans="1:8">
      <c r="A30" s="100" t="s">
        <v>2581</v>
      </c>
      <c r="B30" s="159">
        <v>45839</v>
      </c>
      <c r="C30" s="101" t="s">
        <v>37</v>
      </c>
      <c r="D30" s="101" t="s">
        <v>37</v>
      </c>
      <c r="E30" s="83">
        <v>23</v>
      </c>
      <c r="F30" s="83">
        <v>27</v>
      </c>
      <c r="G30" s="83">
        <f t="shared" si="0"/>
        <v>4</v>
      </c>
      <c r="H30" s="251">
        <f t="shared" si="1"/>
        <v>0.14814814814814814</v>
      </c>
    </row>
    <row r="31" spans="1:8">
      <c r="A31" s="100" t="s">
        <v>2582</v>
      </c>
      <c r="B31" s="159">
        <v>45839</v>
      </c>
      <c r="C31" s="101" t="s">
        <v>271</v>
      </c>
      <c r="D31" s="101" t="s">
        <v>408</v>
      </c>
      <c r="E31" s="83">
        <v>16</v>
      </c>
      <c r="F31" s="83">
        <v>25</v>
      </c>
      <c r="G31" s="83">
        <f t="shared" si="0"/>
        <v>9</v>
      </c>
      <c r="H31" s="251">
        <f t="shared" si="1"/>
        <v>0.36</v>
      </c>
    </row>
    <row r="32" spans="1:8">
      <c r="A32" s="100" t="s">
        <v>2583</v>
      </c>
      <c r="B32" s="159">
        <v>45839</v>
      </c>
      <c r="C32" s="101" t="s">
        <v>416</v>
      </c>
      <c r="D32" s="101" t="s">
        <v>411</v>
      </c>
      <c r="E32" s="83">
        <v>18</v>
      </c>
      <c r="F32" s="83">
        <v>29</v>
      </c>
      <c r="G32" s="83">
        <f t="shared" si="0"/>
        <v>11</v>
      </c>
      <c r="H32" s="251">
        <f t="shared" si="1"/>
        <v>0.37931034482758619</v>
      </c>
    </row>
    <row r="33" spans="1:8">
      <c r="A33" s="100" t="s">
        <v>2584</v>
      </c>
      <c r="B33" s="159">
        <v>45839</v>
      </c>
      <c r="C33" s="101" t="s">
        <v>104</v>
      </c>
      <c r="D33" s="101" t="s">
        <v>104</v>
      </c>
      <c r="E33" s="83">
        <v>23</v>
      </c>
      <c r="F33" s="83">
        <v>27</v>
      </c>
      <c r="G33" s="83">
        <f t="shared" si="0"/>
        <v>4</v>
      </c>
      <c r="H33" s="251">
        <f t="shared" si="1"/>
        <v>0.14814814814814814</v>
      </c>
    </row>
    <row r="34" spans="1:8">
      <c r="A34" s="100" t="s">
        <v>2585</v>
      </c>
      <c r="B34" s="159">
        <v>45839</v>
      </c>
      <c r="C34" s="101" t="s">
        <v>421</v>
      </c>
      <c r="D34" s="101" t="s">
        <v>420</v>
      </c>
      <c r="E34" s="83">
        <v>21</v>
      </c>
      <c r="F34" s="83">
        <v>27</v>
      </c>
      <c r="G34" s="83">
        <f t="shared" si="0"/>
        <v>6</v>
      </c>
      <c r="H34" s="251">
        <f t="shared" si="1"/>
        <v>0.22222222222222221</v>
      </c>
    </row>
    <row r="35" spans="1:8">
      <c r="A35" s="100" t="s">
        <v>2586</v>
      </c>
      <c r="B35" s="159">
        <v>45870</v>
      </c>
      <c r="C35" s="101" t="s">
        <v>152</v>
      </c>
      <c r="D35" s="101" t="s">
        <v>154</v>
      </c>
      <c r="E35" s="83">
        <v>28</v>
      </c>
      <c r="F35" s="83">
        <v>25</v>
      </c>
      <c r="G35" s="83">
        <f t="shared" si="0"/>
        <v>0</v>
      </c>
      <c r="H35" s="251">
        <f t="shared" si="1"/>
        <v>0</v>
      </c>
    </row>
    <row r="36" spans="1:8">
      <c r="A36" s="100" t="s">
        <v>2587</v>
      </c>
      <c r="B36" s="159">
        <v>45870</v>
      </c>
      <c r="C36" s="101" t="s">
        <v>379</v>
      </c>
      <c r="D36" s="101" t="s">
        <v>390</v>
      </c>
      <c r="E36" s="83">
        <v>16</v>
      </c>
      <c r="F36" s="83">
        <v>33</v>
      </c>
      <c r="G36" s="83">
        <f t="shared" si="0"/>
        <v>17</v>
      </c>
      <c r="H36" s="251">
        <f t="shared" si="1"/>
        <v>0.51515151515151514</v>
      </c>
    </row>
    <row r="37" spans="1:8">
      <c r="A37" s="100" t="s">
        <v>2588</v>
      </c>
      <c r="B37" s="159">
        <v>45870</v>
      </c>
      <c r="C37" s="101" t="s">
        <v>176</v>
      </c>
      <c r="D37" s="101" t="s">
        <v>154</v>
      </c>
      <c r="E37" s="83">
        <v>15</v>
      </c>
      <c r="F37" s="83">
        <v>38</v>
      </c>
      <c r="G37" s="83">
        <f t="shared" ref="G37:G68" si="2">IF($A37="","",MAX(0,$F37-$E37))</f>
        <v>23</v>
      </c>
      <c r="H37" s="251">
        <f t="shared" ref="H37:H68" si="3">IFERROR($G37/$F37,0)</f>
        <v>0.60526315789473684</v>
      </c>
    </row>
    <row r="38" spans="1:8">
      <c r="A38" s="100" t="s">
        <v>2589</v>
      </c>
      <c r="B38" s="159">
        <v>45870</v>
      </c>
      <c r="C38" s="101" t="s">
        <v>371</v>
      </c>
      <c r="D38" s="101" t="s">
        <v>371</v>
      </c>
      <c r="E38" s="83">
        <v>12</v>
      </c>
      <c r="F38" s="83">
        <v>39</v>
      </c>
      <c r="G38" s="83">
        <f t="shared" si="2"/>
        <v>27</v>
      </c>
      <c r="H38" s="251">
        <f t="shared" si="3"/>
        <v>0.69230769230769229</v>
      </c>
    </row>
    <row r="39" spans="1:8">
      <c r="A39" s="100" t="s">
        <v>2590</v>
      </c>
      <c r="B39" s="159">
        <v>45870</v>
      </c>
      <c r="C39" s="101" t="s">
        <v>407</v>
      </c>
      <c r="D39" s="101" t="s">
        <v>417</v>
      </c>
      <c r="E39" s="83">
        <v>24</v>
      </c>
      <c r="F39" s="83">
        <v>23</v>
      </c>
      <c r="G39" s="83">
        <f t="shared" si="2"/>
        <v>0</v>
      </c>
      <c r="H39" s="251">
        <f t="shared" si="3"/>
        <v>0</v>
      </c>
    </row>
    <row r="40" spans="1:8">
      <c r="A40" s="100" t="s">
        <v>2591</v>
      </c>
      <c r="B40" s="159">
        <v>45870</v>
      </c>
      <c r="C40" s="101" t="s">
        <v>37</v>
      </c>
      <c r="D40" s="101" t="s">
        <v>37</v>
      </c>
      <c r="E40" s="83">
        <v>25</v>
      </c>
      <c r="F40" s="83">
        <v>27</v>
      </c>
      <c r="G40" s="83">
        <f t="shared" si="2"/>
        <v>2</v>
      </c>
      <c r="H40" s="251">
        <f t="shared" si="3"/>
        <v>7.407407407407407E-2</v>
      </c>
    </row>
    <row r="41" spans="1:8">
      <c r="A41" s="100" t="s">
        <v>2592</v>
      </c>
      <c r="B41" s="159">
        <v>45870</v>
      </c>
      <c r="C41" s="101" t="s">
        <v>271</v>
      </c>
      <c r="D41" s="101" t="s">
        <v>408</v>
      </c>
      <c r="E41" s="83">
        <v>16</v>
      </c>
      <c r="F41" s="83">
        <v>25</v>
      </c>
      <c r="G41" s="83">
        <f t="shared" si="2"/>
        <v>9</v>
      </c>
      <c r="H41" s="251">
        <f t="shared" si="3"/>
        <v>0.36</v>
      </c>
    </row>
    <row r="42" spans="1:8">
      <c r="A42" s="100" t="s">
        <v>2593</v>
      </c>
      <c r="B42" s="159">
        <v>45870</v>
      </c>
      <c r="C42" s="101" t="s">
        <v>416</v>
      </c>
      <c r="D42" s="101" t="s">
        <v>411</v>
      </c>
      <c r="E42" s="83">
        <v>21</v>
      </c>
      <c r="F42" s="83">
        <v>29</v>
      </c>
      <c r="G42" s="83">
        <f t="shared" si="2"/>
        <v>8</v>
      </c>
      <c r="H42" s="251">
        <f t="shared" si="3"/>
        <v>0.27586206896551724</v>
      </c>
    </row>
    <row r="43" spans="1:8">
      <c r="A43" s="100" t="s">
        <v>2594</v>
      </c>
      <c r="B43" s="159">
        <v>45870</v>
      </c>
      <c r="C43" s="101" t="s">
        <v>104</v>
      </c>
      <c r="D43" s="101" t="s">
        <v>104</v>
      </c>
      <c r="E43" s="83">
        <v>18</v>
      </c>
      <c r="F43" s="83">
        <v>27</v>
      </c>
      <c r="G43" s="83">
        <f t="shared" si="2"/>
        <v>9</v>
      </c>
      <c r="H43" s="251">
        <f t="shared" si="3"/>
        <v>0.33333333333333331</v>
      </c>
    </row>
    <row r="44" spans="1:8">
      <c r="A44" s="100" t="s">
        <v>2595</v>
      </c>
      <c r="B44" s="159">
        <v>45870</v>
      </c>
      <c r="C44" s="101" t="s">
        <v>421</v>
      </c>
      <c r="D44" s="101" t="s">
        <v>420</v>
      </c>
      <c r="E44" s="83">
        <v>24</v>
      </c>
      <c r="F44" s="83">
        <v>27</v>
      </c>
      <c r="G44" s="83">
        <f t="shared" si="2"/>
        <v>3</v>
      </c>
      <c r="H44" s="251">
        <f t="shared" si="3"/>
        <v>0.1111111111111111</v>
      </c>
    </row>
    <row r="45" spans="1:8">
      <c r="A45" s="100" t="s">
        <v>2596</v>
      </c>
      <c r="B45" s="159">
        <v>45901</v>
      </c>
      <c r="C45" s="101" t="s">
        <v>152</v>
      </c>
      <c r="D45" s="101" t="s">
        <v>154</v>
      </c>
      <c r="E45" s="83">
        <v>23</v>
      </c>
      <c r="F45" s="83">
        <v>25</v>
      </c>
      <c r="G45" s="83">
        <f t="shared" si="2"/>
        <v>2</v>
      </c>
      <c r="H45" s="251">
        <f t="shared" si="3"/>
        <v>0.08</v>
      </c>
    </row>
    <row r="46" spans="1:8">
      <c r="A46" s="100" t="s">
        <v>2597</v>
      </c>
      <c r="B46" s="159">
        <v>45901</v>
      </c>
      <c r="C46" s="101" t="s">
        <v>379</v>
      </c>
      <c r="D46" s="101" t="s">
        <v>390</v>
      </c>
      <c r="E46" s="83">
        <v>14</v>
      </c>
      <c r="F46" s="83">
        <v>33</v>
      </c>
      <c r="G46" s="83">
        <f t="shared" si="2"/>
        <v>19</v>
      </c>
      <c r="H46" s="251">
        <f t="shared" si="3"/>
        <v>0.5757575757575758</v>
      </c>
    </row>
    <row r="47" spans="1:8">
      <c r="A47" s="100" t="s">
        <v>2598</v>
      </c>
      <c r="B47" s="159">
        <v>45901</v>
      </c>
      <c r="C47" s="101" t="s">
        <v>176</v>
      </c>
      <c r="D47" s="101" t="s">
        <v>154</v>
      </c>
      <c r="E47" s="83">
        <v>15</v>
      </c>
      <c r="F47" s="83">
        <v>38</v>
      </c>
      <c r="G47" s="83">
        <f t="shared" si="2"/>
        <v>23</v>
      </c>
      <c r="H47" s="251">
        <f t="shared" si="3"/>
        <v>0.60526315789473684</v>
      </c>
    </row>
    <row r="48" spans="1:8">
      <c r="A48" s="100" t="s">
        <v>2599</v>
      </c>
      <c r="B48" s="159">
        <v>45901</v>
      </c>
      <c r="C48" s="101" t="s">
        <v>371</v>
      </c>
      <c r="D48" s="101" t="s">
        <v>371</v>
      </c>
      <c r="E48" s="83">
        <v>12</v>
      </c>
      <c r="F48" s="83">
        <v>39</v>
      </c>
      <c r="G48" s="83">
        <f t="shared" si="2"/>
        <v>27</v>
      </c>
      <c r="H48" s="251">
        <f t="shared" si="3"/>
        <v>0.69230769230769229</v>
      </c>
    </row>
    <row r="49" spans="1:8">
      <c r="A49" s="100" t="s">
        <v>2600</v>
      </c>
      <c r="B49" s="159">
        <v>45901</v>
      </c>
      <c r="C49" s="101" t="s">
        <v>407</v>
      </c>
      <c r="D49" s="101" t="s">
        <v>417</v>
      </c>
      <c r="E49" s="83">
        <v>22</v>
      </c>
      <c r="F49" s="83">
        <v>23</v>
      </c>
      <c r="G49" s="83">
        <f t="shared" si="2"/>
        <v>1</v>
      </c>
      <c r="H49" s="251">
        <f t="shared" si="3"/>
        <v>4.3478260869565216E-2</v>
      </c>
    </row>
    <row r="50" spans="1:8">
      <c r="A50" s="100" t="s">
        <v>2601</v>
      </c>
      <c r="B50" s="159">
        <v>45901</v>
      </c>
      <c r="C50" s="101" t="s">
        <v>37</v>
      </c>
      <c r="D50" s="101" t="s">
        <v>37</v>
      </c>
      <c r="E50" s="83">
        <v>25</v>
      </c>
      <c r="F50" s="83">
        <v>27</v>
      </c>
      <c r="G50" s="83">
        <f t="shared" si="2"/>
        <v>2</v>
      </c>
      <c r="H50" s="251">
        <f t="shared" si="3"/>
        <v>7.407407407407407E-2</v>
      </c>
    </row>
    <row r="51" spans="1:8">
      <c r="A51" s="100" t="s">
        <v>2602</v>
      </c>
      <c r="B51" s="159">
        <v>45901</v>
      </c>
      <c r="C51" s="101" t="s">
        <v>271</v>
      </c>
      <c r="D51" s="101" t="s">
        <v>408</v>
      </c>
      <c r="E51" s="83">
        <v>20</v>
      </c>
      <c r="F51" s="83">
        <v>25</v>
      </c>
      <c r="G51" s="83">
        <f t="shared" si="2"/>
        <v>5</v>
      </c>
      <c r="H51" s="251">
        <f t="shared" si="3"/>
        <v>0.2</v>
      </c>
    </row>
    <row r="52" spans="1:8">
      <c r="A52" s="100" t="s">
        <v>2603</v>
      </c>
      <c r="B52" s="159">
        <v>45901</v>
      </c>
      <c r="C52" s="101" t="s">
        <v>416</v>
      </c>
      <c r="D52" s="101" t="s">
        <v>411</v>
      </c>
      <c r="E52" s="83">
        <v>18</v>
      </c>
      <c r="F52" s="83">
        <v>29</v>
      </c>
      <c r="G52" s="83">
        <f t="shared" si="2"/>
        <v>11</v>
      </c>
      <c r="H52" s="251">
        <f t="shared" si="3"/>
        <v>0.37931034482758619</v>
      </c>
    </row>
    <row r="53" spans="1:8">
      <c r="A53" s="100" t="s">
        <v>2604</v>
      </c>
      <c r="B53" s="159">
        <v>45901</v>
      </c>
      <c r="C53" s="101" t="s">
        <v>104</v>
      </c>
      <c r="D53" s="101" t="s">
        <v>104</v>
      </c>
      <c r="E53" s="83">
        <v>24</v>
      </c>
      <c r="F53" s="83">
        <v>27</v>
      </c>
      <c r="G53" s="83">
        <f t="shared" si="2"/>
        <v>3</v>
      </c>
      <c r="H53" s="251">
        <f t="shared" si="3"/>
        <v>0.1111111111111111</v>
      </c>
    </row>
    <row r="54" spans="1:8">
      <c r="A54" s="100" t="s">
        <v>2605</v>
      </c>
      <c r="B54" s="159">
        <v>45901</v>
      </c>
      <c r="C54" s="101" t="s">
        <v>421</v>
      </c>
      <c r="D54" s="101" t="s">
        <v>420</v>
      </c>
      <c r="E54" s="83">
        <v>22</v>
      </c>
      <c r="F54" s="83">
        <v>27</v>
      </c>
      <c r="G54" s="83">
        <f t="shared" si="2"/>
        <v>5</v>
      </c>
      <c r="H54" s="251">
        <f t="shared" si="3"/>
        <v>0.18518518518518517</v>
      </c>
    </row>
    <row r="55" spans="1:8">
      <c r="A55" s="100" t="s">
        <v>2606</v>
      </c>
      <c r="B55" s="159">
        <v>45931</v>
      </c>
      <c r="C55" s="101" t="s">
        <v>152</v>
      </c>
      <c r="D55" s="101" t="s">
        <v>154</v>
      </c>
      <c r="E55" s="83">
        <v>22</v>
      </c>
      <c r="F55" s="83">
        <v>25</v>
      </c>
      <c r="G55" s="83">
        <f t="shared" si="2"/>
        <v>3</v>
      </c>
      <c r="H55" s="251">
        <f t="shared" si="3"/>
        <v>0.12</v>
      </c>
    </row>
    <row r="56" spans="1:8">
      <c r="A56" s="100" t="s">
        <v>2607</v>
      </c>
      <c r="B56" s="159">
        <v>45931</v>
      </c>
      <c r="C56" s="101" t="s">
        <v>379</v>
      </c>
      <c r="D56" s="101" t="s">
        <v>390</v>
      </c>
      <c r="E56" s="83">
        <v>17</v>
      </c>
      <c r="F56" s="83">
        <v>33</v>
      </c>
      <c r="G56" s="83">
        <f t="shared" si="2"/>
        <v>16</v>
      </c>
      <c r="H56" s="251">
        <f t="shared" si="3"/>
        <v>0.48484848484848486</v>
      </c>
    </row>
    <row r="57" spans="1:8">
      <c r="A57" s="100" t="s">
        <v>2608</v>
      </c>
      <c r="B57" s="159">
        <v>45931</v>
      </c>
      <c r="C57" s="101" t="s">
        <v>176</v>
      </c>
      <c r="D57" s="101" t="s">
        <v>154</v>
      </c>
      <c r="E57" s="83">
        <v>20</v>
      </c>
      <c r="F57" s="83">
        <v>38</v>
      </c>
      <c r="G57" s="83">
        <f t="shared" si="2"/>
        <v>18</v>
      </c>
      <c r="H57" s="251">
        <f t="shared" si="3"/>
        <v>0.47368421052631576</v>
      </c>
    </row>
    <row r="58" spans="1:8">
      <c r="A58" s="100" t="s">
        <v>2609</v>
      </c>
      <c r="B58" s="159">
        <v>45931</v>
      </c>
      <c r="C58" s="101" t="s">
        <v>371</v>
      </c>
      <c r="D58" s="101" t="s">
        <v>371</v>
      </c>
      <c r="E58" s="83">
        <v>14</v>
      </c>
      <c r="F58" s="83">
        <v>39</v>
      </c>
      <c r="G58" s="83">
        <f t="shared" si="2"/>
        <v>25</v>
      </c>
      <c r="H58" s="251">
        <f t="shared" si="3"/>
        <v>0.64102564102564108</v>
      </c>
    </row>
    <row r="59" spans="1:8">
      <c r="A59" s="100" t="s">
        <v>2610</v>
      </c>
      <c r="B59" s="159">
        <v>45931</v>
      </c>
      <c r="C59" s="101" t="s">
        <v>407</v>
      </c>
      <c r="D59" s="101" t="s">
        <v>417</v>
      </c>
      <c r="E59" s="83">
        <v>23</v>
      </c>
      <c r="F59" s="83">
        <v>23</v>
      </c>
      <c r="G59" s="83">
        <f t="shared" si="2"/>
        <v>0</v>
      </c>
      <c r="H59" s="251">
        <f t="shared" si="3"/>
        <v>0</v>
      </c>
    </row>
    <row r="60" spans="1:8">
      <c r="A60" s="100" t="s">
        <v>2611</v>
      </c>
      <c r="B60" s="159">
        <v>45931</v>
      </c>
      <c r="C60" s="101" t="s">
        <v>37</v>
      </c>
      <c r="D60" s="101" t="s">
        <v>37</v>
      </c>
      <c r="E60" s="83">
        <v>23</v>
      </c>
      <c r="F60" s="83">
        <v>27</v>
      </c>
      <c r="G60" s="83">
        <f t="shared" si="2"/>
        <v>4</v>
      </c>
      <c r="H60" s="251">
        <f t="shared" si="3"/>
        <v>0.14814814814814814</v>
      </c>
    </row>
    <row r="61" spans="1:8">
      <c r="A61" s="100" t="s">
        <v>2612</v>
      </c>
      <c r="B61" s="159">
        <v>45931</v>
      </c>
      <c r="C61" s="101" t="s">
        <v>271</v>
      </c>
      <c r="D61" s="101" t="s">
        <v>408</v>
      </c>
      <c r="E61" s="83">
        <v>16</v>
      </c>
      <c r="F61" s="83">
        <v>25</v>
      </c>
      <c r="G61" s="83">
        <f t="shared" si="2"/>
        <v>9</v>
      </c>
      <c r="H61" s="251">
        <f t="shared" si="3"/>
        <v>0.36</v>
      </c>
    </row>
    <row r="62" spans="1:8">
      <c r="A62" s="100" t="s">
        <v>2613</v>
      </c>
      <c r="B62" s="159">
        <v>45931</v>
      </c>
      <c r="C62" s="101" t="s">
        <v>416</v>
      </c>
      <c r="D62" s="101" t="s">
        <v>411</v>
      </c>
      <c r="E62" s="83">
        <v>20</v>
      </c>
      <c r="F62" s="83">
        <v>29</v>
      </c>
      <c r="G62" s="83">
        <f t="shared" si="2"/>
        <v>9</v>
      </c>
      <c r="H62" s="251">
        <f t="shared" si="3"/>
        <v>0.31034482758620691</v>
      </c>
    </row>
    <row r="63" spans="1:8">
      <c r="A63" s="100" t="s">
        <v>2614</v>
      </c>
      <c r="B63" s="159">
        <v>45931</v>
      </c>
      <c r="C63" s="101" t="s">
        <v>104</v>
      </c>
      <c r="D63" s="101" t="s">
        <v>104</v>
      </c>
      <c r="E63" s="83">
        <v>19</v>
      </c>
      <c r="F63" s="83">
        <v>27</v>
      </c>
      <c r="G63" s="83">
        <f t="shared" si="2"/>
        <v>8</v>
      </c>
      <c r="H63" s="251">
        <f t="shared" si="3"/>
        <v>0.29629629629629628</v>
      </c>
    </row>
    <row r="64" spans="1:8">
      <c r="A64" s="100" t="s">
        <v>2615</v>
      </c>
      <c r="B64" s="159">
        <v>45931</v>
      </c>
      <c r="C64" s="101" t="s">
        <v>421</v>
      </c>
      <c r="D64" s="101" t="s">
        <v>420</v>
      </c>
      <c r="E64" s="83">
        <v>21</v>
      </c>
      <c r="F64" s="83">
        <v>27</v>
      </c>
      <c r="G64" s="83">
        <f t="shared" si="2"/>
        <v>6</v>
      </c>
      <c r="H64" s="251">
        <f t="shared" si="3"/>
        <v>0.22222222222222221</v>
      </c>
    </row>
    <row r="65" spans="1:8">
      <c r="A65" s="100" t="s">
        <v>2616</v>
      </c>
      <c r="B65" s="159">
        <v>45962</v>
      </c>
      <c r="C65" s="101" t="s">
        <v>152</v>
      </c>
      <c r="D65" s="101" t="s">
        <v>154</v>
      </c>
      <c r="E65" s="83">
        <v>26</v>
      </c>
      <c r="F65" s="83">
        <v>25</v>
      </c>
      <c r="G65" s="83">
        <f t="shared" si="2"/>
        <v>0</v>
      </c>
      <c r="H65" s="251">
        <f t="shared" si="3"/>
        <v>0</v>
      </c>
    </row>
    <row r="66" spans="1:8">
      <c r="A66" s="100" t="s">
        <v>2617</v>
      </c>
      <c r="B66" s="159">
        <v>45962</v>
      </c>
      <c r="C66" s="101" t="s">
        <v>379</v>
      </c>
      <c r="D66" s="101" t="s">
        <v>390</v>
      </c>
      <c r="E66" s="83">
        <v>18</v>
      </c>
      <c r="F66" s="83">
        <v>33</v>
      </c>
      <c r="G66" s="83">
        <f t="shared" si="2"/>
        <v>15</v>
      </c>
      <c r="H66" s="251">
        <f t="shared" si="3"/>
        <v>0.45454545454545453</v>
      </c>
    </row>
    <row r="67" spans="1:8">
      <c r="A67" s="100" t="s">
        <v>2618</v>
      </c>
      <c r="B67" s="159">
        <v>45962</v>
      </c>
      <c r="C67" s="101" t="s">
        <v>176</v>
      </c>
      <c r="D67" s="101" t="s">
        <v>154</v>
      </c>
      <c r="E67" s="83">
        <v>17</v>
      </c>
      <c r="F67" s="83">
        <v>38</v>
      </c>
      <c r="G67" s="83">
        <f t="shared" si="2"/>
        <v>21</v>
      </c>
      <c r="H67" s="251">
        <f t="shared" si="3"/>
        <v>0.55263157894736847</v>
      </c>
    </row>
    <row r="68" spans="1:8">
      <c r="A68" s="100" t="s">
        <v>2619</v>
      </c>
      <c r="B68" s="159">
        <v>45962</v>
      </c>
      <c r="C68" s="101" t="s">
        <v>371</v>
      </c>
      <c r="D68" s="101" t="s">
        <v>371</v>
      </c>
      <c r="E68" s="83">
        <v>18</v>
      </c>
      <c r="F68" s="83">
        <v>39</v>
      </c>
      <c r="G68" s="83">
        <f t="shared" si="2"/>
        <v>21</v>
      </c>
      <c r="H68" s="251">
        <f t="shared" si="3"/>
        <v>0.53846153846153844</v>
      </c>
    </row>
    <row r="69" spans="1:8">
      <c r="A69" s="100" t="s">
        <v>2620</v>
      </c>
      <c r="B69" s="159">
        <v>45962</v>
      </c>
      <c r="C69" s="101" t="s">
        <v>407</v>
      </c>
      <c r="D69" s="101" t="s">
        <v>417</v>
      </c>
      <c r="E69" s="83">
        <v>22</v>
      </c>
      <c r="F69" s="83">
        <v>23</v>
      </c>
      <c r="G69" s="83">
        <f t="shared" ref="G69:G100" si="4">IF($A69="","",MAX(0,$F69-$E69))</f>
        <v>1</v>
      </c>
      <c r="H69" s="251">
        <f t="shared" ref="H69:H100" si="5">IFERROR($G69/$F69,0)</f>
        <v>4.3478260869565216E-2</v>
      </c>
    </row>
    <row r="70" spans="1:8">
      <c r="A70" s="100" t="s">
        <v>2621</v>
      </c>
      <c r="B70" s="159">
        <v>45962</v>
      </c>
      <c r="C70" s="101" t="s">
        <v>37</v>
      </c>
      <c r="D70" s="101" t="s">
        <v>37</v>
      </c>
      <c r="E70" s="83">
        <v>25</v>
      </c>
      <c r="F70" s="83">
        <v>27</v>
      </c>
      <c r="G70" s="83">
        <f t="shared" si="4"/>
        <v>2</v>
      </c>
      <c r="H70" s="251">
        <f t="shared" si="5"/>
        <v>7.407407407407407E-2</v>
      </c>
    </row>
    <row r="71" spans="1:8">
      <c r="A71" s="100" t="s">
        <v>2622</v>
      </c>
      <c r="B71" s="159">
        <v>45962</v>
      </c>
      <c r="C71" s="101" t="s">
        <v>271</v>
      </c>
      <c r="D71" s="101" t="s">
        <v>408</v>
      </c>
      <c r="E71" s="83">
        <v>16</v>
      </c>
      <c r="F71" s="83">
        <v>25</v>
      </c>
      <c r="G71" s="83">
        <f t="shared" si="4"/>
        <v>9</v>
      </c>
      <c r="H71" s="251">
        <f t="shared" si="5"/>
        <v>0.36</v>
      </c>
    </row>
    <row r="72" spans="1:8">
      <c r="A72" s="100" t="s">
        <v>2623</v>
      </c>
      <c r="B72" s="159">
        <v>45962</v>
      </c>
      <c r="C72" s="101" t="s">
        <v>416</v>
      </c>
      <c r="D72" s="101" t="s">
        <v>411</v>
      </c>
      <c r="E72" s="83">
        <v>21</v>
      </c>
      <c r="F72" s="83">
        <v>29</v>
      </c>
      <c r="G72" s="83">
        <f t="shared" si="4"/>
        <v>8</v>
      </c>
      <c r="H72" s="251">
        <f t="shared" si="5"/>
        <v>0.27586206896551724</v>
      </c>
    </row>
    <row r="73" spans="1:8">
      <c r="A73" s="100" t="s">
        <v>2624</v>
      </c>
      <c r="B73" s="159">
        <v>45962</v>
      </c>
      <c r="C73" s="101" t="s">
        <v>104</v>
      </c>
      <c r="D73" s="101" t="s">
        <v>104</v>
      </c>
      <c r="E73" s="83">
        <v>22</v>
      </c>
      <c r="F73" s="83">
        <v>27</v>
      </c>
      <c r="G73" s="83">
        <f t="shared" si="4"/>
        <v>5</v>
      </c>
      <c r="H73" s="251">
        <f t="shared" si="5"/>
        <v>0.18518518518518517</v>
      </c>
    </row>
    <row r="74" spans="1:8">
      <c r="A74" s="100" t="s">
        <v>2625</v>
      </c>
      <c r="B74" s="159">
        <v>45962</v>
      </c>
      <c r="C74" s="101" t="s">
        <v>421</v>
      </c>
      <c r="D74" s="101" t="s">
        <v>420</v>
      </c>
      <c r="E74" s="83">
        <v>20</v>
      </c>
      <c r="F74" s="83">
        <v>27</v>
      </c>
      <c r="G74" s="83">
        <f t="shared" si="4"/>
        <v>7</v>
      </c>
      <c r="H74" s="251">
        <f t="shared" si="5"/>
        <v>0.25925925925925924</v>
      </c>
    </row>
    <row r="75" spans="1:8">
      <c r="A75" s="100" t="s">
        <v>2626</v>
      </c>
      <c r="B75" s="159">
        <v>45992</v>
      </c>
      <c r="C75" s="101" t="s">
        <v>152</v>
      </c>
      <c r="D75" s="101" t="s">
        <v>154</v>
      </c>
      <c r="E75" s="83">
        <v>28</v>
      </c>
      <c r="F75" s="83">
        <v>25</v>
      </c>
      <c r="G75" s="83">
        <f t="shared" si="4"/>
        <v>0</v>
      </c>
      <c r="H75" s="251">
        <f t="shared" si="5"/>
        <v>0</v>
      </c>
    </row>
    <row r="76" spans="1:8">
      <c r="A76" s="100" t="s">
        <v>2627</v>
      </c>
      <c r="B76" s="159">
        <v>45992</v>
      </c>
      <c r="C76" s="101" t="s">
        <v>379</v>
      </c>
      <c r="D76" s="101" t="s">
        <v>390</v>
      </c>
      <c r="E76" s="83">
        <v>14</v>
      </c>
      <c r="F76" s="83">
        <v>33</v>
      </c>
      <c r="G76" s="83">
        <f t="shared" si="4"/>
        <v>19</v>
      </c>
      <c r="H76" s="251">
        <f t="shared" si="5"/>
        <v>0.5757575757575758</v>
      </c>
    </row>
    <row r="77" spans="1:8">
      <c r="A77" s="100" t="s">
        <v>2628</v>
      </c>
      <c r="B77" s="159">
        <v>45992</v>
      </c>
      <c r="C77" s="101" t="s">
        <v>176</v>
      </c>
      <c r="D77" s="101" t="s">
        <v>154</v>
      </c>
      <c r="E77" s="83">
        <v>19</v>
      </c>
      <c r="F77" s="83">
        <v>38</v>
      </c>
      <c r="G77" s="83">
        <f t="shared" si="4"/>
        <v>19</v>
      </c>
      <c r="H77" s="251">
        <f t="shared" si="5"/>
        <v>0.5</v>
      </c>
    </row>
    <row r="78" spans="1:8">
      <c r="A78" s="100" t="s">
        <v>2629</v>
      </c>
      <c r="B78" s="159">
        <v>45992</v>
      </c>
      <c r="C78" s="101" t="s">
        <v>371</v>
      </c>
      <c r="D78" s="101" t="s">
        <v>371</v>
      </c>
      <c r="E78" s="83">
        <v>17</v>
      </c>
      <c r="F78" s="83">
        <v>39</v>
      </c>
      <c r="G78" s="83">
        <f t="shared" si="4"/>
        <v>22</v>
      </c>
      <c r="H78" s="251">
        <f t="shared" si="5"/>
        <v>0.5641025641025641</v>
      </c>
    </row>
    <row r="79" spans="1:8">
      <c r="A79" s="100" t="s">
        <v>2630</v>
      </c>
      <c r="B79" s="159">
        <v>45992</v>
      </c>
      <c r="C79" s="101" t="s">
        <v>407</v>
      </c>
      <c r="D79" s="101" t="s">
        <v>417</v>
      </c>
      <c r="E79" s="83">
        <v>23</v>
      </c>
      <c r="F79" s="83">
        <v>23</v>
      </c>
      <c r="G79" s="83">
        <f t="shared" si="4"/>
        <v>0</v>
      </c>
      <c r="H79" s="251">
        <f t="shared" si="5"/>
        <v>0</v>
      </c>
    </row>
    <row r="80" spans="1:8">
      <c r="A80" s="100" t="s">
        <v>2631</v>
      </c>
      <c r="B80" s="159">
        <v>45992</v>
      </c>
      <c r="C80" s="101" t="s">
        <v>37</v>
      </c>
      <c r="D80" s="101" t="s">
        <v>37</v>
      </c>
      <c r="E80" s="83">
        <v>26</v>
      </c>
      <c r="F80" s="83">
        <v>27</v>
      </c>
      <c r="G80" s="83">
        <f t="shared" si="4"/>
        <v>1</v>
      </c>
      <c r="H80" s="251">
        <f t="shared" si="5"/>
        <v>3.7037037037037035E-2</v>
      </c>
    </row>
    <row r="81" spans="1:8">
      <c r="A81" s="100" t="s">
        <v>2632</v>
      </c>
      <c r="B81" s="159">
        <v>45992</v>
      </c>
      <c r="C81" s="101" t="s">
        <v>271</v>
      </c>
      <c r="D81" s="101" t="s">
        <v>408</v>
      </c>
      <c r="E81" s="83">
        <v>17</v>
      </c>
      <c r="F81" s="83">
        <v>25</v>
      </c>
      <c r="G81" s="83">
        <f t="shared" si="4"/>
        <v>8</v>
      </c>
      <c r="H81" s="251">
        <f t="shared" si="5"/>
        <v>0.32</v>
      </c>
    </row>
    <row r="82" spans="1:8">
      <c r="A82" s="100" t="s">
        <v>2633</v>
      </c>
      <c r="B82" s="159">
        <v>45992</v>
      </c>
      <c r="C82" s="101" t="s">
        <v>416</v>
      </c>
      <c r="D82" s="101" t="s">
        <v>411</v>
      </c>
      <c r="E82" s="83">
        <v>19</v>
      </c>
      <c r="F82" s="83">
        <v>29</v>
      </c>
      <c r="G82" s="83">
        <f t="shared" si="4"/>
        <v>10</v>
      </c>
      <c r="H82" s="251">
        <f t="shared" si="5"/>
        <v>0.34482758620689657</v>
      </c>
    </row>
    <row r="83" spans="1:8">
      <c r="A83" s="100" t="s">
        <v>2634</v>
      </c>
      <c r="B83" s="159">
        <v>45992</v>
      </c>
      <c r="C83" s="101" t="s">
        <v>104</v>
      </c>
      <c r="D83" s="101" t="s">
        <v>104</v>
      </c>
      <c r="E83" s="83">
        <v>24</v>
      </c>
      <c r="F83" s="83">
        <v>27</v>
      </c>
      <c r="G83" s="83">
        <f t="shared" si="4"/>
        <v>3</v>
      </c>
      <c r="H83" s="251">
        <f t="shared" si="5"/>
        <v>0.1111111111111111</v>
      </c>
    </row>
    <row r="84" spans="1:8">
      <c r="A84" s="100" t="s">
        <v>2635</v>
      </c>
      <c r="B84" s="159">
        <v>45992</v>
      </c>
      <c r="C84" s="101" t="s">
        <v>421</v>
      </c>
      <c r="D84" s="101" t="s">
        <v>420</v>
      </c>
      <c r="E84" s="83">
        <v>21</v>
      </c>
      <c r="F84" s="83">
        <v>27</v>
      </c>
      <c r="G84" s="83">
        <f t="shared" si="4"/>
        <v>6</v>
      </c>
      <c r="H84" s="251">
        <f t="shared" si="5"/>
        <v>0.22222222222222221</v>
      </c>
    </row>
    <row r="85" spans="1:8">
      <c r="A85" s="100" t="s">
        <v>2636</v>
      </c>
      <c r="B85" s="159">
        <v>46023</v>
      </c>
      <c r="C85" s="101" t="s">
        <v>152</v>
      </c>
      <c r="D85" s="101" t="s">
        <v>154</v>
      </c>
      <c r="E85" s="83">
        <v>27</v>
      </c>
      <c r="F85" s="83">
        <v>25</v>
      </c>
      <c r="G85" s="83">
        <f t="shared" si="4"/>
        <v>0</v>
      </c>
      <c r="H85" s="251">
        <f t="shared" si="5"/>
        <v>0</v>
      </c>
    </row>
    <row r="86" spans="1:8">
      <c r="A86" s="100" t="s">
        <v>2637</v>
      </c>
      <c r="B86" s="159">
        <v>46023</v>
      </c>
      <c r="C86" s="101" t="s">
        <v>379</v>
      </c>
      <c r="D86" s="101" t="s">
        <v>390</v>
      </c>
      <c r="E86" s="83">
        <v>16</v>
      </c>
      <c r="F86" s="83">
        <v>33</v>
      </c>
      <c r="G86" s="83">
        <f t="shared" si="4"/>
        <v>17</v>
      </c>
      <c r="H86" s="251">
        <f t="shared" si="5"/>
        <v>0.51515151515151514</v>
      </c>
    </row>
    <row r="87" spans="1:8">
      <c r="A87" s="100" t="s">
        <v>2638</v>
      </c>
      <c r="B87" s="159">
        <v>46023</v>
      </c>
      <c r="C87" s="101" t="s">
        <v>176</v>
      </c>
      <c r="D87" s="101" t="s">
        <v>154</v>
      </c>
      <c r="E87" s="83">
        <v>20</v>
      </c>
      <c r="F87" s="83">
        <v>38</v>
      </c>
      <c r="G87" s="83">
        <f t="shared" si="4"/>
        <v>18</v>
      </c>
      <c r="H87" s="251">
        <f t="shared" si="5"/>
        <v>0.47368421052631576</v>
      </c>
    </row>
    <row r="88" spans="1:8">
      <c r="A88" s="100" t="s">
        <v>2639</v>
      </c>
      <c r="B88" s="159">
        <v>46023</v>
      </c>
      <c r="C88" s="101" t="s">
        <v>371</v>
      </c>
      <c r="D88" s="101" t="s">
        <v>371</v>
      </c>
      <c r="E88" s="83">
        <v>16</v>
      </c>
      <c r="F88" s="83">
        <v>39</v>
      </c>
      <c r="G88" s="83">
        <f t="shared" si="4"/>
        <v>23</v>
      </c>
      <c r="H88" s="251">
        <f t="shared" si="5"/>
        <v>0.58974358974358976</v>
      </c>
    </row>
    <row r="89" spans="1:8">
      <c r="A89" s="100" t="s">
        <v>2640</v>
      </c>
      <c r="B89" s="159">
        <v>46023</v>
      </c>
      <c r="C89" s="101" t="s">
        <v>407</v>
      </c>
      <c r="D89" s="101" t="s">
        <v>417</v>
      </c>
      <c r="E89" s="83">
        <v>19</v>
      </c>
      <c r="F89" s="83">
        <v>23</v>
      </c>
      <c r="G89" s="83">
        <f t="shared" si="4"/>
        <v>4</v>
      </c>
      <c r="H89" s="251">
        <f t="shared" si="5"/>
        <v>0.17391304347826086</v>
      </c>
    </row>
    <row r="90" spans="1:8">
      <c r="A90" s="100" t="s">
        <v>2641</v>
      </c>
      <c r="B90" s="159">
        <v>46023</v>
      </c>
      <c r="C90" s="101" t="s">
        <v>37</v>
      </c>
      <c r="D90" s="101" t="s">
        <v>37</v>
      </c>
      <c r="E90" s="83">
        <v>22</v>
      </c>
      <c r="F90" s="83">
        <v>27</v>
      </c>
      <c r="G90" s="83">
        <f t="shared" si="4"/>
        <v>5</v>
      </c>
      <c r="H90" s="251">
        <f t="shared" si="5"/>
        <v>0.18518518518518517</v>
      </c>
    </row>
    <row r="91" spans="1:8">
      <c r="A91" s="100" t="s">
        <v>2642</v>
      </c>
      <c r="B91" s="159">
        <v>46023</v>
      </c>
      <c r="C91" s="101" t="s">
        <v>271</v>
      </c>
      <c r="D91" s="101" t="s">
        <v>408</v>
      </c>
      <c r="E91" s="83">
        <v>19</v>
      </c>
      <c r="F91" s="83">
        <v>25</v>
      </c>
      <c r="G91" s="83">
        <f t="shared" si="4"/>
        <v>6</v>
      </c>
      <c r="H91" s="251">
        <f t="shared" si="5"/>
        <v>0.24</v>
      </c>
    </row>
    <row r="92" spans="1:8">
      <c r="A92" s="100" t="s">
        <v>2643</v>
      </c>
      <c r="B92" s="159">
        <v>46023</v>
      </c>
      <c r="C92" s="101" t="s">
        <v>416</v>
      </c>
      <c r="D92" s="101" t="s">
        <v>411</v>
      </c>
      <c r="E92" s="83">
        <v>18</v>
      </c>
      <c r="F92" s="83">
        <v>29</v>
      </c>
      <c r="G92" s="83">
        <f t="shared" si="4"/>
        <v>11</v>
      </c>
      <c r="H92" s="251">
        <f t="shared" si="5"/>
        <v>0.37931034482758619</v>
      </c>
    </row>
    <row r="93" spans="1:8">
      <c r="A93" s="100" t="s">
        <v>2644</v>
      </c>
      <c r="B93" s="159">
        <v>46023</v>
      </c>
      <c r="C93" s="101" t="s">
        <v>104</v>
      </c>
      <c r="D93" s="101" t="s">
        <v>104</v>
      </c>
      <c r="E93" s="83">
        <v>21</v>
      </c>
      <c r="F93" s="83">
        <v>27</v>
      </c>
      <c r="G93" s="83">
        <f t="shared" si="4"/>
        <v>6</v>
      </c>
      <c r="H93" s="251">
        <f t="shared" si="5"/>
        <v>0.22222222222222221</v>
      </c>
    </row>
    <row r="94" spans="1:8">
      <c r="A94" s="100" t="s">
        <v>2645</v>
      </c>
      <c r="B94" s="159">
        <v>46023</v>
      </c>
      <c r="C94" s="101" t="s">
        <v>421</v>
      </c>
      <c r="D94" s="101" t="s">
        <v>420</v>
      </c>
      <c r="E94" s="83">
        <v>21</v>
      </c>
      <c r="F94" s="83">
        <v>27</v>
      </c>
      <c r="G94" s="83">
        <f t="shared" si="4"/>
        <v>6</v>
      </c>
      <c r="H94" s="251">
        <f t="shared" si="5"/>
        <v>0.22222222222222221</v>
      </c>
    </row>
    <row r="95" spans="1:8">
      <c r="A95" s="100" t="s">
        <v>2646</v>
      </c>
      <c r="B95" s="159">
        <v>46054</v>
      </c>
      <c r="C95" s="101" t="s">
        <v>152</v>
      </c>
      <c r="D95" s="101" t="s">
        <v>154</v>
      </c>
      <c r="E95" s="83">
        <v>26</v>
      </c>
      <c r="F95" s="83">
        <v>25</v>
      </c>
      <c r="G95" s="83">
        <f t="shared" si="4"/>
        <v>0</v>
      </c>
      <c r="H95" s="251">
        <f t="shared" si="5"/>
        <v>0</v>
      </c>
    </row>
    <row r="96" spans="1:8">
      <c r="A96" s="100" t="s">
        <v>2647</v>
      </c>
      <c r="B96" s="159">
        <v>46054</v>
      </c>
      <c r="C96" s="101" t="s">
        <v>379</v>
      </c>
      <c r="D96" s="101" t="s">
        <v>390</v>
      </c>
      <c r="E96" s="83">
        <v>15</v>
      </c>
      <c r="F96" s="83">
        <v>33</v>
      </c>
      <c r="G96" s="83">
        <f t="shared" si="4"/>
        <v>18</v>
      </c>
      <c r="H96" s="251">
        <f t="shared" si="5"/>
        <v>0.54545454545454541</v>
      </c>
    </row>
    <row r="97" spans="1:8">
      <c r="A97" s="100" t="s">
        <v>2648</v>
      </c>
      <c r="B97" s="159">
        <v>46054</v>
      </c>
      <c r="C97" s="101" t="s">
        <v>176</v>
      </c>
      <c r="D97" s="101" t="s">
        <v>154</v>
      </c>
      <c r="E97" s="83">
        <v>21</v>
      </c>
      <c r="F97" s="83">
        <v>38</v>
      </c>
      <c r="G97" s="83">
        <f t="shared" si="4"/>
        <v>17</v>
      </c>
      <c r="H97" s="251">
        <f t="shared" si="5"/>
        <v>0.44736842105263158</v>
      </c>
    </row>
    <row r="98" spans="1:8">
      <c r="A98" s="100" t="s">
        <v>2649</v>
      </c>
      <c r="B98" s="159">
        <v>46054</v>
      </c>
      <c r="C98" s="101" t="s">
        <v>371</v>
      </c>
      <c r="D98" s="101" t="s">
        <v>371</v>
      </c>
      <c r="E98" s="83">
        <v>15</v>
      </c>
      <c r="F98" s="83">
        <v>39</v>
      </c>
      <c r="G98" s="83">
        <f t="shared" si="4"/>
        <v>24</v>
      </c>
      <c r="H98" s="251">
        <f t="shared" si="5"/>
        <v>0.61538461538461542</v>
      </c>
    </row>
    <row r="99" spans="1:8">
      <c r="A99" s="100" t="s">
        <v>2650</v>
      </c>
      <c r="B99" s="159">
        <v>46054</v>
      </c>
      <c r="C99" s="101" t="s">
        <v>407</v>
      </c>
      <c r="D99" s="101" t="s">
        <v>417</v>
      </c>
      <c r="E99" s="83">
        <v>24</v>
      </c>
      <c r="F99" s="83">
        <v>23</v>
      </c>
      <c r="G99" s="83">
        <f t="shared" si="4"/>
        <v>0</v>
      </c>
      <c r="H99" s="251">
        <f t="shared" si="5"/>
        <v>0</v>
      </c>
    </row>
    <row r="100" spans="1:8">
      <c r="A100" s="100" t="s">
        <v>2651</v>
      </c>
      <c r="B100" s="159">
        <v>46054</v>
      </c>
      <c r="C100" s="101" t="s">
        <v>37</v>
      </c>
      <c r="D100" s="101" t="s">
        <v>37</v>
      </c>
      <c r="E100" s="83">
        <v>20</v>
      </c>
      <c r="F100" s="83">
        <v>27</v>
      </c>
      <c r="G100" s="83">
        <f t="shared" si="4"/>
        <v>7</v>
      </c>
      <c r="H100" s="251">
        <f t="shared" si="5"/>
        <v>0.25925925925925924</v>
      </c>
    </row>
    <row r="101" spans="1:8">
      <c r="A101" s="100" t="s">
        <v>2652</v>
      </c>
      <c r="B101" s="159">
        <v>46054</v>
      </c>
      <c r="C101" s="101" t="s">
        <v>271</v>
      </c>
      <c r="D101" s="101" t="s">
        <v>408</v>
      </c>
      <c r="E101" s="83">
        <v>21</v>
      </c>
      <c r="F101" s="83">
        <v>25</v>
      </c>
      <c r="G101" s="83">
        <f t="shared" ref="G101:G124" si="6">IF($A101="","",MAX(0,$F101-$E101))</f>
        <v>4</v>
      </c>
      <c r="H101" s="251">
        <f t="shared" ref="H101:H124" si="7">IFERROR($G101/$F101,0)</f>
        <v>0.16</v>
      </c>
    </row>
    <row r="102" spans="1:8">
      <c r="A102" s="100" t="s">
        <v>2653</v>
      </c>
      <c r="B102" s="159">
        <v>46054</v>
      </c>
      <c r="C102" s="101" t="s">
        <v>416</v>
      </c>
      <c r="D102" s="101" t="s">
        <v>411</v>
      </c>
      <c r="E102" s="83">
        <v>22</v>
      </c>
      <c r="F102" s="83">
        <v>29</v>
      </c>
      <c r="G102" s="83">
        <f t="shared" si="6"/>
        <v>7</v>
      </c>
      <c r="H102" s="251">
        <f t="shared" si="7"/>
        <v>0.2413793103448276</v>
      </c>
    </row>
    <row r="103" spans="1:8">
      <c r="A103" s="100" t="s">
        <v>2654</v>
      </c>
      <c r="B103" s="159">
        <v>46054</v>
      </c>
      <c r="C103" s="101" t="s">
        <v>104</v>
      </c>
      <c r="D103" s="101" t="s">
        <v>104</v>
      </c>
      <c r="E103" s="83">
        <v>19</v>
      </c>
      <c r="F103" s="83">
        <v>27</v>
      </c>
      <c r="G103" s="83">
        <f t="shared" si="6"/>
        <v>8</v>
      </c>
      <c r="H103" s="251">
        <f t="shared" si="7"/>
        <v>0.29629629629629628</v>
      </c>
    </row>
    <row r="104" spans="1:8">
      <c r="A104" s="100" t="s">
        <v>2655</v>
      </c>
      <c r="B104" s="159">
        <v>46054</v>
      </c>
      <c r="C104" s="101" t="s">
        <v>421</v>
      </c>
      <c r="D104" s="101" t="s">
        <v>420</v>
      </c>
      <c r="E104" s="83">
        <v>19</v>
      </c>
      <c r="F104" s="83">
        <v>27</v>
      </c>
      <c r="G104" s="83">
        <f t="shared" si="6"/>
        <v>8</v>
      </c>
      <c r="H104" s="251">
        <f t="shared" si="7"/>
        <v>0.29629629629629628</v>
      </c>
    </row>
    <row r="105" spans="1:8">
      <c r="A105" s="100" t="s">
        <v>2656</v>
      </c>
      <c r="B105" s="159">
        <v>46082</v>
      </c>
      <c r="C105" s="101" t="s">
        <v>152</v>
      </c>
      <c r="D105" s="101" t="s">
        <v>154</v>
      </c>
      <c r="E105" s="83">
        <v>27</v>
      </c>
      <c r="F105" s="83">
        <v>25</v>
      </c>
      <c r="G105" s="83">
        <f t="shared" si="6"/>
        <v>0</v>
      </c>
      <c r="H105" s="251">
        <f t="shared" si="7"/>
        <v>0</v>
      </c>
    </row>
    <row r="106" spans="1:8">
      <c r="A106" s="100" t="s">
        <v>2657</v>
      </c>
      <c r="B106" s="159">
        <v>46082</v>
      </c>
      <c r="C106" s="101" t="s">
        <v>379</v>
      </c>
      <c r="D106" s="101" t="s">
        <v>390</v>
      </c>
      <c r="E106" s="83">
        <v>14</v>
      </c>
      <c r="F106" s="83">
        <v>33</v>
      </c>
      <c r="G106" s="83">
        <f t="shared" si="6"/>
        <v>19</v>
      </c>
      <c r="H106" s="251">
        <f t="shared" si="7"/>
        <v>0.5757575757575758</v>
      </c>
    </row>
    <row r="107" spans="1:8">
      <c r="A107" s="100" t="s">
        <v>2658</v>
      </c>
      <c r="B107" s="159">
        <v>46082</v>
      </c>
      <c r="C107" s="101" t="s">
        <v>176</v>
      </c>
      <c r="D107" s="101" t="s">
        <v>154</v>
      </c>
      <c r="E107" s="83">
        <v>16</v>
      </c>
      <c r="F107" s="83">
        <v>38</v>
      </c>
      <c r="G107" s="83">
        <f t="shared" si="6"/>
        <v>22</v>
      </c>
      <c r="H107" s="251">
        <f t="shared" si="7"/>
        <v>0.57894736842105265</v>
      </c>
    </row>
    <row r="108" spans="1:8">
      <c r="A108" s="100" t="s">
        <v>2659</v>
      </c>
      <c r="B108" s="159">
        <v>46082</v>
      </c>
      <c r="C108" s="101" t="s">
        <v>371</v>
      </c>
      <c r="D108" s="101" t="s">
        <v>371</v>
      </c>
      <c r="E108" s="83">
        <v>17</v>
      </c>
      <c r="F108" s="83">
        <v>39</v>
      </c>
      <c r="G108" s="83">
        <f t="shared" si="6"/>
        <v>22</v>
      </c>
      <c r="H108" s="251">
        <f t="shared" si="7"/>
        <v>0.5641025641025641</v>
      </c>
    </row>
    <row r="109" spans="1:8">
      <c r="A109" s="100" t="s">
        <v>2660</v>
      </c>
      <c r="B109" s="159">
        <v>46082</v>
      </c>
      <c r="C109" s="101" t="s">
        <v>407</v>
      </c>
      <c r="D109" s="101" t="s">
        <v>417</v>
      </c>
      <c r="E109" s="83">
        <v>24</v>
      </c>
      <c r="F109" s="83">
        <v>23</v>
      </c>
      <c r="G109" s="83">
        <f t="shared" si="6"/>
        <v>0</v>
      </c>
      <c r="H109" s="251">
        <f t="shared" si="7"/>
        <v>0</v>
      </c>
    </row>
    <row r="110" spans="1:8">
      <c r="A110" s="100" t="s">
        <v>2661</v>
      </c>
      <c r="B110" s="159">
        <v>46082</v>
      </c>
      <c r="C110" s="101" t="s">
        <v>37</v>
      </c>
      <c r="D110" s="101" t="s">
        <v>37</v>
      </c>
      <c r="E110" s="83">
        <v>21</v>
      </c>
      <c r="F110" s="83">
        <v>27</v>
      </c>
      <c r="G110" s="83">
        <f t="shared" si="6"/>
        <v>6</v>
      </c>
      <c r="H110" s="251">
        <f t="shared" si="7"/>
        <v>0.22222222222222221</v>
      </c>
    </row>
    <row r="111" spans="1:8">
      <c r="A111" s="100" t="s">
        <v>2662</v>
      </c>
      <c r="B111" s="159">
        <v>46082</v>
      </c>
      <c r="C111" s="101" t="s">
        <v>271</v>
      </c>
      <c r="D111" s="101" t="s">
        <v>408</v>
      </c>
      <c r="E111" s="83">
        <v>17</v>
      </c>
      <c r="F111" s="83">
        <v>25</v>
      </c>
      <c r="G111" s="83">
        <f t="shared" si="6"/>
        <v>8</v>
      </c>
      <c r="H111" s="251">
        <f t="shared" si="7"/>
        <v>0.32</v>
      </c>
    </row>
    <row r="112" spans="1:8">
      <c r="A112" s="100" t="s">
        <v>2663</v>
      </c>
      <c r="B112" s="159">
        <v>46082</v>
      </c>
      <c r="C112" s="101" t="s">
        <v>416</v>
      </c>
      <c r="D112" s="101" t="s">
        <v>411</v>
      </c>
      <c r="E112" s="83">
        <v>21</v>
      </c>
      <c r="F112" s="83">
        <v>29</v>
      </c>
      <c r="G112" s="83">
        <f t="shared" si="6"/>
        <v>8</v>
      </c>
      <c r="H112" s="251">
        <f t="shared" si="7"/>
        <v>0.27586206896551724</v>
      </c>
    </row>
    <row r="113" spans="1:8">
      <c r="A113" s="100" t="s">
        <v>2664</v>
      </c>
      <c r="B113" s="159">
        <v>46082</v>
      </c>
      <c r="C113" s="101" t="s">
        <v>104</v>
      </c>
      <c r="D113" s="101" t="s">
        <v>104</v>
      </c>
      <c r="E113" s="83">
        <v>21</v>
      </c>
      <c r="F113" s="83">
        <v>27</v>
      </c>
      <c r="G113" s="83">
        <f t="shared" si="6"/>
        <v>6</v>
      </c>
      <c r="H113" s="251">
        <f t="shared" si="7"/>
        <v>0.22222222222222221</v>
      </c>
    </row>
    <row r="114" spans="1:8">
      <c r="A114" s="100" t="s">
        <v>2665</v>
      </c>
      <c r="B114" s="159">
        <v>46082</v>
      </c>
      <c r="C114" s="101" t="s">
        <v>421</v>
      </c>
      <c r="D114" s="101" t="s">
        <v>420</v>
      </c>
      <c r="E114" s="83">
        <v>19</v>
      </c>
      <c r="F114" s="83">
        <v>27</v>
      </c>
      <c r="G114" s="83">
        <f t="shared" si="6"/>
        <v>8</v>
      </c>
      <c r="H114" s="251">
        <f t="shared" si="7"/>
        <v>0.29629629629629628</v>
      </c>
    </row>
    <row r="115" spans="1:8">
      <c r="A115" s="100" t="s">
        <v>2666</v>
      </c>
      <c r="B115" s="159">
        <v>46113</v>
      </c>
      <c r="C115" s="101" t="s">
        <v>152</v>
      </c>
      <c r="D115" s="101" t="s">
        <v>154</v>
      </c>
      <c r="E115" s="83">
        <v>27</v>
      </c>
      <c r="F115" s="83">
        <v>25</v>
      </c>
      <c r="G115" s="83">
        <f t="shared" si="6"/>
        <v>0</v>
      </c>
      <c r="H115" s="251">
        <f t="shared" si="7"/>
        <v>0</v>
      </c>
    </row>
    <row r="116" spans="1:8">
      <c r="A116" s="100" t="s">
        <v>2667</v>
      </c>
      <c r="B116" s="159">
        <v>46113</v>
      </c>
      <c r="C116" s="101" t="s">
        <v>379</v>
      </c>
      <c r="D116" s="101" t="s">
        <v>390</v>
      </c>
      <c r="E116" s="83">
        <v>16</v>
      </c>
      <c r="F116" s="83">
        <v>33</v>
      </c>
      <c r="G116" s="83">
        <f t="shared" si="6"/>
        <v>17</v>
      </c>
      <c r="H116" s="251">
        <f t="shared" si="7"/>
        <v>0.51515151515151514</v>
      </c>
    </row>
    <row r="117" spans="1:8">
      <c r="A117" s="100" t="s">
        <v>2668</v>
      </c>
      <c r="B117" s="159">
        <v>46113</v>
      </c>
      <c r="C117" s="101" t="s">
        <v>176</v>
      </c>
      <c r="D117" s="101" t="s">
        <v>154</v>
      </c>
      <c r="E117" s="83">
        <v>15</v>
      </c>
      <c r="F117" s="83">
        <v>38</v>
      </c>
      <c r="G117" s="83">
        <f t="shared" si="6"/>
        <v>23</v>
      </c>
      <c r="H117" s="251">
        <f t="shared" si="7"/>
        <v>0.60526315789473684</v>
      </c>
    </row>
    <row r="118" spans="1:8">
      <c r="A118" s="100" t="s">
        <v>2669</v>
      </c>
      <c r="B118" s="159">
        <v>46113</v>
      </c>
      <c r="C118" s="101" t="s">
        <v>371</v>
      </c>
      <c r="D118" s="101" t="s">
        <v>371</v>
      </c>
      <c r="E118" s="83">
        <v>14</v>
      </c>
      <c r="F118" s="83">
        <v>39</v>
      </c>
      <c r="G118" s="83">
        <f t="shared" si="6"/>
        <v>25</v>
      </c>
      <c r="H118" s="251">
        <f t="shared" si="7"/>
        <v>0.64102564102564108</v>
      </c>
    </row>
    <row r="119" spans="1:8">
      <c r="A119" s="100" t="s">
        <v>2670</v>
      </c>
      <c r="B119" s="159">
        <v>46113</v>
      </c>
      <c r="C119" s="101" t="s">
        <v>407</v>
      </c>
      <c r="D119" s="101" t="s">
        <v>417</v>
      </c>
      <c r="E119" s="83">
        <v>20</v>
      </c>
      <c r="F119" s="83">
        <v>23</v>
      </c>
      <c r="G119" s="83">
        <f t="shared" si="6"/>
        <v>3</v>
      </c>
      <c r="H119" s="251">
        <f t="shared" si="7"/>
        <v>0.13043478260869565</v>
      </c>
    </row>
    <row r="120" spans="1:8">
      <c r="A120" s="100" t="s">
        <v>2671</v>
      </c>
      <c r="B120" s="159">
        <v>46113</v>
      </c>
      <c r="C120" s="101" t="s">
        <v>37</v>
      </c>
      <c r="D120" s="101" t="s">
        <v>37</v>
      </c>
      <c r="E120" s="83">
        <v>20</v>
      </c>
      <c r="F120" s="83">
        <v>27</v>
      </c>
      <c r="G120" s="83">
        <f t="shared" si="6"/>
        <v>7</v>
      </c>
      <c r="H120" s="251">
        <f t="shared" si="7"/>
        <v>0.25925925925925924</v>
      </c>
    </row>
    <row r="121" spans="1:8">
      <c r="A121" s="100" t="s">
        <v>2672</v>
      </c>
      <c r="B121" s="159">
        <v>46113</v>
      </c>
      <c r="C121" s="101" t="s">
        <v>271</v>
      </c>
      <c r="D121" s="101" t="s">
        <v>408</v>
      </c>
      <c r="E121" s="83">
        <v>22</v>
      </c>
      <c r="F121" s="83">
        <v>25</v>
      </c>
      <c r="G121" s="83">
        <f t="shared" si="6"/>
        <v>3</v>
      </c>
      <c r="H121" s="251">
        <f t="shared" si="7"/>
        <v>0.12</v>
      </c>
    </row>
    <row r="122" spans="1:8">
      <c r="A122" s="100" t="s">
        <v>2673</v>
      </c>
      <c r="B122" s="159">
        <v>46113</v>
      </c>
      <c r="C122" s="101" t="s">
        <v>416</v>
      </c>
      <c r="D122" s="101" t="s">
        <v>411</v>
      </c>
      <c r="E122" s="83">
        <v>23</v>
      </c>
      <c r="F122" s="83">
        <v>29</v>
      </c>
      <c r="G122" s="83">
        <f t="shared" si="6"/>
        <v>6</v>
      </c>
      <c r="H122" s="251">
        <f t="shared" si="7"/>
        <v>0.20689655172413793</v>
      </c>
    </row>
    <row r="123" spans="1:8">
      <c r="A123" s="100" t="s">
        <v>2674</v>
      </c>
      <c r="B123" s="159">
        <v>46113</v>
      </c>
      <c r="C123" s="101" t="s">
        <v>104</v>
      </c>
      <c r="D123" s="101" t="s">
        <v>104</v>
      </c>
      <c r="E123" s="83">
        <v>19</v>
      </c>
      <c r="F123" s="83">
        <v>27</v>
      </c>
      <c r="G123" s="83">
        <f t="shared" si="6"/>
        <v>8</v>
      </c>
      <c r="H123" s="251">
        <f t="shared" si="7"/>
        <v>0.29629629629629628</v>
      </c>
    </row>
    <row r="124" spans="1:8">
      <c r="A124" s="104" t="s">
        <v>2675</v>
      </c>
      <c r="B124" s="160">
        <v>46113</v>
      </c>
      <c r="C124" s="105" t="s">
        <v>421</v>
      </c>
      <c r="D124" s="105" t="s">
        <v>420</v>
      </c>
      <c r="E124" s="89">
        <v>23</v>
      </c>
      <c r="F124" s="89">
        <v>27</v>
      </c>
      <c r="G124" s="89">
        <f t="shared" si="6"/>
        <v>4</v>
      </c>
      <c r="H124" s="252">
        <f t="shared" si="7"/>
        <v>0.14814814814814814</v>
      </c>
    </row>
  </sheetData>
  <dataValidations count="1">
    <dataValidation type="list" allowBlank="1" showInputMessage="1" showErrorMessage="1" sqref="D5:D124" xr:uid="{C6394218-BEA3-2C4F-982E-5BCBEFD47FE6}">
      <formula1>JobFamilies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9"/>
  <sheetViews>
    <sheetView showGridLines="0" zoomScale="75" zoomScaleNormal="120" workbookViewId="0">
      <selection activeCell="D26" sqref="D26"/>
    </sheetView>
  </sheetViews>
  <sheetFormatPr baseColWidth="10" defaultColWidth="8.83203125" defaultRowHeight="15"/>
  <cols>
    <col min="1" max="1" width="26" style="91" customWidth="1"/>
    <col min="2" max="2" width="18" style="91" customWidth="1"/>
    <col min="3" max="3" width="54" style="91" customWidth="1"/>
    <col min="4" max="4" width="49" style="91" bestFit="1" customWidth="1"/>
    <col min="5" max="5" width="24" style="91" customWidth="1"/>
    <col min="6" max="7" width="14" style="91" customWidth="1"/>
    <col min="8" max="8" width="16" style="91" customWidth="1"/>
    <col min="9" max="9" width="16.33203125" style="91" customWidth="1"/>
    <col min="10" max="10" width="14" style="91" customWidth="1"/>
    <col min="11" max="11" width="16" style="91" customWidth="1"/>
    <col min="12" max="12" width="18" style="91" customWidth="1"/>
    <col min="13" max="14" width="14" style="91" customWidth="1"/>
    <col min="15" max="15" width="21.1640625" style="91" customWidth="1"/>
    <col min="16" max="16" width="19.5" style="91" customWidth="1"/>
    <col min="17" max="17" width="13" style="91" customWidth="1"/>
    <col min="18" max="18" width="16" style="91" customWidth="1"/>
    <col min="19" max="16384" width="8.83203125" style="91"/>
  </cols>
  <sheetData>
    <row r="1" spans="1:18" ht="44">
      <c r="A1" s="53" t="s">
        <v>2676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ht="25">
      <c r="A2" s="68" t="s">
        <v>2677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4" spans="1:18" ht="35" customHeight="1">
      <c r="A4" s="163" t="s">
        <v>3043</v>
      </c>
    </row>
    <row r="5" spans="1:18" ht="16">
      <c r="A5" s="98" t="s">
        <v>2678</v>
      </c>
      <c r="B5" s="99" t="s">
        <v>2679</v>
      </c>
      <c r="C5" s="109" t="s">
        <v>2680</v>
      </c>
    </row>
    <row r="6" spans="1:18">
      <c r="A6" s="100" t="s">
        <v>2681</v>
      </c>
      <c r="B6" s="102">
        <v>45778</v>
      </c>
      <c r="C6" s="103" t="s">
        <v>2682</v>
      </c>
    </row>
    <row r="7" spans="1:18">
      <c r="A7" s="104" t="s">
        <v>2683</v>
      </c>
      <c r="B7" s="102">
        <v>46142</v>
      </c>
      <c r="C7" s="107" t="s">
        <v>2684</v>
      </c>
    </row>
    <row r="8" spans="1:18">
      <c r="A8" s="253"/>
      <c r="B8" s="254"/>
      <c r="C8" s="253"/>
    </row>
    <row r="9" spans="1:18" ht="34" customHeight="1">
      <c r="A9" s="163" t="s">
        <v>3038</v>
      </c>
      <c r="E9" s="163" t="s">
        <v>3039</v>
      </c>
    </row>
    <row r="10" spans="1:18" ht="16">
      <c r="A10" s="98" t="s">
        <v>2685</v>
      </c>
      <c r="B10" s="99" t="s">
        <v>2679</v>
      </c>
      <c r="C10" s="109" t="s">
        <v>2686</v>
      </c>
      <c r="E10" s="98" t="s">
        <v>2687</v>
      </c>
      <c r="F10" s="99" t="s">
        <v>2688</v>
      </c>
      <c r="G10" s="99" t="s">
        <v>2689</v>
      </c>
      <c r="H10" s="99" t="s">
        <v>2690</v>
      </c>
      <c r="I10" s="99" t="s">
        <v>2691</v>
      </c>
      <c r="J10" s="99" t="s">
        <v>2692</v>
      </c>
      <c r="K10" s="99" t="s">
        <v>2693</v>
      </c>
      <c r="L10" s="99" t="s">
        <v>2694</v>
      </c>
      <c r="M10" s="99" t="s">
        <v>2695</v>
      </c>
      <c r="N10" s="99" t="s">
        <v>2696</v>
      </c>
      <c r="O10" s="99" t="s">
        <v>2697</v>
      </c>
      <c r="P10" s="99" t="s">
        <v>2698</v>
      </c>
      <c r="Q10" s="99" t="s">
        <v>2699</v>
      </c>
      <c r="R10" s="109" t="s">
        <v>2700</v>
      </c>
    </row>
    <row r="11" spans="1:18">
      <c r="A11" s="100" t="s">
        <v>2701</v>
      </c>
      <c r="B11" s="101">
        <f>COUNTIFS('03_Employee_Master'!$L:$L,"Active")+COUNTIFS('03_Employee_Master'!$L:$L,"On Leave")</f>
        <v>202</v>
      </c>
      <c r="C11" s="103" t="s">
        <v>2702</v>
      </c>
      <c r="E11" s="100" t="s">
        <v>152</v>
      </c>
      <c r="F11" s="83">
        <f>COUNTIFS('03_Employee_Master'!$C:$C,$E11,'03_Employee_Master'!$L:$L,"Active")+COUNTIFS('03_Employee_Master'!$C:$C,$E11,'03_Employee_Master'!$L:$L,"On Leave")</f>
        <v>25</v>
      </c>
      <c r="G11" s="83">
        <f>SUMIF('04_Department_Position_Master'!$B:$B,$E11,'04_Department_Position_Master'!$E:$E)</f>
        <v>25</v>
      </c>
      <c r="H11" s="83">
        <f t="shared" ref="H11:H20" si="0">MAX(0,$G11-$F11)</f>
        <v>0</v>
      </c>
      <c r="I11" s="247">
        <f t="shared" ref="I11:I20" si="1">IFERROR($H11/$G11,0)</f>
        <v>0</v>
      </c>
      <c r="J11" s="83">
        <f>COUNTIFS('09_Attrition_Tracker'!$D:$D,$E11,'09_Attrition_Tracker'!$G:$G,"&gt;="&amp;$B$6,'09_Attrition_Tracker'!$G:$G,"&lt;="&amp;$B$7)</f>
        <v>2</v>
      </c>
      <c r="K11" s="247">
        <f t="shared" ref="K11:K20" si="2">IFERROR($J11/$F11,0)</f>
        <v>0.08</v>
      </c>
      <c r="L11" s="247">
        <f>IFERROR(COUNTIFS('09_Attrition_Tracker'!$D:$D,$E11,'09_Attrition_Tracker'!$L:$L,"Yes",'09_Attrition_Tracker'!$G:$G,"&gt;="&amp;$B$6,'09_Attrition_Tracker'!$G:$G,"&lt;="&amp;$B$7)/$F11,0)</f>
        <v>0</v>
      </c>
      <c r="M11" s="83">
        <f>COUNTIFS('05_Requisitions_MRF'!$D:$D,$E11,'05_Requisitions_MRF'!$K:$K,"Open")</f>
        <v>1</v>
      </c>
      <c r="N11" s="83">
        <f ca="1">COUNTIFS('05_Requisitions_MRF'!$D:$D,$E11,'05_Requisitions_MRF'!$K:$K,"Open",'05_Requisitions_MRF'!$O:$O,"Delayed")</f>
        <v>0</v>
      </c>
      <c r="O11" s="247">
        <f>IFERROR(AVERAGEIF('08_Onboarding_Tracker'!$D:$D,$E11,'08_Onboarding_Tracker'!$O:$O),0)</f>
        <v>0.96875</v>
      </c>
      <c r="P11" s="255">
        <f>IFERROR(SUMIF('10_Productivity_Inputs'!$C:$C,$E11,'10_Productivity_Inputs'!$E:$E)/SUMIF('10_Productivity_Inputs'!$C:$C,$E11,'10_Productivity_Inputs'!$D:$D),0)</f>
        <v>71.629870129870127</v>
      </c>
      <c r="Q11" s="255">
        <f t="shared" ref="Q11:Q20" ca="1" si="3">ROUND(MIN(100,($I11*35)+($K11*25)+($L11*20)+(IFERROR($N11/$M11,0)*10)+((1-$O11)*10)+MAX(0,($P11-80)/40*10)),1)</f>
        <v>2.2999999999999998</v>
      </c>
      <c r="R11" s="112" t="str" cm="1">
        <f t="array" aca="1" ref="R11" ca="1">_xlfn.IFS(Q11&lt;25,"Low Risk",Q11&lt;50,"Moderate Risk",Q11&lt;75,"High Risk",TRUE,"Critical Risk")</f>
        <v>Low Risk</v>
      </c>
    </row>
    <row r="12" spans="1:18">
      <c r="A12" s="100" t="s">
        <v>2703</v>
      </c>
      <c r="B12" s="101">
        <f>SUM('04_Department_Position_Master'!$E:$E)</f>
        <v>293</v>
      </c>
      <c r="C12" s="103" t="s">
        <v>2704</v>
      </c>
      <c r="E12" s="100" t="s">
        <v>379</v>
      </c>
      <c r="F12" s="83">
        <f>COUNTIFS('03_Employee_Master'!$C:$C,$E12,'03_Employee_Master'!$L:$L,"Active")+COUNTIFS('03_Employee_Master'!$C:$C,$E12,'03_Employee_Master'!$L:$L,"On Leave")</f>
        <v>17</v>
      </c>
      <c r="G12" s="83">
        <f>SUMIF('04_Department_Position_Master'!$B:$B,$E12,'04_Department_Position_Master'!$E:$E)</f>
        <v>33</v>
      </c>
      <c r="H12" s="83">
        <f t="shared" si="0"/>
        <v>16</v>
      </c>
      <c r="I12" s="247">
        <f t="shared" si="1"/>
        <v>0.48484848484848486</v>
      </c>
      <c r="J12" s="83">
        <f>COUNTIFS('09_Attrition_Tracker'!$D:$D,$E12,'09_Attrition_Tracker'!$G:$G,"&gt;="&amp;$B$6,'09_Attrition_Tracker'!$G:$G,"&lt;="&amp;$B$7)</f>
        <v>3</v>
      </c>
      <c r="K12" s="247">
        <f t="shared" si="2"/>
        <v>0.17647058823529413</v>
      </c>
      <c r="L12" s="247">
        <f>IFERROR(COUNTIFS('09_Attrition_Tracker'!$D:$D,$E12,'09_Attrition_Tracker'!$L:$L,"Yes",'09_Attrition_Tracker'!$G:$G,"&gt;="&amp;$B$6,'09_Attrition_Tracker'!$G:$G,"&lt;="&amp;$B$7)/$F12,0)</f>
        <v>0</v>
      </c>
      <c r="M12" s="83">
        <f>COUNTIFS('05_Requisitions_MRF'!$D:$D,$E12,'05_Requisitions_MRF'!$K:$K,"Open")</f>
        <v>5</v>
      </c>
      <c r="N12" s="83">
        <f ca="1">COUNTIFS('05_Requisitions_MRF'!$D:$D,$E12,'05_Requisitions_MRF'!$K:$K,"Open",'05_Requisitions_MRF'!$O:$O,"Delayed")</f>
        <v>1</v>
      </c>
      <c r="O12" s="247">
        <f>IFERROR(AVERAGEIF('08_Onboarding_Tracker'!$D:$D,$E12,'08_Onboarding_Tracker'!$O:$O),0)</f>
        <v>0.93055555555555558</v>
      </c>
      <c r="P12" s="255">
        <f>IFERROR(SUMIF('10_Productivity_Inputs'!$C:$C,$E12,'10_Productivity_Inputs'!$E:$E)/SUMIF('10_Productivity_Inputs'!$C:$C,$E12,'10_Productivity_Inputs'!$D:$D),0)</f>
        <v>86.390862944162436</v>
      </c>
      <c r="Q12" s="255">
        <f t="shared" ca="1" si="3"/>
        <v>25.7</v>
      </c>
      <c r="R12" s="112" t="str" cm="1">
        <f t="array" aca="1" ref="R12" ca="1">_xlfn.IFS(Q12&lt;25,"Low Risk",Q12&lt;50,"Moderate Risk",Q12&lt;75,"High Risk",TRUE,"Critical Risk")</f>
        <v>Moderate Risk</v>
      </c>
    </row>
    <row r="13" spans="1:18">
      <c r="A13" s="100" t="s">
        <v>2690</v>
      </c>
      <c r="B13" s="101">
        <f>MAX(0,$B$12-$B$11)</f>
        <v>91</v>
      </c>
      <c r="C13" s="103" t="s">
        <v>2705</v>
      </c>
      <c r="E13" s="100" t="s">
        <v>176</v>
      </c>
      <c r="F13" s="83">
        <f>COUNTIFS('03_Employee_Master'!$C:$C,$E13,'03_Employee_Master'!$L:$L,"Active")+COUNTIFS('03_Employee_Master'!$C:$C,$E13,'03_Employee_Master'!$L:$L,"On Leave")</f>
        <v>18</v>
      </c>
      <c r="G13" s="83">
        <f>SUMIF('04_Department_Position_Master'!$B:$B,$E13,'04_Department_Position_Master'!$E:$E)</f>
        <v>38</v>
      </c>
      <c r="H13" s="83">
        <f t="shared" si="0"/>
        <v>20</v>
      </c>
      <c r="I13" s="247">
        <f t="shared" si="1"/>
        <v>0.52631578947368418</v>
      </c>
      <c r="J13" s="83">
        <f>COUNTIFS('09_Attrition_Tracker'!$D:$D,$E13,'09_Attrition_Tracker'!$G:$G,"&gt;="&amp;$B$6,'09_Attrition_Tracker'!$G:$G,"&lt;="&amp;$B$7)</f>
        <v>8</v>
      </c>
      <c r="K13" s="247">
        <f t="shared" si="2"/>
        <v>0.44444444444444442</v>
      </c>
      <c r="L13" s="247">
        <f>IFERROR(COUNTIFS('09_Attrition_Tracker'!$D:$D,$E13,'09_Attrition_Tracker'!$L:$L,"Yes",'09_Attrition_Tracker'!$G:$G,"&gt;="&amp;$B$6,'09_Attrition_Tracker'!$G:$G,"&lt;="&amp;$B$7)/$F13,0)</f>
        <v>0.22222222222222221</v>
      </c>
      <c r="M13" s="83">
        <f>COUNTIFS('05_Requisitions_MRF'!$D:$D,$E13,'05_Requisitions_MRF'!$K:$K,"Open")</f>
        <v>4</v>
      </c>
      <c r="N13" s="83">
        <f ca="1">COUNTIFS('05_Requisitions_MRF'!$D:$D,$E13,'05_Requisitions_MRF'!$K:$K,"Open",'05_Requisitions_MRF'!$O:$O,"Delayed")</f>
        <v>2</v>
      </c>
      <c r="O13" s="247">
        <f>IFERROR(AVERAGEIF('08_Onboarding_Tracker'!$D:$D,$E13,'08_Onboarding_Tracker'!$O:$O),0)</f>
        <v>0.82499999999999996</v>
      </c>
      <c r="P13" s="255">
        <f>IFERROR(SUMIF('10_Productivity_Inputs'!$C:$C,$E13,'10_Productivity_Inputs'!$E:$E)/SUMIF('10_Productivity_Inputs'!$C:$C,$E13,'10_Productivity_Inputs'!$D:$D),0)</f>
        <v>91.473684210526315</v>
      </c>
      <c r="Q13" s="255">
        <f t="shared" ca="1" si="3"/>
        <v>43.6</v>
      </c>
      <c r="R13" s="112" t="str" cm="1">
        <f t="array" aca="1" ref="R13" ca="1">_xlfn.IFS(Q13&lt;25,"Low Risk",Q13&lt;50,"Moderate Risk",Q13&lt;75,"High Risk",TRUE,"Critical Risk")</f>
        <v>Moderate Risk</v>
      </c>
    </row>
    <row r="14" spans="1:18">
      <c r="A14" s="100" t="s">
        <v>2691</v>
      </c>
      <c r="B14" s="256">
        <f>IFERROR($B$13/$B$12,0)</f>
        <v>0.31058020477815701</v>
      </c>
      <c r="C14" s="103" t="s">
        <v>2706</v>
      </c>
      <c r="E14" s="100" t="s">
        <v>371</v>
      </c>
      <c r="F14" s="83">
        <f>COUNTIFS('03_Employee_Master'!$C:$C,$E14,'03_Employee_Master'!$L:$L,"Active")+COUNTIFS('03_Employee_Master'!$C:$C,$E14,'03_Employee_Master'!$L:$L,"On Leave")</f>
        <v>15</v>
      </c>
      <c r="G14" s="83">
        <f>SUMIF('04_Department_Position_Master'!$B:$B,$E14,'04_Department_Position_Master'!$E:$E)</f>
        <v>39</v>
      </c>
      <c r="H14" s="83">
        <f t="shared" si="0"/>
        <v>24</v>
      </c>
      <c r="I14" s="247">
        <f t="shared" si="1"/>
        <v>0.61538461538461542</v>
      </c>
      <c r="J14" s="83">
        <f>COUNTIFS('09_Attrition_Tracker'!$D:$D,$E14,'09_Attrition_Tracker'!$G:$G,"&gt;="&amp;$B$6,'09_Attrition_Tracker'!$G:$G,"&lt;="&amp;$B$7)</f>
        <v>4</v>
      </c>
      <c r="K14" s="247">
        <f t="shared" si="2"/>
        <v>0.26666666666666666</v>
      </c>
      <c r="L14" s="247">
        <f>IFERROR(COUNTIFS('09_Attrition_Tracker'!$D:$D,$E14,'09_Attrition_Tracker'!$L:$L,"Yes",'09_Attrition_Tracker'!$G:$G,"&gt;="&amp;$B$6,'09_Attrition_Tracker'!$G:$G,"&lt;="&amp;$B$7)/$F14,0)</f>
        <v>0.2</v>
      </c>
      <c r="M14" s="83">
        <f>COUNTIFS('05_Requisitions_MRF'!$D:$D,$E14,'05_Requisitions_MRF'!$K:$K,"Open")</f>
        <v>2</v>
      </c>
      <c r="N14" s="83">
        <f ca="1">COUNTIFS('05_Requisitions_MRF'!$D:$D,$E14,'05_Requisitions_MRF'!$K:$K,"Open",'05_Requisitions_MRF'!$O:$O,"Delayed")</f>
        <v>1</v>
      </c>
      <c r="O14" s="247">
        <f>IFERROR(AVERAGEIF('08_Onboarding_Tracker'!$D:$D,$E14,'08_Onboarding_Tracker'!$O:$O),0)</f>
        <v>0.90625</v>
      </c>
      <c r="P14" s="255">
        <f>IFERROR(SUMIF('10_Productivity_Inputs'!$C:$C,$E14,'10_Productivity_Inputs'!$E:$E)/SUMIF('10_Productivity_Inputs'!$C:$C,$E14,'10_Productivity_Inputs'!$D:$D),0)</f>
        <v>93.237569060773481</v>
      </c>
      <c r="Q14" s="255">
        <f t="shared" ca="1" si="3"/>
        <v>41.5</v>
      </c>
      <c r="R14" s="112" t="str" cm="1">
        <f t="array" aca="1" ref="R14" ca="1">_xlfn.IFS(Q14&lt;25,"Low Risk",Q14&lt;50,"Moderate Risk",Q14&lt;75,"High Risk",TRUE,"Critical Risk")</f>
        <v>Moderate Risk</v>
      </c>
    </row>
    <row r="15" spans="1:18">
      <c r="A15" s="100" t="s">
        <v>2707</v>
      </c>
      <c r="B15" s="101">
        <f>COUNTIF('05_Requisitions_MRF'!$K:$K,"Open")</f>
        <v>31</v>
      </c>
      <c r="C15" s="103" t="s">
        <v>2708</v>
      </c>
      <c r="E15" s="100" t="s">
        <v>407</v>
      </c>
      <c r="F15" s="83">
        <f>COUNTIFS('03_Employee_Master'!$C:$C,$E15,'03_Employee_Master'!$L:$L,"Active")+COUNTIFS('03_Employee_Master'!$C:$C,$E15,'03_Employee_Master'!$L:$L,"On Leave")</f>
        <v>22</v>
      </c>
      <c r="G15" s="83">
        <f>SUMIF('04_Department_Position_Master'!$B:$B,$E15,'04_Department_Position_Master'!$E:$E)</f>
        <v>23</v>
      </c>
      <c r="H15" s="83">
        <f t="shared" si="0"/>
        <v>1</v>
      </c>
      <c r="I15" s="247">
        <f t="shared" si="1"/>
        <v>4.3478260869565216E-2</v>
      </c>
      <c r="J15" s="83">
        <f>COUNTIFS('09_Attrition_Tracker'!$D:$D,$E15,'09_Attrition_Tracker'!$G:$G,"&gt;="&amp;$B$6,'09_Attrition_Tracker'!$G:$G,"&lt;="&amp;$B$7)</f>
        <v>2</v>
      </c>
      <c r="K15" s="247">
        <f t="shared" si="2"/>
        <v>9.0909090909090912E-2</v>
      </c>
      <c r="L15" s="247">
        <f>IFERROR(COUNTIFS('09_Attrition_Tracker'!$D:$D,$E15,'09_Attrition_Tracker'!$L:$L,"Yes",'09_Attrition_Tracker'!$G:$G,"&gt;="&amp;$B$6,'09_Attrition_Tracker'!$G:$G,"&lt;="&amp;$B$7)/$F15,0)</f>
        <v>9.0909090909090912E-2</v>
      </c>
      <c r="M15" s="83">
        <f>COUNTIFS('05_Requisitions_MRF'!$D:$D,$E15,'05_Requisitions_MRF'!$K:$K,"Open")</f>
        <v>5</v>
      </c>
      <c r="N15" s="83">
        <f ca="1">COUNTIFS('05_Requisitions_MRF'!$D:$D,$E15,'05_Requisitions_MRF'!$K:$K,"Open",'05_Requisitions_MRF'!$O:$O,"Delayed")</f>
        <v>3</v>
      </c>
      <c r="O15" s="247">
        <f>IFERROR(AVERAGEIF('08_Onboarding_Tracker'!$D:$D,$E15,'08_Onboarding_Tracker'!$O:$O),0)</f>
        <v>0.97916666666666663</v>
      </c>
      <c r="P15" s="255">
        <f>IFERROR(SUMIF('10_Productivity_Inputs'!$C:$C,$E15,'10_Productivity_Inputs'!$E:$E)/SUMIF('10_Productivity_Inputs'!$C:$C,$E15,'10_Productivity_Inputs'!$D:$D),0)</f>
        <v>81.222627737226276</v>
      </c>
      <c r="Q15" s="255">
        <f t="shared" ca="1" si="3"/>
        <v>12.1</v>
      </c>
      <c r="R15" s="112" t="str" cm="1">
        <f t="array" aca="1" ref="R15" ca="1">_xlfn.IFS(Q15&lt;25,"Low Risk",Q15&lt;50,"Moderate Risk",Q15&lt;75,"High Risk",TRUE,"Critical Risk")</f>
        <v>Low Risk</v>
      </c>
    </row>
    <row r="16" spans="1:18">
      <c r="A16" s="100" t="s">
        <v>2709</v>
      </c>
      <c r="B16" s="257">
        <f>IFERROR(AVERAGEIF('05_Requisitions_MRF'!$S:$S,"&gt;0"),0)</f>
        <v>56.210526315789473</v>
      </c>
      <c r="C16" s="103" t="s">
        <v>2710</v>
      </c>
      <c r="E16" s="100" t="s">
        <v>37</v>
      </c>
      <c r="F16" s="83">
        <f>COUNTIFS('03_Employee_Master'!$C:$C,$E16,'03_Employee_Master'!$L:$L,"Active")+COUNTIFS('03_Employee_Master'!$C:$C,$E16,'03_Employee_Master'!$L:$L,"On Leave")</f>
        <v>23</v>
      </c>
      <c r="G16" s="83">
        <f>SUMIF('04_Department_Position_Master'!$B:$B,$E16,'04_Department_Position_Master'!$E:$E)</f>
        <v>27</v>
      </c>
      <c r="H16" s="83">
        <f t="shared" si="0"/>
        <v>4</v>
      </c>
      <c r="I16" s="247">
        <f t="shared" si="1"/>
        <v>0.14814814814814814</v>
      </c>
      <c r="J16" s="83">
        <f>COUNTIFS('09_Attrition_Tracker'!$D:$D,$E16,'09_Attrition_Tracker'!$G:$G,"&gt;="&amp;$B$6,'09_Attrition_Tracker'!$G:$G,"&lt;="&amp;$B$7)</f>
        <v>3</v>
      </c>
      <c r="K16" s="247">
        <f t="shared" si="2"/>
        <v>0.13043478260869565</v>
      </c>
      <c r="L16" s="247">
        <f>IFERROR(COUNTIFS('09_Attrition_Tracker'!$D:$D,$E16,'09_Attrition_Tracker'!$L:$L,"Yes",'09_Attrition_Tracker'!$G:$G,"&gt;="&amp;$B$6,'09_Attrition_Tracker'!$G:$G,"&lt;="&amp;$B$7)/$F16,0)</f>
        <v>4.3478260869565216E-2</v>
      </c>
      <c r="M16" s="83">
        <f>COUNTIFS('05_Requisitions_MRF'!$D:$D,$E16,'05_Requisitions_MRF'!$K:$K,"Open")</f>
        <v>3</v>
      </c>
      <c r="N16" s="83">
        <f ca="1">COUNTIFS('05_Requisitions_MRF'!$D:$D,$E16,'05_Requisitions_MRF'!$K:$K,"Open",'05_Requisitions_MRF'!$O:$O,"Delayed")</f>
        <v>2</v>
      </c>
      <c r="O16" s="247">
        <f>IFERROR(AVERAGEIF('08_Onboarding_Tracker'!$D:$D,$E16,'08_Onboarding_Tracker'!$O:$O),0)</f>
        <v>0.9375</v>
      </c>
      <c r="P16" s="255">
        <f>IFERROR(SUMIF('10_Productivity_Inputs'!$C:$C,$E16,'10_Productivity_Inputs'!$E:$E)/SUMIF('10_Productivity_Inputs'!$C:$C,$E16,'10_Productivity_Inputs'!$D:$D),0)</f>
        <v>74.021505376344081</v>
      </c>
      <c r="Q16" s="255">
        <f t="shared" ca="1" si="3"/>
        <v>16.600000000000001</v>
      </c>
      <c r="R16" s="112" t="str" cm="1">
        <f t="array" aca="1" ref="R16" ca="1">_xlfn.IFS(Q16&lt;25,"Low Risk",Q16&lt;50,"Moderate Risk",Q16&lt;75,"High Risk",TRUE,"Critical Risk")</f>
        <v>Low Risk</v>
      </c>
    </row>
    <row r="17" spans="1:18">
      <c r="A17" s="100" t="s">
        <v>2711</v>
      </c>
      <c r="B17" s="257">
        <f>IFERROR(AVERAGEIF('06_Recruitment_Pipeline'!$G:$G,"Hired",'06_Recruitment_Pipeline'!$S:$S),0)</f>
        <v>38.829545454545453</v>
      </c>
      <c r="C17" s="103" t="s">
        <v>2712</v>
      </c>
      <c r="E17" s="100" t="s">
        <v>271</v>
      </c>
      <c r="F17" s="83">
        <f>COUNTIFS('03_Employee_Master'!$C:$C,$E17,'03_Employee_Master'!$L:$L,"Active")+COUNTIFS('03_Employee_Master'!$C:$C,$E17,'03_Employee_Master'!$L:$L,"On Leave")</f>
        <v>19</v>
      </c>
      <c r="G17" s="83">
        <f>SUMIF('04_Department_Position_Master'!$B:$B,$E17,'04_Department_Position_Master'!$E:$E)</f>
        <v>25</v>
      </c>
      <c r="H17" s="83">
        <f t="shared" si="0"/>
        <v>6</v>
      </c>
      <c r="I17" s="247">
        <f t="shared" si="1"/>
        <v>0.24</v>
      </c>
      <c r="J17" s="83">
        <f>COUNTIFS('09_Attrition_Tracker'!$D:$D,$E17,'09_Attrition_Tracker'!$G:$G,"&gt;="&amp;$B$6,'09_Attrition_Tracker'!$G:$G,"&lt;="&amp;$B$7)</f>
        <v>4</v>
      </c>
      <c r="K17" s="247">
        <f t="shared" si="2"/>
        <v>0.21052631578947367</v>
      </c>
      <c r="L17" s="247">
        <f>IFERROR(COUNTIFS('09_Attrition_Tracker'!$D:$D,$E17,'09_Attrition_Tracker'!$L:$L,"Yes",'09_Attrition_Tracker'!$G:$G,"&gt;="&amp;$B$6,'09_Attrition_Tracker'!$G:$G,"&lt;="&amp;$B$7)/$F17,0)</f>
        <v>0</v>
      </c>
      <c r="M17" s="83">
        <f>COUNTIFS('05_Requisitions_MRF'!$D:$D,$E17,'05_Requisitions_MRF'!$K:$K,"Open")</f>
        <v>4</v>
      </c>
      <c r="N17" s="83">
        <f ca="1">COUNTIFS('05_Requisitions_MRF'!$D:$D,$E17,'05_Requisitions_MRF'!$K:$K,"Open",'05_Requisitions_MRF'!$O:$O,"Delayed")</f>
        <v>1</v>
      </c>
      <c r="O17" s="247">
        <f>IFERROR(AVERAGEIF('08_Onboarding_Tracker'!$D:$D,$E17,'08_Onboarding_Tracker'!$O:$O),0)</f>
        <v>0.96250000000000002</v>
      </c>
      <c r="P17" s="255">
        <f>IFERROR(SUMIF('10_Productivity_Inputs'!$C:$C,$E17,'10_Productivity_Inputs'!$E:$E)/SUMIF('10_Productivity_Inputs'!$C:$C,$E17,'10_Productivity_Inputs'!$D:$D),0)</f>
        <v>90.852017937219728</v>
      </c>
      <c r="Q17" s="255">
        <f t="shared" ca="1" si="3"/>
        <v>19.3</v>
      </c>
      <c r="R17" s="112" t="str" cm="1">
        <f t="array" aca="1" ref="R17" ca="1">_xlfn.IFS(Q17&lt;25,"Low Risk",Q17&lt;50,"Moderate Risk",Q17&lt;75,"High Risk",TRUE,"Critical Risk")</f>
        <v>Low Risk</v>
      </c>
    </row>
    <row r="18" spans="1:18">
      <c r="A18" s="100" t="s">
        <v>2713</v>
      </c>
      <c r="B18" s="256">
        <f>IFERROR(COUNTIFS('06_Recruitment_Pipeline'!$L:$L,"Accepted")/(COUNTIFS('06_Recruitment_Pipeline'!$L:$L,"Accepted")+COUNTIFS('06_Recruitment_Pipeline'!$L:$L,"Declined")),0)</f>
        <v>0.87128712871287128</v>
      </c>
      <c r="C18" s="103" t="s">
        <v>2714</v>
      </c>
      <c r="E18" s="100" t="s">
        <v>416</v>
      </c>
      <c r="F18" s="83">
        <f>COUNTIFS('03_Employee_Master'!$C:$C,$E18,'03_Employee_Master'!$L:$L,"Active")+COUNTIFS('03_Employee_Master'!$C:$C,$E18,'03_Employee_Master'!$L:$L,"On Leave")</f>
        <v>21</v>
      </c>
      <c r="G18" s="83">
        <f>SUMIF('04_Department_Position_Master'!$B:$B,$E18,'04_Department_Position_Master'!$E:$E)</f>
        <v>29</v>
      </c>
      <c r="H18" s="83">
        <f t="shared" si="0"/>
        <v>8</v>
      </c>
      <c r="I18" s="247">
        <f t="shared" si="1"/>
        <v>0.27586206896551724</v>
      </c>
      <c r="J18" s="83">
        <f>COUNTIFS('09_Attrition_Tracker'!$D:$D,$E18,'09_Attrition_Tracker'!$G:$G,"&gt;="&amp;$B$6,'09_Attrition_Tracker'!$G:$G,"&lt;="&amp;$B$7)</f>
        <v>3</v>
      </c>
      <c r="K18" s="247">
        <f t="shared" si="2"/>
        <v>0.14285714285714285</v>
      </c>
      <c r="L18" s="247">
        <f>IFERROR(COUNTIFS('09_Attrition_Tracker'!$D:$D,$E18,'09_Attrition_Tracker'!$L:$L,"Yes",'09_Attrition_Tracker'!$G:$G,"&gt;="&amp;$B$6,'09_Attrition_Tracker'!$G:$G,"&lt;="&amp;$B$7)/$F18,0)</f>
        <v>9.5238095238095233E-2</v>
      </c>
      <c r="M18" s="83">
        <f>COUNTIFS('05_Requisitions_MRF'!$D:$D,$E18,'05_Requisitions_MRF'!$K:$K,"Open")</f>
        <v>5</v>
      </c>
      <c r="N18" s="83">
        <f ca="1">COUNTIFS('05_Requisitions_MRF'!$D:$D,$E18,'05_Requisitions_MRF'!$K:$K,"Open",'05_Requisitions_MRF'!$O:$O,"Delayed")</f>
        <v>1</v>
      </c>
      <c r="O18" s="247">
        <f>IFERROR(AVERAGEIF('08_Onboarding_Tracker'!$D:$D,$E18,'08_Onboarding_Tracker'!$O:$O),0)</f>
        <v>1</v>
      </c>
      <c r="P18" s="255">
        <f>IFERROR(SUMIF('10_Productivity_Inputs'!$C:$C,$E18,'10_Productivity_Inputs'!$E:$E)/SUMIF('10_Productivity_Inputs'!$C:$C,$E18,'10_Productivity_Inputs'!$D:$D),0)</f>
        <v>90.913580246913583</v>
      </c>
      <c r="Q18" s="255">
        <f t="shared" ca="1" si="3"/>
        <v>19.899999999999999</v>
      </c>
      <c r="R18" s="112" t="str" cm="1">
        <f t="array" aca="1" ref="R18" ca="1">_xlfn.IFS(Q18&lt;25,"Low Risk",Q18&lt;50,"Moderate Risk",Q18&lt;75,"High Risk",TRUE,"Critical Risk")</f>
        <v>Low Risk</v>
      </c>
    </row>
    <row r="19" spans="1:18">
      <c r="A19" s="100" t="s">
        <v>2715</v>
      </c>
      <c r="B19" s="245">
        <f>SUM('07_Hiring_Costs'!$F:$F)</f>
        <v>1553679.6800000002</v>
      </c>
      <c r="C19" s="103" t="s">
        <v>2716</v>
      </c>
      <c r="E19" s="100" t="s">
        <v>104</v>
      </c>
      <c r="F19" s="83">
        <f>COUNTIFS('03_Employee_Master'!$C:$C,$E19,'03_Employee_Master'!$L:$L,"Active")+COUNTIFS('03_Employee_Master'!$C:$C,$E19,'03_Employee_Master'!$L:$L,"On Leave")</f>
        <v>21</v>
      </c>
      <c r="G19" s="83">
        <f>SUMIF('04_Department_Position_Master'!$B:$B,$E19,'04_Department_Position_Master'!$E:$E)</f>
        <v>27</v>
      </c>
      <c r="H19" s="83">
        <f t="shared" si="0"/>
        <v>6</v>
      </c>
      <c r="I19" s="247">
        <f t="shared" si="1"/>
        <v>0.22222222222222221</v>
      </c>
      <c r="J19" s="83">
        <f>COUNTIFS('09_Attrition_Tracker'!$D:$D,$E19,'09_Attrition_Tracker'!$G:$G,"&gt;="&amp;$B$6,'09_Attrition_Tracker'!$G:$G,"&lt;="&amp;$B$7)</f>
        <v>2</v>
      </c>
      <c r="K19" s="247">
        <f t="shared" si="2"/>
        <v>9.5238095238095233E-2</v>
      </c>
      <c r="L19" s="247">
        <f>IFERROR(COUNTIFS('09_Attrition_Tracker'!$D:$D,$E19,'09_Attrition_Tracker'!$L:$L,"Yes",'09_Attrition_Tracker'!$G:$G,"&gt;="&amp;$B$6,'09_Attrition_Tracker'!$G:$G,"&lt;="&amp;$B$7)/$F19,0)</f>
        <v>4.7619047619047616E-2</v>
      </c>
      <c r="M19" s="83">
        <f>COUNTIFS('05_Requisitions_MRF'!$D:$D,$E19,'05_Requisitions_MRF'!$K:$K,"Open")</f>
        <v>0</v>
      </c>
      <c r="N19" s="83">
        <f>COUNTIFS('05_Requisitions_MRF'!$D:$D,$E19,'05_Requisitions_MRF'!$K:$K,"Open",'05_Requisitions_MRF'!$O:$O,"Delayed")</f>
        <v>0</v>
      </c>
      <c r="O19" s="247">
        <f>IFERROR(AVERAGEIF('08_Onboarding_Tracker'!$D:$D,$E19,'08_Onboarding_Tracker'!$O:$O),0)</f>
        <v>0.98750000000000004</v>
      </c>
      <c r="P19" s="255">
        <f>IFERROR(SUMIF('10_Productivity_Inputs'!$C:$C,$E19,'10_Productivity_Inputs'!$E:$E)/SUMIF('10_Productivity_Inputs'!$C:$C,$E19,'10_Productivity_Inputs'!$D:$D),0)</f>
        <v>83.306451612903231</v>
      </c>
      <c r="Q19" s="255">
        <f t="shared" si="3"/>
        <v>12.1</v>
      </c>
      <c r="R19" s="112" t="str" cm="1">
        <f t="array" ref="R19">_xlfn.IFS(Q19&lt;25,"Low Risk",Q19&lt;50,"Moderate Risk",Q19&lt;75,"High Risk",TRUE,"Critical Risk")</f>
        <v>Low Risk</v>
      </c>
    </row>
    <row r="20" spans="1:18">
      <c r="A20" s="100" t="s">
        <v>2717</v>
      </c>
      <c r="B20" s="245">
        <f>IFERROR($B$19/COUNTIF('06_Recruitment_Pipeline'!$G:$G,"Hired"),0)</f>
        <v>17655.450909090912</v>
      </c>
      <c r="C20" s="103" t="s">
        <v>2718</v>
      </c>
      <c r="E20" s="104" t="s">
        <v>421</v>
      </c>
      <c r="F20" s="89">
        <f>COUNTIFS('03_Employee_Master'!$C:$C,$E20,'03_Employee_Master'!$L:$L,"Active")+COUNTIFS('03_Employee_Master'!$C:$C,$E20,'03_Employee_Master'!$L:$L,"On Leave")</f>
        <v>21</v>
      </c>
      <c r="G20" s="89">
        <f>SUMIF('04_Department_Position_Master'!$B:$B,$E20,'04_Department_Position_Master'!$E:$E)</f>
        <v>27</v>
      </c>
      <c r="H20" s="89">
        <f t="shared" si="0"/>
        <v>6</v>
      </c>
      <c r="I20" s="249">
        <f t="shared" si="1"/>
        <v>0.22222222222222221</v>
      </c>
      <c r="J20" s="89">
        <f>COUNTIFS('09_Attrition_Tracker'!$D:$D,$E20,'09_Attrition_Tracker'!$G:$G,"&gt;="&amp;$B$6,'09_Attrition_Tracker'!$G:$G,"&lt;="&amp;$B$7)</f>
        <v>4</v>
      </c>
      <c r="K20" s="249">
        <f t="shared" si="2"/>
        <v>0.19047619047619047</v>
      </c>
      <c r="L20" s="249">
        <f>IFERROR(COUNTIFS('09_Attrition_Tracker'!$D:$D,$E20,'09_Attrition_Tracker'!$L:$L,"Yes",'09_Attrition_Tracker'!$G:$G,"&gt;="&amp;$B$6,'09_Attrition_Tracker'!$G:$G,"&lt;="&amp;$B$7)/$F20,0)</f>
        <v>4.7619047619047616E-2</v>
      </c>
      <c r="M20" s="89">
        <f>COUNTIFS('05_Requisitions_MRF'!$D:$D,$E20,'05_Requisitions_MRF'!$K:$K,"Open")</f>
        <v>2</v>
      </c>
      <c r="N20" s="89">
        <f ca="1">COUNTIFS('05_Requisitions_MRF'!$D:$D,$E20,'05_Requisitions_MRF'!$K:$K,"Open",'05_Requisitions_MRF'!$O:$O,"Delayed")</f>
        <v>1</v>
      </c>
      <c r="O20" s="249">
        <f>IFERROR(AVERAGEIF('08_Onboarding_Tracker'!$D:$D,$E20,'08_Onboarding_Tracker'!$O:$O),0)</f>
        <v>0.984375</v>
      </c>
      <c r="P20" s="258">
        <f>IFERROR(SUMIF('10_Productivity_Inputs'!$C:$C,$E20,'10_Productivity_Inputs'!$E:$E)/SUMIF('10_Productivity_Inputs'!$C:$C,$E20,'10_Productivity_Inputs'!$D:$D),0)</f>
        <v>73.632000000000005</v>
      </c>
      <c r="Q20" s="258">
        <f t="shared" ca="1" si="3"/>
        <v>18.600000000000001</v>
      </c>
      <c r="R20" s="113" t="str" cm="1">
        <f t="array" aca="1" ref="R20" ca="1">_xlfn.IFS(Q20&lt;25,"Low Risk",Q20&lt;50,"Moderate Risk",Q20&lt;75,"High Risk",TRUE,"Critical Risk")</f>
        <v>Low Risk</v>
      </c>
    </row>
    <row r="21" spans="1:18">
      <c r="A21" s="100" t="s">
        <v>2719</v>
      </c>
      <c r="B21" s="101">
        <f>COUNTIFS('09_Attrition_Tracker'!$G:$G,"&gt;="&amp;$B$6,'09_Attrition_Tracker'!$G:$G,"&lt;="&amp;$B$7)</f>
        <v>35</v>
      </c>
      <c r="C21" s="103" t="s">
        <v>2720</v>
      </c>
    </row>
    <row r="22" spans="1:18">
      <c r="A22" s="100" t="s">
        <v>2693</v>
      </c>
      <c r="B22" s="256">
        <f>IFERROR($B$21/$B$11,0)</f>
        <v>0.17326732673267325</v>
      </c>
      <c r="C22" s="103" t="s">
        <v>2721</v>
      </c>
    </row>
    <row r="23" spans="1:18">
      <c r="A23" s="100" t="s">
        <v>2722</v>
      </c>
      <c r="B23" s="256">
        <f>IFERROR(COUNTIFS('09_Attrition_Tracker'!$I:$I,"Voluntary",'09_Attrition_Tracker'!$G:$G,"&gt;="&amp;$B$6,'09_Attrition_Tracker'!$G:$G,"&lt;="&amp;$B$7)/$B$11,0)</f>
        <v>0.11386138613861387</v>
      </c>
      <c r="C23" s="103" t="s">
        <v>2723</v>
      </c>
    </row>
    <row r="24" spans="1:18">
      <c r="A24" s="100" t="s">
        <v>2724</v>
      </c>
      <c r="B24" s="256">
        <f>IFERROR(COUNTIFS('09_Attrition_Tracker'!$I:$I,"Involuntary",'09_Attrition_Tracker'!$G:$G,"&gt;="&amp;$B$6,'09_Attrition_Tracker'!$G:$G,"&lt;="&amp;$B$7)/$B$11,0)</f>
        <v>5.9405940594059403E-2</v>
      </c>
      <c r="C24" s="103" t="s">
        <v>2725</v>
      </c>
    </row>
    <row r="25" spans="1:18">
      <c r="A25" s="100" t="s">
        <v>2726</v>
      </c>
      <c r="B25" s="256">
        <f>IFERROR(COUNTIFS('09_Attrition_Tracker'!$L:$L,"Yes",'09_Attrition_Tracker'!$G:$G,"&gt;="&amp;$B$6,'09_Attrition_Tracker'!$G:$G,"&lt;="&amp;$B$7)/$B$11,0)</f>
        <v>6.9306930693069313E-2</v>
      </c>
      <c r="C25" s="103" t="s">
        <v>2727</v>
      </c>
    </row>
    <row r="26" spans="1:18">
      <c r="A26" s="100" t="s">
        <v>2728</v>
      </c>
      <c r="B26" s="256">
        <f>IFERROR(AVERAGE('08_Onboarding_Tracker'!$O:$O),0)</f>
        <v>0.95411392405063289</v>
      </c>
      <c r="C26" s="103" t="s">
        <v>2729</v>
      </c>
    </row>
    <row r="27" spans="1:18">
      <c r="A27" s="100" t="s">
        <v>2730</v>
      </c>
      <c r="B27" s="256">
        <f ca="1">IFERROR(COUNTIF('08_Onboarding_Tracker'!$R:$R,"Yes")/(COUNTIF('08_Onboarding_Tracker'!$R:$R,"Yes")+COUNTIF('08_Onboarding_Tracker'!$R:$R,"No")),0)</f>
        <v>0.94805194805194803</v>
      </c>
      <c r="C27" s="103" t="s">
        <v>2731</v>
      </c>
    </row>
    <row r="28" spans="1:18">
      <c r="A28" s="100" t="s">
        <v>2732</v>
      </c>
      <c r="B28" s="257">
        <f>IFERROR(SUM('10_Productivity_Inputs'!$F:$F)/SUM('10_Productivity_Inputs'!$D:$D),0)</f>
        <v>72.160862354892203</v>
      </c>
      <c r="C28" s="103" t="s">
        <v>2733</v>
      </c>
    </row>
    <row r="29" spans="1:18">
      <c r="A29" s="100" t="s">
        <v>2734</v>
      </c>
      <c r="B29" s="257">
        <f>IFERROR(SUM('10_Productivity_Inputs'!$E:$E)/SUM('10_Productivity_Inputs'!$D:$D),0)</f>
        <v>82.670812603648429</v>
      </c>
      <c r="C29" s="103" t="s">
        <v>2735</v>
      </c>
    </row>
    <row r="30" spans="1:18">
      <c r="A30" s="104" t="s">
        <v>2736</v>
      </c>
      <c r="B30" s="259">
        <f ca="1">IFERROR(AVERAGE($Q$11:$Q$20),0)</f>
        <v>21.169999999999998</v>
      </c>
      <c r="C30" s="107" t="s">
        <v>2737</v>
      </c>
    </row>
    <row r="32" spans="1:18" ht="31">
      <c r="A32" s="163" t="s">
        <v>3040</v>
      </c>
      <c r="F32" s="163" t="s">
        <v>3041</v>
      </c>
    </row>
    <row r="33" spans="1:11" ht="16">
      <c r="A33" s="98" t="s">
        <v>2738</v>
      </c>
      <c r="B33" s="99" t="s">
        <v>2739</v>
      </c>
      <c r="C33" s="99" t="s">
        <v>3014</v>
      </c>
      <c r="D33" s="109" t="s">
        <v>2680</v>
      </c>
      <c r="F33" s="98" t="s">
        <v>2740</v>
      </c>
      <c r="G33" s="99" t="s">
        <v>2741</v>
      </c>
      <c r="H33" s="99" t="s">
        <v>2692</v>
      </c>
      <c r="I33" s="99" t="s">
        <v>2701</v>
      </c>
      <c r="J33" s="99" t="s">
        <v>2742</v>
      </c>
      <c r="K33" s="109" t="s">
        <v>2743</v>
      </c>
    </row>
    <row r="34" spans="1:11">
      <c r="A34" s="100" t="s">
        <v>372</v>
      </c>
      <c r="B34" s="83">
        <f>COUNTIF('06_Recruitment_Pipeline'!$G:$G,$A34)</f>
        <v>41</v>
      </c>
      <c r="C34" s="247">
        <f t="shared" ref="C34:C39" si="4">IFERROR(B34/SUM($B$34:$B$39),0)</f>
        <v>0.11581920903954802</v>
      </c>
      <c r="D34" s="103" t="s">
        <v>3015</v>
      </c>
      <c r="F34" s="260">
        <v>45778</v>
      </c>
      <c r="G34" s="83">
        <f>COUNTIFS('06_Recruitment_Pipeline'!$M:$M,"&gt;="&amp;$F34,'06_Recruitment_Pipeline'!$M:$M,"&lt;"&amp;EDATE($F34,1),'06_Recruitment_Pipeline'!$G:$G,"Hired")</f>
        <v>4</v>
      </c>
      <c r="H34" s="83">
        <f>COUNTIFS('09_Attrition_Tracker'!$G:$G,"&gt;="&amp;$F34,'09_Attrition_Tracker'!$G:$G,"&lt;"&amp;EDATE($F34,1))</f>
        <v>3</v>
      </c>
      <c r="I34" s="83">
        <f>SUMIF('11_Headcount_Snapshot'!$B:$B,$F34,'11_Headcount_Snapshot'!$E:$E)</f>
        <v>207</v>
      </c>
      <c r="J34" s="81">
        <f>SUMIF('10_Productivity_Inputs'!$B:$B,$F34,'10_Productivity_Inputs'!$F:$F)</f>
        <v>14857</v>
      </c>
      <c r="K34" s="261">
        <f>SUMIF('10_Productivity_Inputs'!$B:$B,$F34,'10_Productivity_Inputs'!$E:$E)</f>
        <v>16612</v>
      </c>
    </row>
    <row r="35" spans="1:11">
      <c r="A35" s="100" t="s">
        <v>382</v>
      </c>
      <c r="B35" s="83">
        <f>COUNTIF('06_Recruitment_Pipeline'!$G:$G,$A35)</f>
        <v>70</v>
      </c>
      <c r="C35" s="247">
        <f t="shared" si="4"/>
        <v>0.19774011299435029</v>
      </c>
      <c r="D35" s="103" t="s">
        <v>3015</v>
      </c>
      <c r="F35" s="260">
        <v>45809</v>
      </c>
      <c r="G35" s="83">
        <f>COUNTIFS('06_Recruitment_Pipeline'!$M:$M,"&gt;="&amp;$F35,'06_Recruitment_Pipeline'!$M:$M,"&lt;"&amp;EDATE($F35,1),'06_Recruitment_Pipeline'!$G:$G,"Hired")</f>
        <v>1</v>
      </c>
      <c r="H35" s="83">
        <f>COUNTIFS('09_Attrition_Tracker'!$G:$G,"&gt;="&amp;$F35,'09_Attrition_Tracker'!$G:$G,"&lt;"&amp;EDATE($F35,1))</f>
        <v>4</v>
      </c>
      <c r="I35" s="83">
        <f>SUMIF('11_Headcount_Snapshot'!$B:$B,$F35,'11_Headcount_Snapshot'!$E:$E)</f>
        <v>201</v>
      </c>
      <c r="J35" s="81">
        <f>SUMIF('10_Productivity_Inputs'!$B:$B,$F35,'10_Productivity_Inputs'!$F:$F)</f>
        <v>14845</v>
      </c>
      <c r="K35" s="261">
        <f>SUMIF('10_Productivity_Inputs'!$B:$B,$F35,'10_Productivity_Inputs'!$E:$E)</f>
        <v>17096</v>
      </c>
    </row>
    <row r="36" spans="1:11">
      <c r="A36" s="100" t="s">
        <v>393</v>
      </c>
      <c r="B36" s="83">
        <f>COUNTIF('06_Recruitment_Pipeline'!$G:$G,$A36)</f>
        <v>79</v>
      </c>
      <c r="C36" s="247">
        <f t="shared" si="4"/>
        <v>0.2231638418079096</v>
      </c>
      <c r="D36" s="103" t="s">
        <v>3015</v>
      </c>
      <c r="F36" s="260">
        <v>45839</v>
      </c>
      <c r="G36" s="83">
        <f>COUNTIFS('06_Recruitment_Pipeline'!$M:$M,"&gt;="&amp;$F36,'06_Recruitment_Pipeline'!$M:$M,"&lt;"&amp;EDATE($F36,1),'06_Recruitment_Pipeline'!$G:$G,"Hired")</f>
        <v>6</v>
      </c>
      <c r="H36" s="83">
        <f>COUNTIFS('09_Attrition_Tracker'!$G:$G,"&gt;="&amp;$F36,'09_Attrition_Tracker'!$G:$G,"&lt;"&amp;EDATE($F36,1))</f>
        <v>2</v>
      </c>
      <c r="I36" s="83">
        <f>SUMIF('11_Headcount_Snapshot'!$B:$B,$F36,'11_Headcount_Snapshot'!$E:$E)</f>
        <v>205</v>
      </c>
      <c r="J36" s="81">
        <f>SUMIF('10_Productivity_Inputs'!$B:$B,$F36,'10_Productivity_Inputs'!$F:$F)</f>
        <v>17132</v>
      </c>
      <c r="K36" s="261">
        <f>SUMIF('10_Productivity_Inputs'!$B:$B,$F36,'10_Productivity_Inputs'!$E:$E)</f>
        <v>19404</v>
      </c>
    </row>
    <row r="37" spans="1:11">
      <c r="A37" s="100" t="s">
        <v>401</v>
      </c>
      <c r="B37" s="83">
        <f>COUNTIF('06_Recruitment_Pipeline'!$G:$G,$A37)</f>
        <v>47</v>
      </c>
      <c r="C37" s="247">
        <f t="shared" si="4"/>
        <v>0.1327683615819209</v>
      </c>
      <c r="D37" s="103" t="s">
        <v>3015</v>
      </c>
      <c r="F37" s="260">
        <v>45870</v>
      </c>
      <c r="G37" s="83">
        <f>COUNTIFS('06_Recruitment_Pipeline'!$M:$M,"&gt;="&amp;$F37,'06_Recruitment_Pipeline'!$M:$M,"&lt;"&amp;EDATE($F37,1),'06_Recruitment_Pipeline'!$G:$G,"Hired")</f>
        <v>2</v>
      </c>
      <c r="H37" s="83">
        <f>COUNTIFS('09_Attrition_Tracker'!$G:$G,"&gt;="&amp;$F37,'09_Attrition_Tracker'!$G:$G,"&lt;"&amp;EDATE($F37,1))</f>
        <v>4</v>
      </c>
      <c r="I37" s="83">
        <f>SUMIF('11_Headcount_Snapshot'!$B:$B,$F37,'11_Headcount_Snapshot'!$E:$E)</f>
        <v>199</v>
      </c>
      <c r="J37" s="81">
        <f>SUMIF('10_Productivity_Inputs'!$B:$B,$F37,'10_Productivity_Inputs'!$F:$F)</f>
        <v>15980</v>
      </c>
      <c r="K37" s="261">
        <f>SUMIF('10_Productivity_Inputs'!$B:$B,$F37,'10_Productivity_Inputs'!$E:$E)</f>
        <v>17779</v>
      </c>
    </row>
    <row r="38" spans="1:11">
      <c r="A38" s="100" t="s">
        <v>409</v>
      </c>
      <c r="B38" s="83">
        <f>COUNTIF('06_Recruitment_Pipeline'!$G:$G,$A38)</f>
        <v>29</v>
      </c>
      <c r="C38" s="247">
        <f t="shared" si="4"/>
        <v>8.1920903954802254E-2</v>
      </c>
      <c r="D38" s="103" t="s">
        <v>3015</v>
      </c>
      <c r="F38" s="260">
        <v>45901</v>
      </c>
      <c r="G38" s="83">
        <f>COUNTIFS('06_Recruitment_Pipeline'!$M:$M,"&gt;="&amp;$F38,'06_Recruitment_Pipeline'!$M:$M,"&lt;"&amp;EDATE($F38,1),'06_Recruitment_Pipeline'!$G:$G,"Hired")</f>
        <v>5</v>
      </c>
      <c r="H38" s="83">
        <f>COUNTIFS('09_Attrition_Tracker'!$G:$G,"&gt;="&amp;$F38,'09_Attrition_Tracker'!$G:$G,"&lt;"&amp;EDATE($F38,1))</f>
        <v>5</v>
      </c>
      <c r="I38" s="83">
        <f>SUMIF('11_Headcount_Snapshot'!$B:$B,$F38,'11_Headcount_Snapshot'!$E:$E)</f>
        <v>195</v>
      </c>
      <c r="J38" s="81">
        <f>SUMIF('10_Productivity_Inputs'!$B:$B,$F38,'10_Productivity_Inputs'!$F:$F)</f>
        <v>13302</v>
      </c>
      <c r="K38" s="261">
        <f>SUMIF('10_Productivity_Inputs'!$B:$B,$F38,'10_Productivity_Inputs'!$E:$E)</f>
        <v>15535</v>
      </c>
    </row>
    <row r="39" spans="1:11">
      <c r="A39" s="104" t="s">
        <v>219</v>
      </c>
      <c r="B39" s="89">
        <f>COUNTIF('06_Recruitment_Pipeline'!$G:$G,$A39)</f>
        <v>88</v>
      </c>
      <c r="C39" s="249">
        <f t="shared" si="4"/>
        <v>0.24858757062146894</v>
      </c>
      <c r="D39" s="107" t="s">
        <v>3015</v>
      </c>
      <c r="F39" s="260">
        <v>45931</v>
      </c>
      <c r="G39" s="83">
        <f>COUNTIFS('06_Recruitment_Pipeline'!$M:$M,"&gt;="&amp;$F39,'06_Recruitment_Pipeline'!$M:$M,"&lt;"&amp;EDATE($F39,1),'06_Recruitment_Pipeline'!$G:$G,"Hired")</f>
        <v>8</v>
      </c>
      <c r="H39" s="83">
        <f>COUNTIFS('09_Attrition_Tracker'!$G:$G,"&gt;="&amp;$F39,'09_Attrition_Tracker'!$G:$G,"&lt;"&amp;EDATE($F39,1))</f>
        <v>5</v>
      </c>
      <c r="I39" s="83">
        <f>SUMIF('11_Headcount_Snapshot'!$B:$B,$F39,'11_Headcount_Snapshot'!$E:$E)</f>
        <v>195</v>
      </c>
      <c r="J39" s="81">
        <f>SUMIF('10_Productivity_Inputs'!$B:$B,$F39,'10_Productivity_Inputs'!$F:$F)</f>
        <v>12569</v>
      </c>
      <c r="K39" s="261">
        <f>SUMIF('10_Productivity_Inputs'!$B:$B,$F39,'10_Productivity_Inputs'!$E:$E)</f>
        <v>14639</v>
      </c>
    </row>
    <row r="40" spans="1:11">
      <c r="F40" s="260">
        <v>45962</v>
      </c>
      <c r="G40" s="83">
        <f>COUNTIFS('06_Recruitment_Pipeline'!$M:$M,"&gt;="&amp;$F40,'06_Recruitment_Pipeline'!$M:$M,"&lt;"&amp;EDATE($F40,1),'06_Recruitment_Pipeline'!$G:$G,"Hired")</f>
        <v>8</v>
      </c>
      <c r="H40" s="83">
        <f>COUNTIFS('09_Attrition_Tracker'!$G:$G,"&gt;="&amp;$F40,'09_Attrition_Tracker'!$G:$G,"&lt;"&amp;EDATE($F40,1))</f>
        <v>2</v>
      </c>
      <c r="I40" s="83">
        <f>SUMIF('11_Headcount_Snapshot'!$B:$B,$F40,'11_Headcount_Snapshot'!$E:$E)</f>
        <v>205</v>
      </c>
      <c r="J40" s="81">
        <f>SUMIF('10_Productivity_Inputs'!$B:$B,$F40,'10_Productivity_Inputs'!$F:$F)</f>
        <v>15672</v>
      </c>
      <c r="K40" s="261">
        <f>SUMIF('10_Productivity_Inputs'!$B:$B,$F40,'10_Productivity_Inputs'!$E:$E)</f>
        <v>18538</v>
      </c>
    </row>
    <row r="41" spans="1:11" ht="31">
      <c r="A41" s="163" t="s">
        <v>3042</v>
      </c>
      <c r="F41" s="260">
        <v>45992</v>
      </c>
      <c r="G41" s="83">
        <f>COUNTIFS('06_Recruitment_Pipeline'!$M:$M,"&gt;="&amp;$F41,'06_Recruitment_Pipeline'!$M:$M,"&lt;"&amp;EDATE($F41,1),'06_Recruitment_Pipeline'!$G:$G,"Hired")</f>
        <v>4</v>
      </c>
      <c r="H41" s="83">
        <f>COUNTIFS('09_Attrition_Tracker'!$G:$G,"&gt;="&amp;$F41,'09_Attrition_Tracker'!$G:$G,"&lt;"&amp;EDATE($F41,1))</f>
        <v>0</v>
      </c>
      <c r="I41" s="83">
        <f>SUMIF('11_Headcount_Snapshot'!$B:$B,$F41,'11_Headcount_Snapshot'!$E:$E)</f>
        <v>208</v>
      </c>
      <c r="J41" s="81">
        <f>SUMIF('10_Productivity_Inputs'!$B:$B,$F41,'10_Productivity_Inputs'!$F:$F)</f>
        <v>16147</v>
      </c>
      <c r="K41" s="261">
        <f>SUMIF('10_Productivity_Inputs'!$B:$B,$F41,'10_Productivity_Inputs'!$E:$E)</f>
        <v>17656</v>
      </c>
    </row>
    <row r="42" spans="1:11" ht="16">
      <c r="A42" s="98" t="s">
        <v>3021</v>
      </c>
      <c r="B42" s="99" t="s">
        <v>2679</v>
      </c>
      <c r="C42" s="109" t="s">
        <v>2686</v>
      </c>
      <c r="F42" s="260">
        <v>46023</v>
      </c>
      <c r="G42" s="83">
        <f>COUNTIFS('06_Recruitment_Pipeline'!$M:$M,"&gt;="&amp;$F42,'06_Recruitment_Pipeline'!$M:$M,"&lt;"&amp;EDATE($F42,1),'06_Recruitment_Pipeline'!$G:$G,"Hired")</f>
        <v>6</v>
      </c>
      <c r="H42" s="83">
        <f>COUNTIFS('09_Attrition_Tracker'!$G:$G,"&gt;="&amp;$F42,'09_Attrition_Tracker'!$G:$G,"&lt;"&amp;EDATE($F42,1))</f>
        <v>5</v>
      </c>
      <c r="I42" s="83">
        <f>SUMIF('11_Headcount_Snapshot'!$B:$B,$F42,'11_Headcount_Snapshot'!$E:$E)</f>
        <v>199</v>
      </c>
      <c r="J42" s="81">
        <f>SUMIF('10_Productivity_Inputs'!$B:$B,$F42,'10_Productivity_Inputs'!$F:$F)</f>
        <v>13789</v>
      </c>
      <c r="K42" s="261">
        <f>SUMIF('10_Productivity_Inputs'!$B:$B,$F42,'10_Productivity_Inputs'!$E:$E)</f>
        <v>16156</v>
      </c>
    </row>
    <row r="43" spans="1:11">
      <c r="A43" s="100" t="s">
        <v>2707</v>
      </c>
      <c r="B43" s="83">
        <f>$B$15</f>
        <v>31</v>
      </c>
      <c r="C43" s="103" t="s">
        <v>2708</v>
      </c>
      <c r="F43" s="260">
        <v>46054</v>
      </c>
      <c r="G43" s="83">
        <f>COUNTIFS('06_Recruitment_Pipeline'!$M:$M,"&gt;="&amp;$F43,'06_Recruitment_Pipeline'!$M:$M,"&lt;"&amp;EDATE($F43,1),'06_Recruitment_Pipeline'!$G:$G,"Hired")</f>
        <v>10</v>
      </c>
      <c r="H43" s="83">
        <f>COUNTIFS('09_Attrition_Tracker'!$G:$G,"&gt;="&amp;$F43,'09_Attrition_Tracker'!$G:$G,"&lt;"&amp;EDATE($F43,1))</f>
        <v>1</v>
      </c>
      <c r="I43" s="83">
        <f>SUMIF('11_Headcount_Snapshot'!$B:$B,$F43,'11_Headcount_Snapshot'!$E:$E)</f>
        <v>202</v>
      </c>
      <c r="J43" s="81">
        <f>SUMIF('10_Productivity_Inputs'!$B:$B,$F43,'10_Productivity_Inputs'!$F:$F)</f>
        <v>12998</v>
      </c>
      <c r="K43" s="261">
        <f>SUMIF('10_Productivity_Inputs'!$B:$B,$F43,'10_Productivity_Inputs'!$E:$E)</f>
        <v>15098</v>
      </c>
    </row>
    <row r="44" spans="1:11">
      <c r="A44" s="100" t="s">
        <v>3022</v>
      </c>
      <c r="B44" s="83">
        <f>COUNTIFS('05_Requisitions_MRF'!$K:$K,"Open",'05_Requisitions_MRF'!$V:$V,"Delayed")</f>
        <v>12</v>
      </c>
      <c r="C44" s="103" t="s">
        <v>3023</v>
      </c>
      <c r="F44" s="260">
        <v>46082</v>
      </c>
      <c r="G44" s="83">
        <f>COUNTIFS('06_Recruitment_Pipeline'!$M:$M,"&gt;="&amp;$F44,'06_Recruitment_Pipeline'!$M:$M,"&lt;"&amp;EDATE($F44,1),'06_Recruitment_Pipeline'!$G:$G,"Hired")</f>
        <v>9</v>
      </c>
      <c r="H44" s="83">
        <f>COUNTIFS('09_Attrition_Tracker'!$G:$G,"&gt;="&amp;$F44,'09_Attrition_Tracker'!$G:$G,"&lt;"&amp;EDATE($F44,1))</f>
        <v>2</v>
      </c>
      <c r="I44" s="83">
        <f>SUMIF('11_Headcount_Snapshot'!$B:$B,$F44,'11_Headcount_Snapshot'!$E:$E)</f>
        <v>197</v>
      </c>
      <c r="J44" s="81">
        <f>SUMIF('10_Productivity_Inputs'!$B:$B,$F44,'10_Productivity_Inputs'!$F:$F)</f>
        <v>13406</v>
      </c>
      <c r="K44" s="261">
        <f>SUMIF('10_Productivity_Inputs'!$B:$B,$F44,'10_Productivity_Inputs'!$E:$E)</f>
        <v>15376</v>
      </c>
    </row>
    <row r="45" spans="1:11">
      <c r="A45" s="100" t="s">
        <v>3024</v>
      </c>
      <c r="B45" s="83">
        <f>COUNTIFS('05_Requisitions_MRF'!$K:$K,"Open",'05_Requisitions_MRF'!$V:$V,"At Risk")</f>
        <v>7</v>
      </c>
      <c r="C45" s="103" t="s">
        <v>3025</v>
      </c>
      <c r="F45" s="262">
        <v>46113</v>
      </c>
      <c r="G45" s="89">
        <f>COUNTIFS('06_Recruitment_Pipeline'!$M:$M,"&gt;="&amp;$F45,'06_Recruitment_Pipeline'!$M:$M,"&lt;"&amp;EDATE($F45,1),'06_Recruitment_Pipeline'!$G:$G,"Hired")</f>
        <v>9</v>
      </c>
      <c r="H45" s="89">
        <f>COUNTIFS('09_Attrition_Tracker'!$G:$G,"&gt;="&amp;$F45,'09_Attrition_Tracker'!$G:$G,"&lt;"&amp;EDATE($F45,1))</f>
        <v>2</v>
      </c>
      <c r="I45" s="89">
        <f>SUMIF('11_Headcount_Snapshot'!$B:$B,$F45,'11_Headcount_Snapshot'!$E:$E)</f>
        <v>199</v>
      </c>
      <c r="J45" s="87">
        <f>SUMIF('10_Productivity_Inputs'!$B:$B,$F45,'10_Productivity_Inputs'!$F:$F)</f>
        <v>13355</v>
      </c>
      <c r="K45" s="263">
        <f>SUMIF('10_Productivity_Inputs'!$B:$B,$F45,'10_Productivity_Inputs'!$E:$E)</f>
        <v>15513</v>
      </c>
    </row>
    <row r="46" spans="1:11">
      <c r="A46" s="104" t="s">
        <v>3026</v>
      </c>
      <c r="B46" s="89">
        <f>COUNTIFS('05_Requisitions_MRF'!$K:$K,"Open",'05_Requisitions_MRF'!$V:$V,"On Track")</f>
        <v>12</v>
      </c>
      <c r="C46" s="107" t="s">
        <v>3027</v>
      </c>
    </row>
    <row r="49" spans="3:3">
      <c r="C49" s="264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"/>
  <sheetViews>
    <sheetView showGridLines="0" showRowColHeaders="0" zoomScaleNormal="85" workbookViewId="0">
      <selection activeCell="C10" sqref="A1:XFD1048576"/>
    </sheetView>
  </sheetViews>
  <sheetFormatPr baseColWidth="10" defaultColWidth="8.83203125" defaultRowHeight="15"/>
  <cols>
    <col min="1" max="1" width="24" style="91" customWidth="1"/>
    <col min="2" max="2" width="16" style="91" customWidth="1"/>
    <col min="3" max="3" width="40" style="91" customWidth="1"/>
    <col min="4" max="4" width="16.33203125" style="91" customWidth="1"/>
    <col min="5" max="5" width="24" style="91" customWidth="1"/>
    <col min="6" max="6" width="15.6640625" style="91" customWidth="1"/>
    <col min="7" max="7" width="14" style="91" customWidth="1"/>
    <col min="8" max="8" width="15" style="91" customWidth="1"/>
    <col min="9" max="9" width="14" style="91" customWidth="1"/>
    <col min="10" max="10" width="17.33203125" style="91" customWidth="1"/>
    <col min="11" max="11" width="21" style="91" customWidth="1"/>
    <col min="12" max="12" width="18.33203125" style="91" customWidth="1"/>
    <col min="13" max="13" width="22" style="91" customWidth="1"/>
    <col min="14" max="14" width="20.83203125" style="91" customWidth="1"/>
    <col min="15" max="15" width="22" style="91" customWidth="1"/>
    <col min="16" max="16" width="28" style="91" customWidth="1"/>
    <col min="17" max="17" width="20" style="91" customWidth="1"/>
    <col min="18" max="18" width="13.6640625" style="91" customWidth="1"/>
    <col min="19" max="16384" width="8.83203125" style="91"/>
  </cols>
  <sheetData>
    <row r="1" spans="1:20" ht="44">
      <c r="A1" s="53" t="s">
        <v>2744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116"/>
      <c r="T1" s="166"/>
    </row>
    <row r="2" spans="1:20" ht="25">
      <c r="A2" s="68" t="s">
        <v>2745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167"/>
    </row>
    <row r="4" spans="1:20" ht="31">
      <c r="A4" s="163" t="s">
        <v>3044</v>
      </c>
      <c r="E4" s="163" t="s">
        <v>3039</v>
      </c>
    </row>
    <row r="5" spans="1:20" ht="16">
      <c r="A5" s="162" t="s">
        <v>2685</v>
      </c>
      <c r="B5" s="162" t="s">
        <v>2679</v>
      </c>
      <c r="C5" s="162" t="s">
        <v>2746</v>
      </c>
      <c r="E5" s="162" t="s">
        <v>2687</v>
      </c>
      <c r="F5" s="162" t="s">
        <v>2688</v>
      </c>
      <c r="G5" s="162" t="s">
        <v>2689</v>
      </c>
      <c r="H5" s="162" t="s">
        <v>2690</v>
      </c>
      <c r="I5" s="162" t="s">
        <v>2691</v>
      </c>
      <c r="J5" s="162" t="s">
        <v>2692</v>
      </c>
      <c r="K5" s="162" t="s">
        <v>2693</v>
      </c>
      <c r="L5" s="162" t="s">
        <v>2694</v>
      </c>
      <c r="M5" s="162" t="s">
        <v>2695</v>
      </c>
      <c r="N5" s="162" t="s">
        <v>2696</v>
      </c>
      <c r="O5" s="162" t="s">
        <v>2697</v>
      </c>
      <c r="P5" s="162" t="s">
        <v>2698</v>
      </c>
      <c r="Q5" s="162" t="s">
        <v>2699</v>
      </c>
      <c r="R5" s="162" t="s">
        <v>2700</v>
      </c>
    </row>
    <row r="6" spans="1:20">
      <c r="A6" s="91" t="s">
        <v>2701</v>
      </c>
      <c r="B6" s="91">
        <f>'12_Calculation_Layer'!B11</f>
        <v>202</v>
      </c>
      <c r="C6" s="91" t="s">
        <v>2747</v>
      </c>
      <c r="E6" s="91" t="str">
        <f>'12_Calculation_Layer'!E11</f>
        <v>Branch Operations</v>
      </c>
      <c r="F6" s="170">
        <f>'12_Calculation_Layer'!F11</f>
        <v>25</v>
      </c>
      <c r="G6" s="170">
        <f>'12_Calculation_Layer'!G11</f>
        <v>25</v>
      </c>
      <c r="H6" s="170">
        <f>'12_Calculation_Layer'!H11</f>
        <v>0</v>
      </c>
      <c r="I6" s="177">
        <f>'12_Calculation_Layer'!I11</f>
        <v>0</v>
      </c>
      <c r="J6" s="170">
        <f>'12_Calculation_Layer'!J11</f>
        <v>2</v>
      </c>
      <c r="K6" s="177">
        <f>'12_Calculation_Layer'!K11</f>
        <v>0.08</v>
      </c>
      <c r="L6" s="177">
        <f>'12_Calculation_Layer'!L11</f>
        <v>0</v>
      </c>
      <c r="M6" s="170">
        <f>'12_Calculation_Layer'!M11</f>
        <v>1</v>
      </c>
      <c r="N6" s="170">
        <f ca="1">'12_Calculation_Layer'!N11</f>
        <v>0</v>
      </c>
      <c r="O6" s="177">
        <f>'12_Calculation_Layer'!O11</f>
        <v>0.96875</v>
      </c>
      <c r="P6" s="176">
        <f>'12_Calculation_Layer'!P11</f>
        <v>71.629870129870127</v>
      </c>
      <c r="Q6" s="170">
        <f ca="1">'12_Calculation_Layer'!Q11</f>
        <v>2.2999999999999998</v>
      </c>
      <c r="R6" s="170" t="str">
        <f ca="1">'12_Calculation_Layer'!R11</f>
        <v>Low Risk</v>
      </c>
    </row>
    <row r="7" spans="1:20">
      <c r="A7" s="91" t="s">
        <v>2703</v>
      </c>
      <c r="B7" s="91">
        <f>'12_Calculation_Layer'!B12</f>
        <v>293</v>
      </c>
      <c r="C7" s="91" t="s">
        <v>2747</v>
      </c>
      <c r="E7" s="91" t="str">
        <f>'12_Calculation_Layer'!E12</f>
        <v>Credit Evaluation</v>
      </c>
      <c r="F7" s="170">
        <f>'12_Calculation_Layer'!F12</f>
        <v>17</v>
      </c>
      <c r="G7" s="170">
        <f>'12_Calculation_Layer'!G12</f>
        <v>33</v>
      </c>
      <c r="H7" s="170">
        <f>'12_Calculation_Layer'!H12</f>
        <v>16</v>
      </c>
      <c r="I7" s="177">
        <f>'12_Calculation_Layer'!I12</f>
        <v>0.48484848484848486</v>
      </c>
      <c r="J7" s="170">
        <f>'12_Calculation_Layer'!J12</f>
        <v>3</v>
      </c>
      <c r="K7" s="177">
        <f>'12_Calculation_Layer'!K12</f>
        <v>0.17647058823529413</v>
      </c>
      <c r="L7" s="177">
        <f>'12_Calculation_Layer'!L12</f>
        <v>0</v>
      </c>
      <c r="M7" s="170">
        <f>'12_Calculation_Layer'!M12</f>
        <v>5</v>
      </c>
      <c r="N7" s="170">
        <f ca="1">'12_Calculation_Layer'!N12</f>
        <v>1</v>
      </c>
      <c r="O7" s="177">
        <f>'12_Calculation_Layer'!O12</f>
        <v>0.93055555555555558</v>
      </c>
      <c r="P7" s="176">
        <f>'12_Calculation_Layer'!P12</f>
        <v>86.390862944162436</v>
      </c>
      <c r="Q7" s="170">
        <f ca="1">'12_Calculation_Layer'!Q12</f>
        <v>25.7</v>
      </c>
      <c r="R7" s="170" t="str">
        <f ca="1">'12_Calculation_Layer'!R12</f>
        <v>Moderate Risk</v>
      </c>
    </row>
    <row r="8" spans="1:20">
      <c r="A8" s="91" t="s">
        <v>2690</v>
      </c>
      <c r="B8" s="91">
        <f>'12_Calculation_Layer'!B13</f>
        <v>91</v>
      </c>
      <c r="C8" s="91" t="s">
        <v>2747</v>
      </c>
      <c r="E8" s="91" t="str">
        <f>'12_Calculation_Layer'!E13</f>
        <v>Loan Processing</v>
      </c>
      <c r="F8" s="170">
        <f>'12_Calculation_Layer'!F13</f>
        <v>18</v>
      </c>
      <c r="G8" s="170">
        <f>'12_Calculation_Layer'!G13</f>
        <v>38</v>
      </c>
      <c r="H8" s="170">
        <f>'12_Calculation_Layer'!H13</f>
        <v>20</v>
      </c>
      <c r="I8" s="177">
        <f>'12_Calculation_Layer'!I13</f>
        <v>0.52631578947368418</v>
      </c>
      <c r="J8" s="170">
        <f>'12_Calculation_Layer'!J13</f>
        <v>8</v>
      </c>
      <c r="K8" s="177">
        <f>'12_Calculation_Layer'!K13</f>
        <v>0.44444444444444442</v>
      </c>
      <c r="L8" s="177">
        <f>'12_Calculation_Layer'!L13</f>
        <v>0.22222222222222221</v>
      </c>
      <c r="M8" s="170">
        <f>'12_Calculation_Layer'!M13</f>
        <v>4</v>
      </c>
      <c r="N8" s="170">
        <f ca="1">'12_Calculation_Layer'!N13</f>
        <v>2</v>
      </c>
      <c r="O8" s="177">
        <f>'12_Calculation_Layer'!O13</f>
        <v>0.82499999999999996</v>
      </c>
      <c r="P8" s="176">
        <f>'12_Calculation_Layer'!P13</f>
        <v>91.473684210526315</v>
      </c>
      <c r="Q8" s="170">
        <f ca="1">'12_Calculation_Layer'!Q13</f>
        <v>43.6</v>
      </c>
      <c r="R8" s="170" t="str">
        <f ca="1">'12_Calculation_Layer'!R13</f>
        <v>Moderate Risk</v>
      </c>
    </row>
    <row r="9" spans="1:20">
      <c r="A9" s="91" t="s">
        <v>2691</v>
      </c>
      <c r="B9" s="168">
        <f>'12_Calculation_Layer'!B14</f>
        <v>0.31058020477815701</v>
      </c>
      <c r="C9" s="91" t="s">
        <v>2747</v>
      </c>
      <c r="E9" s="91" t="str">
        <f>'12_Calculation_Layer'!E14</f>
        <v>Collections</v>
      </c>
      <c r="F9" s="170">
        <f>'12_Calculation_Layer'!F14</f>
        <v>15</v>
      </c>
      <c r="G9" s="170">
        <f>'12_Calculation_Layer'!G14</f>
        <v>39</v>
      </c>
      <c r="H9" s="170">
        <f>'12_Calculation_Layer'!H14</f>
        <v>24</v>
      </c>
      <c r="I9" s="177">
        <f>'12_Calculation_Layer'!I14</f>
        <v>0.61538461538461542</v>
      </c>
      <c r="J9" s="170">
        <f>'12_Calculation_Layer'!J14</f>
        <v>4</v>
      </c>
      <c r="K9" s="177">
        <f>'12_Calculation_Layer'!K14</f>
        <v>0.26666666666666666</v>
      </c>
      <c r="L9" s="177">
        <f>'12_Calculation_Layer'!L14</f>
        <v>0.2</v>
      </c>
      <c r="M9" s="170">
        <f>'12_Calculation_Layer'!M14</f>
        <v>2</v>
      </c>
      <c r="N9" s="170">
        <f ca="1">'12_Calculation_Layer'!N14</f>
        <v>1</v>
      </c>
      <c r="O9" s="177">
        <f>'12_Calculation_Layer'!O14</f>
        <v>0.90625</v>
      </c>
      <c r="P9" s="176">
        <f>'12_Calculation_Layer'!P14</f>
        <v>93.237569060773481</v>
      </c>
      <c r="Q9" s="170">
        <f ca="1">'12_Calculation_Layer'!Q14</f>
        <v>41.5</v>
      </c>
      <c r="R9" s="170" t="str">
        <f ca="1">'12_Calculation_Layer'!R14</f>
        <v>Moderate Risk</v>
      </c>
    </row>
    <row r="10" spans="1:20">
      <c r="A10" s="91" t="s">
        <v>2707</v>
      </c>
      <c r="B10" s="91">
        <f>'12_Calculation_Layer'!B15</f>
        <v>31</v>
      </c>
      <c r="C10" s="91" t="s">
        <v>2747</v>
      </c>
      <c r="E10" s="91" t="str">
        <f>'12_Calculation_Layer'!E15</f>
        <v>Sales &amp; Marketing</v>
      </c>
      <c r="F10" s="170">
        <f>'12_Calculation_Layer'!F15</f>
        <v>22</v>
      </c>
      <c r="G10" s="170">
        <f>'12_Calculation_Layer'!G15</f>
        <v>23</v>
      </c>
      <c r="H10" s="170">
        <f>'12_Calculation_Layer'!H15</f>
        <v>1</v>
      </c>
      <c r="I10" s="177">
        <f>'12_Calculation_Layer'!I15</f>
        <v>4.3478260869565216E-2</v>
      </c>
      <c r="J10" s="170">
        <f>'12_Calculation_Layer'!J15</f>
        <v>2</v>
      </c>
      <c r="K10" s="177">
        <f>'12_Calculation_Layer'!K15</f>
        <v>9.0909090909090912E-2</v>
      </c>
      <c r="L10" s="177">
        <f>'12_Calculation_Layer'!L15</f>
        <v>9.0909090909090912E-2</v>
      </c>
      <c r="M10" s="170">
        <f>'12_Calculation_Layer'!M15</f>
        <v>5</v>
      </c>
      <c r="N10" s="170">
        <f ca="1">'12_Calculation_Layer'!N15</f>
        <v>3</v>
      </c>
      <c r="O10" s="177">
        <f>'12_Calculation_Layer'!O15</f>
        <v>0.97916666666666663</v>
      </c>
      <c r="P10" s="176">
        <f>'12_Calculation_Layer'!P15</f>
        <v>81.222627737226276</v>
      </c>
      <c r="Q10" s="170">
        <f ca="1">'12_Calculation_Layer'!Q15</f>
        <v>12.1</v>
      </c>
      <c r="R10" s="170" t="str">
        <f ca="1">'12_Calculation_Layer'!R15</f>
        <v>Low Risk</v>
      </c>
    </row>
    <row r="11" spans="1:20">
      <c r="A11" s="91" t="s">
        <v>2709</v>
      </c>
      <c r="B11" s="175">
        <f>'12_Calculation_Layer'!B16</f>
        <v>56.210526315789473</v>
      </c>
      <c r="C11" s="91" t="s">
        <v>2747</v>
      </c>
      <c r="E11" s="91" t="str">
        <f>'12_Calculation_Layer'!E16</f>
        <v>Finance</v>
      </c>
      <c r="F11" s="170">
        <f>'12_Calculation_Layer'!F16</f>
        <v>23</v>
      </c>
      <c r="G11" s="170">
        <f>'12_Calculation_Layer'!G16</f>
        <v>27</v>
      </c>
      <c r="H11" s="170">
        <f>'12_Calculation_Layer'!H16</f>
        <v>4</v>
      </c>
      <c r="I11" s="177">
        <f>'12_Calculation_Layer'!I16</f>
        <v>0.14814814814814814</v>
      </c>
      <c r="J11" s="170">
        <f>'12_Calculation_Layer'!J16</f>
        <v>3</v>
      </c>
      <c r="K11" s="177">
        <f>'12_Calculation_Layer'!K16</f>
        <v>0.13043478260869565</v>
      </c>
      <c r="L11" s="177">
        <f>'12_Calculation_Layer'!L16</f>
        <v>4.3478260869565216E-2</v>
      </c>
      <c r="M11" s="170">
        <f>'12_Calculation_Layer'!M16</f>
        <v>3</v>
      </c>
      <c r="N11" s="170">
        <f ca="1">'12_Calculation_Layer'!N16</f>
        <v>2</v>
      </c>
      <c r="O11" s="177">
        <f>'12_Calculation_Layer'!O16</f>
        <v>0.9375</v>
      </c>
      <c r="P11" s="176">
        <f>'12_Calculation_Layer'!P16</f>
        <v>74.021505376344081</v>
      </c>
      <c r="Q11" s="170">
        <f ca="1">'12_Calculation_Layer'!Q16</f>
        <v>16.600000000000001</v>
      </c>
      <c r="R11" s="170" t="str">
        <f ca="1">'12_Calculation_Layer'!R16</f>
        <v>Low Risk</v>
      </c>
    </row>
    <row r="12" spans="1:20">
      <c r="A12" s="91" t="s">
        <v>2711</v>
      </c>
      <c r="B12" s="175">
        <f>'12_Calculation_Layer'!B17</f>
        <v>38.829545454545453</v>
      </c>
      <c r="C12" s="91" t="s">
        <v>2747</v>
      </c>
      <c r="E12" s="91" t="str">
        <f>'12_Calculation_Layer'!E17</f>
        <v>Human Resources</v>
      </c>
      <c r="F12" s="170">
        <f>'12_Calculation_Layer'!F17</f>
        <v>19</v>
      </c>
      <c r="G12" s="170">
        <f>'12_Calculation_Layer'!G17</f>
        <v>25</v>
      </c>
      <c r="H12" s="170">
        <f>'12_Calculation_Layer'!H17</f>
        <v>6</v>
      </c>
      <c r="I12" s="177">
        <f>'12_Calculation_Layer'!I17</f>
        <v>0.24</v>
      </c>
      <c r="J12" s="170">
        <f>'12_Calculation_Layer'!J17</f>
        <v>4</v>
      </c>
      <c r="K12" s="177">
        <f>'12_Calculation_Layer'!K17</f>
        <v>0.21052631578947367</v>
      </c>
      <c r="L12" s="177">
        <f>'12_Calculation_Layer'!L17</f>
        <v>0</v>
      </c>
      <c r="M12" s="170">
        <f>'12_Calculation_Layer'!M17</f>
        <v>4</v>
      </c>
      <c r="N12" s="170">
        <f ca="1">'12_Calculation_Layer'!N17</f>
        <v>1</v>
      </c>
      <c r="O12" s="177">
        <f>'12_Calculation_Layer'!O17</f>
        <v>0.96250000000000002</v>
      </c>
      <c r="P12" s="176">
        <f>'12_Calculation_Layer'!P17</f>
        <v>90.852017937219728</v>
      </c>
      <c r="Q12" s="170">
        <f ca="1">'12_Calculation_Layer'!Q17</f>
        <v>19.3</v>
      </c>
      <c r="R12" s="170" t="str">
        <f ca="1">'12_Calculation_Layer'!R17</f>
        <v>Low Risk</v>
      </c>
    </row>
    <row r="13" spans="1:20">
      <c r="A13" s="91" t="s">
        <v>2713</v>
      </c>
      <c r="B13" s="168">
        <f>'12_Calculation_Layer'!B18</f>
        <v>0.87128712871287128</v>
      </c>
      <c r="C13" s="91" t="s">
        <v>2747</v>
      </c>
      <c r="E13" s="91" t="str">
        <f>'12_Calculation_Layer'!E18</f>
        <v>Information Technology</v>
      </c>
      <c r="F13" s="170">
        <f>'12_Calculation_Layer'!F18</f>
        <v>21</v>
      </c>
      <c r="G13" s="170">
        <f>'12_Calculation_Layer'!G18</f>
        <v>29</v>
      </c>
      <c r="H13" s="170">
        <f>'12_Calculation_Layer'!H18</f>
        <v>8</v>
      </c>
      <c r="I13" s="177">
        <f>'12_Calculation_Layer'!I18</f>
        <v>0.27586206896551724</v>
      </c>
      <c r="J13" s="170">
        <f>'12_Calculation_Layer'!J18</f>
        <v>3</v>
      </c>
      <c r="K13" s="177">
        <f>'12_Calculation_Layer'!K18</f>
        <v>0.14285714285714285</v>
      </c>
      <c r="L13" s="177">
        <f>'12_Calculation_Layer'!L18</f>
        <v>9.5238095238095233E-2</v>
      </c>
      <c r="M13" s="170">
        <f>'12_Calculation_Layer'!M18</f>
        <v>5</v>
      </c>
      <c r="N13" s="170">
        <f ca="1">'12_Calculation_Layer'!N18</f>
        <v>1</v>
      </c>
      <c r="O13" s="177">
        <f>'12_Calculation_Layer'!O18</f>
        <v>1</v>
      </c>
      <c r="P13" s="176">
        <f>'12_Calculation_Layer'!P18</f>
        <v>90.913580246913583</v>
      </c>
      <c r="Q13" s="170">
        <f ca="1">'12_Calculation_Layer'!Q18</f>
        <v>19.899999999999999</v>
      </c>
      <c r="R13" s="170" t="str">
        <f ca="1">'12_Calculation_Layer'!R18</f>
        <v>Low Risk</v>
      </c>
    </row>
    <row r="14" spans="1:20">
      <c r="A14" s="91" t="s">
        <v>2715</v>
      </c>
      <c r="B14" s="179">
        <f>'12_Calculation_Layer'!B19</f>
        <v>1553679.6800000002</v>
      </c>
      <c r="C14" s="91" t="s">
        <v>2747</v>
      </c>
      <c r="E14" s="91" t="str">
        <f>'12_Calculation_Layer'!E19</f>
        <v>Compliance</v>
      </c>
      <c r="F14" s="170">
        <f>'12_Calculation_Layer'!F19</f>
        <v>21</v>
      </c>
      <c r="G14" s="170">
        <f>'12_Calculation_Layer'!G19</f>
        <v>27</v>
      </c>
      <c r="H14" s="170">
        <f>'12_Calculation_Layer'!H19</f>
        <v>6</v>
      </c>
      <c r="I14" s="177">
        <f>'12_Calculation_Layer'!I19</f>
        <v>0.22222222222222221</v>
      </c>
      <c r="J14" s="170">
        <f>'12_Calculation_Layer'!J19</f>
        <v>2</v>
      </c>
      <c r="K14" s="177">
        <f>'12_Calculation_Layer'!K19</f>
        <v>9.5238095238095233E-2</v>
      </c>
      <c r="L14" s="177">
        <f>'12_Calculation_Layer'!L19</f>
        <v>4.7619047619047616E-2</v>
      </c>
      <c r="M14" s="170">
        <f>'12_Calculation_Layer'!M19</f>
        <v>0</v>
      </c>
      <c r="N14" s="170">
        <f>'12_Calculation_Layer'!N19</f>
        <v>0</v>
      </c>
      <c r="O14" s="177">
        <f>'12_Calculation_Layer'!O19</f>
        <v>0.98750000000000004</v>
      </c>
      <c r="P14" s="176">
        <f>'12_Calculation_Layer'!P19</f>
        <v>83.306451612903231</v>
      </c>
      <c r="Q14" s="170">
        <f>'12_Calculation_Layer'!Q19</f>
        <v>12.1</v>
      </c>
      <c r="R14" s="170" t="str">
        <f>'12_Calculation_Layer'!R19</f>
        <v>Low Risk</v>
      </c>
    </row>
    <row r="15" spans="1:20">
      <c r="A15" s="91" t="s">
        <v>2717</v>
      </c>
      <c r="B15" s="179">
        <f>'12_Calculation_Layer'!B20</f>
        <v>17655.450909090912</v>
      </c>
      <c r="C15" s="91" t="s">
        <v>2747</v>
      </c>
      <c r="E15" s="91" t="str">
        <f>'12_Calculation_Layer'!E20</f>
        <v>Customer Service</v>
      </c>
      <c r="F15" s="170">
        <f>'12_Calculation_Layer'!F20</f>
        <v>21</v>
      </c>
      <c r="G15" s="170">
        <f>'12_Calculation_Layer'!G20</f>
        <v>27</v>
      </c>
      <c r="H15" s="170">
        <f>'12_Calculation_Layer'!H20</f>
        <v>6</v>
      </c>
      <c r="I15" s="177">
        <f>'12_Calculation_Layer'!I20</f>
        <v>0.22222222222222221</v>
      </c>
      <c r="J15" s="170">
        <f>'12_Calculation_Layer'!J20</f>
        <v>4</v>
      </c>
      <c r="K15" s="177">
        <f>'12_Calculation_Layer'!K20</f>
        <v>0.19047619047619047</v>
      </c>
      <c r="L15" s="177">
        <f>'12_Calculation_Layer'!L20</f>
        <v>4.7619047619047616E-2</v>
      </c>
      <c r="M15" s="170">
        <f>'12_Calculation_Layer'!M20</f>
        <v>2</v>
      </c>
      <c r="N15" s="170">
        <f ca="1">'12_Calculation_Layer'!N20</f>
        <v>1</v>
      </c>
      <c r="O15" s="177">
        <f>'12_Calculation_Layer'!O20</f>
        <v>0.984375</v>
      </c>
      <c r="P15" s="176">
        <f>'12_Calculation_Layer'!P20</f>
        <v>73.632000000000005</v>
      </c>
      <c r="Q15" s="170">
        <f ca="1">'12_Calculation_Layer'!Q20</f>
        <v>18.600000000000001</v>
      </c>
      <c r="R15" s="170" t="str">
        <f ca="1">'12_Calculation_Layer'!R20</f>
        <v>Low Risk</v>
      </c>
    </row>
    <row r="16" spans="1:20">
      <c r="A16" s="91" t="s">
        <v>2719</v>
      </c>
      <c r="B16" s="91">
        <f>'12_Calculation_Layer'!B21</f>
        <v>35</v>
      </c>
      <c r="C16" s="91" t="s">
        <v>2747</v>
      </c>
    </row>
    <row r="17" spans="1:13">
      <c r="A17" s="91" t="s">
        <v>2693</v>
      </c>
      <c r="B17" s="168">
        <f>'12_Calculation_Layer'!B22</f>
        <v>0.17326732673267325</v>
      </c>
      <c r="C17" s="91" t="s">
        <v>2747</v>
      </c>
    </row>
    <row r="18" spans="1:13">
      <c r="A18" s="91" t="s">
        <v>2722</v>
      </c>
      <c r="B18" s="168">
        <f>'12_Calculation_Layer'!B23</f>
        <v>0.11386138613861387</v>
      </c>
      <c r="C18" s="91" t="s">
        <v>2747</v>
      </c>
    </row>
    <row r="19" spans="1:13">
      <c r="B19" s="168"/>
    </row>
    <row r="20" spans="1:13" ht="31">
      <c r="A20" s="163" t="s">
        <v>3045</v>
      </c>
      <c r="B20" s="168"/>
      <c r="E20" s="163" t="s">
        <v>3046</v>
      </c>
      <c r="J20" s="163" t="s">
        <v>3047</v>
      </c>
    </row>
    <row r="21" spans="1:13" ht="16">
      <c r="A21" s="162" t="s">
        <v>2748</v>
      </c>
      <c r="B21" s="162" t="s">
        <v>2749</v>
      </c>
      <c r="C21" s="162" t="s">
        <v>2750</v>
      </c>
      <c r="E21" s="162" t="s">
        <v>2751</v>
      </c>
      <c r="F21" s="162" t="s">
        <v>2752</v>
      </c>
      <c r="G21" s="162" t="s">
        <v>2753</v>
      </c>
      <c r="H21" s="162" t="s">
        <v>2754</v>
      </c>
      <c r="J21" s="162" t="s">
        <v>2687</v>
      </c>
      <c r="K21" s="162" t="s">
        <v>2697</v>
      </c>
      <c r="L21" s="162" t="s">
        <v>2755</v>
      </c>
      <c r="M21" s="162" t="s">
        <v>2756</v>
      </c>
    </row>
    <row r="22" spans="1:13">
      <c r="A22" s="91" t="s">
        <v>376</v>
      </c>
      <c r="B22" s="176">
        <f>COUNTIF('09_Attrition_Tracker'!$J:$J,$A22)</f>
        <v>7</v>
      </c>
      <c r="C22" s="177">
        <f t="shared" ref="C22:C29" si="0">IFERROR($B22/SUM($B$22:$B$29),0)</f>
        <v>0.15217391304347827</v>
      </c>
      <c r="E22" s="91" t="s">
        <v>375</v>
      </c>
      <c r="F22" s="179">
        <f>SUMIF('07_Hiring_Costs'!$I:$I,$E22,'07_Hiring_Costs'!$F:$F)</f>
        <v>245957.07000000004</v>
      </c>
      <c r="G22" s="178">
        <f>COUNTIFS('06_Recruitment_Pipeline'!$E:$E,$E22,'06_Recruitment_Pipeline'!$G:$G,"Hired")</f>
        <v>10</v>
      </c>
      <c r="H22" s="179">
        <f t="shared" ref="H22:H28" si="1">IFERROR($F22/$G22,0)</f>
        <v>24595.707000000002</v>
      </c>
      <c r="J22" s="91" t="s">
        <v>152</v>
      </c>
      <c r="K22" s="177">
        <f>IFERROR(AVERAGEIF('08_Onboarding_Tracker'!$D:$D,$J22,'08_Onboarding_Tracker'!$O:$O),0)</f>
        <v>0.96875</v>
      </c>
      <c r="L22" s="170">
        <f>COUNTIFS('08_Onboarding_Tracker'!$D:$D,$J22,'08_Onboarding_Tracker'!$Q:$Q,"&gt;30",'08_Onboarding_Tracker'!$N:$N,"&lt;&gt;Complete")</f>
        <v>0</v>
      </c>
      <c r="M22" s="177">
        <f ca="1">IFERROR(COUNTIFS('08_Onboarding_Tracker'!$D:$D,$J22,'08_Onboarding_Tracker'!$R:$R,"Yes")/(COUNTIFS('08_Onboarding_Tracker'!$D:$D,$J22,'08_Onboarding_Tracker'!$R:$R,"Yes")+COUNTIFS('08_Onboarding_Tracker'!$D:$D,$J22,'08_Onboarding_Tracker'!$R:$R,"No")),0)</f>
        <v>1</v>
      </c>
    </row>
    <row r="23" spans="1:13">
      <c r="A23" s="91" t="s">
        <v>387</v>
      </c>
      <c r="B23" s="176">
        <f>COUNTIF('09_Attrition_Tracker'!$J:$J,$A23)</f>
        <v>7</v>
      </c>
      <c r="C23" s="177">
        <f t="shared" si="0"/>
        <v>0.15217391304347827</v>
      </c>
      <c r="E23" s="91" t="s">
        <v>384</v>
      </c>
      <c r="F23" s="179">
        <f>SUMIF('07_Hiring_Costs'!$I:$I,$E23,'07_Hiring_Costs'!$F:$F)</f>
        <v>213132.77999999997</v>
      </c>
      <c r="G23" s="178">
        <f>COUNTIFS('06_Recruitment_Pipeline'!$E:$E,$E23,'06_Recruitment_Pipeline'!$G:$G,"Hired")</f>
        <v>9</v>
      </c>
      <c r="H23" s="179">
        <f t="shared" si="1"/>
        <v>23681.42</v>
      </c>
      <c r="J23" s="91" t="s">
        <v>379</v>
      </c>
      <c r="K23" s="177">
        <f>IFERROR(AVERAGEIF('08_Onboarding_Tracker'!$D:$D,$J23,'08_Onboarding_Tracker'!$O:$O),0)</f>
        <v>0.93055555555555558</v>
      </c>
      <c r="L23" s="170">
        <f>COUNTIFS('08_Onboarding_Tracker'!$D:$D,$J23,'08_Onboarding_Tracker'!$Q:$Q,"&gt;30",'08_Onboarding_Tracker'!$N:$N,"&lt;&gt;Complete")</f>
        <v>0</v>
      </c>
      <c r="M23" s="177">
        <f ca="1">IFERROR(COUNTIFS('08_Onboarding_Tracker'!$D:$D,$J23,'08_Onboarding_Tracker'!$R:$R,"Yes")/(COUNTIFS('08_Onboarding_Tracker'!$D:$D,$J23,'08_Onboarding_Tracker'!$R:$R,"Yes")+COUNTIFS('08_Onboarding_Tracker'!$D:$D,$J23,'08_Onboarding_Tracker'!$R:$R,"No")),0)</f>
        <v>1</v>
      </c>
    </row>
    <row r="24" spans="1:13">
      <c r="A24" s="91" t="s">
        <v>396</v>
      </c>
      <c r="B24" s="176">
        <f>COUNTIF('09_Attrition_Tracker'!$J:$J,$A24)</f>
        <v>4</v>
      </c>
      <c r="C24" s="177">
        <f t="shared" si="0"/>
        <v>8.6956521739130432E-2</v>
      </c>
      <c r="E24" s="91" t="s">
        <v>261</v>
      </c>
      <c r="F24" s="179">
        <f>SUMIF('07_Hiring_Costs'!$I:$I,$E24,'07_Hiring_Costs'!$F:$F)</f>
        <v>241126.65</v>
      </c>
      <c r="G24" s="178">
        <f>COUNTIFS('06_Recruitment_Pipeline'!$E:$E,$E24,'06_Recruitment_Pipeline'!$G:$G,"Hired")</f>
        <v>8</v>
      </c>
      <c r="H24" s="179">
        <f t="shared" si="1"/>
        <v>30140.831249999999</v>
      </c>
      <c r="J24" s="91" t="s">
        <v>176</v>
      </c>
      <c r="K24" s="177">
        <f>IFERROR(AVERAGEIF('08_Onboarding_Tracker'!$D:$D,$J24,'08_Onboarding_Tracker'!$O:$O),0)</f>
        <v>0.82499999999999996</v>
      </c>
      <c r="L24" s="170">
        <f>COUNTIFS('08_Onboarding_Tracker'!$D:$D,$J24,'08_Onboarding_Tracker'!$Q:$Q,"&gt;30",'08_Onboarding_Tracker'!$N:$N,"&lt;&gt;Complete")</f>
        <v>0</v>
      </c>
      <c r="M24" s="177">
        <f ca="1">IFERROR(COUNTIFS('08_Onboarding_Tracker'!$D:$D,$J24,'08_Onboarding_Tracker'!$R:$R,"Yes")/(COUNTIFS('08_Onboarding_Tracker'!$D:$D,$J24,'08_Onboarding_Tracker'!$R:$R,"Yes")+COUNTIFS('08_Onboarding_Tracker'!$D:$D,$J24,'08_Onboarding_Tracker'!$R:$R,"No")),0)</f>
        <v>1</v>
      </c>
    </row>
    <row r="25" spans="1:13">
      <c r="A25" s="91" t="s">
        <v>405</v>
      </c>
      <c r="B25" s="176">
        <f>COUNTIF('09_Attrition_Tracker'!$J:$J,$A25)</f>
        <v>3</v>
      </c>
      <c r="C25" s="177">
        <f t="shared" si="0"/>
        <v>6.5217391304347824E-2</v>
      </c>
      <c r="E25" s="91" t="s">
        <v>403</v>
      </c>
      <c r="F25" s="179">
        <f>SUMIF('07_Hiring_Costs'!$I:$I,$E25,'07_Hiring_Costs'!$F:$F)</f>
        <v>150222.71999999997</v>
      </c>
      <c r="G25" s="178">
        <f>COUNTIFS('06_Recruitment_Pipeline'!$E:$E,$E25,'06_Recruitment_Pipeline'!$G:$G,"Hired")</f>
        <v>18</v>
      </c>
      <c r="H25" s="179">
        <f t="shared" si="1"/>
        <v>8345.7066666666651</v>
      </c>
      <c r="J25" s="91" t="s">
        <v>371</v>
      </c>
      <c r="K25" s="177">
        <f>IFERROR(AVERAGEIF('08_Onboarding_Tracker'!$D:$D,$J25,'08_Onboarding_Tracker'!$O:$O),0)</f>
        <v>0.90625</v>
      </c>
      <c r="L25" s="170">
        <f>COUNTIFS('08_Onboarding_Tracker'!$D:$D,$J25,'08_Onboarding_Tracker'!$Q:$Q,"&gt;30",'08_Onboarding_Tracker'!$N:$N,"&lt;&gt;Complete")</f>
        <v>0</v>
      </c>
      <c r="M25" s="177">
        <f ca="1">IFERROR(COUNTIFS('08_Onboarding_Tracker'!$D:$D,$J25,'08_Onboarding_Tracker'!$R:$R,"Yes")/(COUNTIFS('08_Onboarding_Tracker'!$D:$D,$J25,'08_Onboarding_Tracker'!$R:$R,"Yes")+COUNTIFS('08_Onboarding_Tracker'!$D:$D,$J25,'08_Onboarding_Tracker'!$R:$R,"No")),0)</f>
        <v>0.75</v>
      </c>
    </row>
    <row r="26" spans="1:13">
      <c r="A26" s="91" t="s">
        <v>410</v>
      </c>
      <c r="B26" s="176">
        <f>COUNTIF('09_Attrition_Tracker'!$J:$J,$A26)</f>
        <v>5</v>
      </c>
      <c r="C26" s="177">
        <f t="shared" si="0"/>
        <v>0.10869565217391304</v>
      </c>
      <c r="E26" s="91" t="s">
        <v>213</v>
      </c>
      <c r="F26" s="179">
        <f>SUMIF('07_Hiring_Costs'!$I:$I,$E26,'07_Hiring_Costs'!$F:$F)</f>
        <v>282560.68000000005</v>
      </c>
      <c r="G26" s="178">
        <f>COUNTIFS('06_Recruitment_Pipeline'!$E:$E,$E26,'06_Recruitment_Pipeline'!$G:$G,"Hired")</f>
        <v>16</v>
      </c>
      <c r="H26" s="179">
        <f t="shared" si="1"/>
        <v>17660.042500000003</v>
      </c>
      <c r="J26" s="91" t="s">
        <v>407</v>
      </c>
      <c r="K26" s="177">
        <f>IFERROR(AVERAGEIF('08_Onboarding_Tracker'!$D:$D,$J26,'08_Onboarding_Tracker'!$O:$O),0)</f>
        <v>0.97916666666666663</v>
      </c>
      <c r="L26" s="170">
        <f>COUNTIFS('08_Onboarding_Tracker'!$D:$D,$J26,'08_Onboarding_Tracker'!$Q:$Q,"&gt;30",'08_Onboarding_Tracker'!$N:$N,"&lt;&gt;Complete")</f>
        <v>0</v>
      </c>
      <c r="M26" s="177">
        <f ca="1">IFERROR(COUNTIFS('08_Onboarding_Tracker'!$D:$D,$J26,'08_Onboarding_Tracker'!$R:$R,"Yes")/(COUNTIFS('08_Onboarding_Tracker'!$D:$D,$J26,'08_Onboarding_Tracker'!$R:$R,"Yes")+COUNTIFS('08_Onboarding_Tracker'!$D:$D,$J26,'08_Onboarding_Tracker'!$R:$R,"No")),0)</f>
        <v>1</v>
      </c>
    </row>
    <row r="27" spans="1:13">
      <c r="A27" s="91" t="s">
        <v>315</v>
      </c>
      <c r="B27" s="176">
        <f>COUNTIF('09_Attrition_Tracker'!$J:$J,$A27)</f>
        <v>4</v>
      </c>
      <c r="C27" s="177">
        <f t="shared" si="0"/>
        <v>8.6956521739130432E-2</v>
      </c>
      <c r="E27" s="91" t="s">
        <v>412</v>
      </c>
      <c r="F27" s="179">
        <f>SUMIF('07_Hiring_Costs'!$I:$I,$E27,'07_Hiring_Costs'!$F:$F)</f>
        <v>219161.85000000003</v>
      </c>
      <c r="G27" s="178">
        <f>COUNTIFS('06_Recruitment_Pipeline'!$E:$E,$E27,'06_Recruitment_Pipeline'!$G:$G,"Hired")</f>
        <v>17</v>
      </c>
      <c r="H27" s="179">
        <f t="shared" si="1"/>
        <v>12891.873529411767</v>
      </c>
      <c r="J27" s="91" t="s">
        <v>37</v>
      </c>
      <c r="K27" s="177">
        <f>IFERROR(AVERAGEIF('08_Onboarding_Tracker'!$D:$D,$J27,'08_Onboarding_Tracker'!$O:$O),0)</f>
        <v>0.9375</v>
      </c>
      <c r="L27" s="170">
        <f>COUNTIFS('08_Onboarding_Tracker'!$D:$D,$J27,'08_Onboarding_Tracker'!$Q:$Q,"&gt;30",'08_Onboarding_Tracker'!$N:$N,"&lt;&gt;Complete")</f>
        <v>0</v>
      </c>
      <c r="M27" s="177">
        <f ca="1">IFERROR(COUNTIFS('08_Onboarding_Tracker'!$D:$D,$J27,'08_Onboarding_Tracker'!$R:$R,"Yes")/(COUNTIFS('08_Onboarding_Tracker'!$D:$D,$J27,'08_Onboarding_Tracker'!$R:$R,"Yes")+COUNTIFS('08_Onboarding_Tracker'!$D:$D,$J27,'08_Onboarding_Tracker'!$R:$R,"No")),0)</f>
        <v>0.90909090909090906</v>
      </c>
    </row>
    <row r="28" spans="1:13">
      <c r="A28" s="91" t="s">
        <v>415</v>
      </c>
      <c r="B28" s="176">
        <f>COUNTIF('09_Attrition_Tracker'!$J:$J,$A28)</f>
        <v>8</v>
      </c>
      <c r="C28" s="177">
        <f t="shared" si="0"/>
        <v>0.17391304347826086</v>
      </c>
      <c r="E28" s="91" t="s">
        <v>414</v>
      </c>
      <c r="F28" s="179">
        <f>SUMIF('07_Hiring_Costs'!$I:$I,$E28,'07_Hiring_Costs'!$F:$F)</f>
        <v>201517.93</v>
      </c>
      <c r="G28" s="178">
        <f>COUNTIFS('06_Recruitment_Pipeline'!$E:$E,$E28,'06_Recruitment_Pipeline'!$G:$G,"Hired")</f>
        <v>10</v>
      </c>
      <c r="H28" s="179">
        <f t="shared" si="1"/>
        <v>20151.792999999998</v>
      </c>
      <c r="J28" s="91" t="s">
        <v>271</v>
      </c>
      <c r="K28" s="177">
        <f>IFERROR(AVERAGEIF('08_Onboarding_Tracker'!$D:$D,$J28,'08_Onboarding_Tracker'!$O:$O),0)</f>
        <v>0.96250000000000002</v>
      </c>
      <c r="L28" s="170">
        <f>COUNTIFS('08_Onboarding_Tracker'!$D:$D,$J28,'08_Onboarding_Tracker'!$Q:$Q,"&gt;30",'08_Onboarding_Tracker'!$N:$N,"&lt;&gt;Complete")</f>
        <v>0</v>
      </c>
      <c r="M28" s="177">
        <f ca="1">IFERROR(COUNTIFS('08_Onboarding_Tracker'!$D:$D,$J28,'08_Onboarding_Tracker'!$R:$R,"Yes")/(COUNTIFS('08_Onboarding_Tracker'!$D:$D,$J28,'08_Onboarding_Tracker'!$R:$R,"Yes")+COUNTIFS('08_Onboarding_Tracker'!$D:$D,$J28,'08_Onboarding_Tracker'!$R:$R,"No")),0)</f>
        <v>1</v>
      </c>
    </row>
    <row r="29" spans="1:13">
      <c r="A29" s="91" t="s">
        <v>419</v>
      </c>
      <c r="B29" s="176">
        <f>COUNTIF('09_Attrition_Tracker'!$J:$J,$A29)</f>
        <v>8</v>
      </c>
      <c r="C29" s="177">
        <f t="shared" si="0"/>
        <v>0.17391304347826086</v>
      </c>
      <c r="J29" s="91" t="s">
        <v>416</v>
      </c>
      <c r="K29" s="177">
        <f>IFERROR(AVERAGEIF('08_Onboarding_Tracker'!$D:$D,$J29,'08_Onboarding_Tracker'!$O:$O),0)</f>
        <v>1</v>
      </c>
      <c r="L29" s="170">
        <f>COUNTIFS('08_Onboarding_Tracker'!$D:$D,$J29,'08_Onboarding_Tracker'!$Q:$Q,"&gt;30",'08_Onboarding_Tracker'!$N:$N,"&lt;&gt;Complete")</f>
        <v>0</v>
      </c>
      <c r="M29" s="177">
        <f ca="1">IFERROR(COUNTIFS('08_Onboarding_Tracker'!$D:$D,$J29,'08_Onboarding_Tracker'!$R:$R,"Yes")/(COUNTIFS('08_Onboarding_Tracker'!$D:$D,$J29,'08_Onboarding_Tracker'!$R:$R,"Yes")+COUNTIFS('08_Onboarding_Tracker'!$D:$D,$J29,'08_Onboarding_Tracker'!$R:$R,"No")),0)</f>
        <v>1</v>
      </c>
    </row>
    <row r="30" spans="1:13">
      <c r="J30" s="91" t="s">
        <v>104</v>
      </c>
      <c r="K30" s="177">
        <f>IFERROR(AVERAGEIF('08_Onboarding_Tracker'!$D:$D,$J30,'08_Onboarding_Tracker'!$O:$O),0)</f>
        <v>0.98750000000000004</v>
      </c>
      <c r="L30" s="170">
        <f>COUNTIFS('08_Onboarding_Tracker'!$D:$D,$J30,'08_Onboarding_Tracker'!$Q:$Q,"&gt;30",'08_Onboarding_Tracker'!$N:$N,"&lt;&gt;Complete")</f>
        <v>0</v>
      </c>
      <c r="M30" s="177">
        <f ca="1">IFERROR(COUNTIFS('08_Onboarding_Tracker'!$D:$D,$J30,'08_Onboarding_Tracker'!$R:$R,"Yes")/(COUNTIFS('08_Onboarding_Tracker'!$D:$D,$J30,'08_Onboarding_Tracker'!$R:$R,"Yes")+COUNTIFS('08_Onboarding_Tracker'!$D:$D,$J30,'08_Onboarding_Tracker'!$R:$R,"No")),0)</f>
        <v>0.8</v>
      </c>
    </row>
    <row r="31" spans="1:13">
      <c r="J31" s="91" t="s">
        <v>421</v>
      </c>
      <c r="K31" s="177">
        <f>IFERROR(AVERAGEIF('08_Onboarding_Tracker'!$D:$D,$J31,'08_Onboarding_Tracker'!$O:$O),0)</f>
        <v>0.984375</v>
      </c>
      <c r="L31" s="170">
        <f>COUNTIFS('08_Onboarding_Tracker'!$D:$D,$J31,'08_Onboarding_Tracker'!$Q:$Q,"&gt;30",'08_Onboarding_Tracker'!$N:$N,"&lt;&gt;Complete")</f>
        <v>0</v>
      </c>
      <c r="M31" s="177">
        <f ca="1">IFERROR(COUNTIFS('08_Onboarding_Tracker'!$D:$D,$J31,'08_Onboarding_Tracker'!$R:$R,"Yes")/(COUNTIFS('08_Onboarding_Tracker'!$D:$D,$J31,'08_Onboarding_Tracker'!$R:$R,"Yes")+COUNTIFS('08_Onboarding_Tracker'!$D:$D,$J31,'08_Onboarding_Tracker'!$R:$R,"No")),0)</f>
        <v>1</v>
      </c>
    </row>
    <row r="32" spans="1:13" ht="31">
      <c r="A32" s="163" t="s">
        <v>2757</v>
      </c>
    </row>
    <row r="33" spans="1:17" ht="16">
      <c r="A33" s="161" t="s">
        <v>2757</v>
      </c>
      <c r="B33" s="161" t="s">
        <v>2699</v>
      </c>
      <c r="C33" s="161" t="s">
        <v>2700</v>
      </c>
      <c r="D33" s="161" t="s">
        <v>2691</v>
      </c>
      <c r="E33" s="161" t="s">
        <v>2693</v>
      </c>
    </row>
    <row r="34" spans="1:17" ht="31">
      <c r="A34" s="119" t="str">
        <f>'12_Calculation_Layer'!E11</f>
        <v>Branch Operations</v>
      </c>
      <c r="B34" s="170">
        <f ca="1">'12_Calculation_Layer'!Q11</f>
        <v>2.2999999999999998</v>
      </c>
      <c r="C34" s="170" t="str">
        <f t="shared" ref="C34:C43" ca="1" si="2">IF($B34&gt;=70,"Critical Risk",IF($B34&gt;=50,"High Risk",IF($B34&gt;=25,"Moderate Risk","Low Risk")))</f>
        <v>Low Risk</v>
      </c>
      <c r="D34" s="171">
        <f>'12_Calculation_Layer'!I11</f>
        <v>0</v>
      </c>
      <c r="E34" s="171">
        <f>'12_Calculation_Layer'!K11</f>
        <v>0.08</v>
      </c>
      <c r="G34" s="163" t="s">
        <v>3068</v>
      </c>
      <c r="N34" s="163" t="s">
        <v>3048</v>
      </c>
    </row>
    <row r="35" spans="1:17" ht="16">
      <c r="A35" s="198" t="str">
        <f>'12_Calculation_Layer'!E12</f>
        <v>Credit Evaluation</v>
      </c>
      <c r="B35" s="174">
        <f ca="1">'12_Calculation_Layer'!Q12</f>
        <v>25.7</v>
      </c>
      <c r="C35" s="174" t="str">
        <f t="shared" ca="1" si="2"/>
        <v>Moderate Risk</v>
      </c>
      <c r="D35" s="172">
        <f>'12_Calculation_Layer'!I12</f>
        <v>0.48484848484848486</v>
      </c>
      <c r="E35" s="173">
        <f>'12_Calculation_Layer'!K12</f>
        <v>0.17647058823529413</v>
      </c>
      <c r="G35" s="162" t="s">
        <v>2740</v>
      </c>
      <c r="H35" s="162" t="s">
        <v>2741</v>
      </c>
      <c r="I35" s="162" t="s">
        <v>2692</v>
      </c>
      <c r="J35" s="162" t="s">
        <v>2701</v>
      </c>
      <c r="K35" s="162" t="s">
        <v>2742</v>
      </c>
      <c r="L35" s="162" t="s">
        <v>2743</v>
      </c>
      <c r="N35" s="162" t="s">
        <v>2687</v>
      </c>
      <c r="O35" s="162" t="s">
        <v>2699</v>
      </c>
      <c r="P35" s="162" t="s">
        <v>2700</v>
      </c>
      <c r="Q35" s="162" t="s">
        <v>2758</v>
      </c>
    </row>
    <row r="36" spans="1:17">
      <c r="A36" s="119" t="str">
        <f>'12_Calculation_Layer'!E13</f>
        <v>Loan Processing</v>
      </c>
      <c r="B36" s="170">
        <f ca="1">'12_Calculation_Layer'!Q13</f>
        <v>43.6</v>
      </c>
      <c r="C36" s="170" t="str">
        <f t="shared" ca="1" si="2"/>
        <v>Moderate Risk</v>
      </c>
      <c r="D36" s="171">
        <f>'12_Calculation_Layer'!I13</f>
        <v>0.52631578947368418</v>
      </c>
      <c r="E36" s="171">
        <f>'12_Calculation_Layer'!K13</f>
        <v>0.44444444444444442</v>
      </c>
      <c r="G36" s="169">
        <f>'12_Calculation_Layer'!F34</f>
        <v>45778</v>
      </c>
      <c r="H36" s="170">
        <f>'12_Calculation_Layer'!G34</f>
        <v>4</v>
      </c>
      <c r="I36" s="170">
        <f>'12_Calculation_Layer'!H34</f>
        <v>3</v>
      </c>
      <c r="J36" s="170">
        <f>'12_Calculation_Layer'!I34</f>
        <v>207</v>
      </c>
      <c r="K36" s="91">
        <f>'12_Calculation_Layer'!J34</f>
        <v>14857</v>
      </c>
      <c r="L36" s="91">
        <f>'12_Calculation_Layer'!K34</f>
        <v>16612</v>
      </c>
      <c r="N36" s="91" t="s">
        <v>152</v>
      </c>
      <c r="O36" s="176">
        <f ca="1">'12_Calculation_Layer'!Q11</f>
        <v>2.2999999999999998</v>
      </c>
      <c r="P36" s="170" t="str">
        <f ca="1">'12_Calculation_Layer'!R11</f>
        <v>Low Risk</v>
      </c>
      <c r="Q36" s="91" t="str">
        <f t="shared" ref="Q36:Q45" ca="1" si="3">IF(O36&gt;=75,"Immediate executive review",IF(O36&gt;=50,"Manager action plan",IF(O36&gt;=25,"Monitor monthly","Maintain current plan")))</f>
        <v>Maintain current plan</v>
      </c>
    </row>
    <row r="37" spans="1:17">
      <c r="A37" s="119" t="str">
        <f>'12_Calculation_Layer'!E14</f>
        <v>Collections</v>
      </c>
      <c r="B37" s="170">
        <f ca="1">'12_Calculation_Layer'!Q14</f>
        <v>41.5</v>
      </c>
      <c r="C37" s="170" t="str">
        <f t="shared" ca="1" si="2"/>
        <v>Moderate Risk</v>
      </c>
      <c r="D37" s="171">
        <f>'12_Calculation_Layer'!I14</f>
        <v>0.61538461538461542</v>
      </c>
      <c r="E37" s="171">
        <f>'12_Calculation_Layer'!K14</f>
        <v>0.26666666666666666</v>
      </c>
      <c r="G37" s="169">
        <f>'12_Calculation_Layer'!F35</f>
        <v>45809</v>
      </c>
      <c r="H37" s="170">
        <f>'12_Calculation_Layer'!G35</f>
        <v>1</v>
      </c>
      <c r="I37" s="170">
        <f>'12_Calculation_Layer'!H35</f>
        <v>4</v>
      </c>
      <c r="J37" s="170">
        <f>'12_Calculation_Layer'!I35</f>
        <v>201</v>
      </c>
      <c r="K37" s="91">
        <f>'12_Calculation_Layer'!J35</f>
        <v>14845</v>
      </c>
      <c r="L37" s="91">
        <f>'12_Calculation_Layer'!K35</f>
        <v>17096</v>
      </c>
      <c r="N37" s="91" t="s">
        <v>379</v>
      </c>
      <c r="O37" s="176">
        <f ca="1">'12_Calculation_Layer'!Q12</f>
        <v>25.7</v>
      </c>
      <c r="P37" s="170" t="str">
        <f ca="1">'12_Calculation_Layer'!R12</f>
        <v>Moderate Risk</v>
      </c>
      <c r="Q37" s="91" t="str">
        <f t="shared" ca="1" si="3"/>
        <v>Monitor monthly</v>
      </c>
    </row>
    <row r="38" spans="1:17">
      <c r="A38" s="119" t="str">
        <f>'12_Calculation_Layer'!E15</f>
        <v>Sales &amp; Marketing</v>
      </c>
      <c r="B38" s="170">
        <f ca="1">'12_Calculation_Layer'!Q15</f>
        <v>12.1</v>
      </c>
      <c r="C38" s="170" t="str">
        <f t="shared" ca="1" si="2"/>
        <v>Low Risk</v>
      </c>
      <c r="D38" s="171">
        <f>'12_Calculation_Layer'!I15</f>
        <v>4.3478260869565216E-2</v>
      </c>
      <c r="E38" s="171">
        <f>'12_Calculation_Layer'!K15</f>
        <v>9.0909090909090912E-2</v>
      </c>
      <c r="G38" s="169">
        <f>'12_Calculation_Layer'!F36</f>
        <v>45839</v>
      </c>
      <c r="H38" s="170">
        <f>'12_Calculation_Layer'!G36</f>
        <v>6</v>
      </c>
      <c r="I38" s="170">
        <f>'12_Calculation_Layer'!H36</f>
        <v>2</v>
      </c>
      <c r="J38" s="170">
        <f>'12_Calculation_Layer'!I36</f>
        <v>205</v>
      </c>
      <c r="K38" s="91">
        <f>'12_Calculation_Layer'!J36</f>
        <v>17132</v>
      </c>
      <c r="L38" s="91">
        <f>'12_Calculation_Layer'!K36</f>
        <v>19404</v>
      </c>
      <c r="N38" s="91" t="s">
        <v>176</v>
      </c>
      <c r="O38" s="176">
        <f ca="1">'12_Calculation_Layer'!Q13</f>
        <v>43.6</v>
      </c>
      <c r="P38" s="170" t="str">
        <f ca="1">'12_Calculation_Layer'!R13</f>
        <v>Moderate Risk</v>
      </c>
      <c r="Q38" s="91" t="str">
        <f t="shared" ca="1" si="3"/>
        <v>Monitor monthly</v>
      </c>
    </row>
    <row r="39" spans="1:17">
      <c r="A39" s="119" t="str">
        <f>'12_Calculation_Layer'!E16</f>
        <v>Finance</v>
      </c>
      <c r="B39" s="170">
        <f ca="1">'12_Calculation_Layer'!Q16</f>
        <v>16.600000000000001</v>
      </c>
      <c r="C39" s="170" t="str">
        <f t="shared" ca="1" si="2"/>
        <v>Low Risk</v>
      </c>
      <c r="D39" s="171">
        <f>'12_Calculation_Layer'!I16</f>
        <v>0.14814814814814814</v>
      </c>
      <c r="E39" s="171">
        <f>'12_Calculation_Layer'!K16</f>
        <v>0.13043478260869565</v>
      </c>
      <c r="G39" s="169">
        <f>'12_Calculation_Layer'!F37</f>
        <v>45870</v>
      </c>
      <c r="H39" s="170">
        <f>'12_Calculation_Layer'!G37</f>
        <v>2</v>
      </c>
      <c r="I39" s="170">
        <f>'12_Calculation_Layer'!H37</f>
        <v>4</v>
      </c>
      <c r="J39" s="170">
        <f>'12_Calculation_Layer'!I37</f>
        <v>199</v>
      </c>
      <c r="K39" s="91">
        <f>'12_Calculation_Layer'!J37</f>
        <v>15980</v>
      </c>
      <c r="L39" s="91">
        <f>'12_Calculation_Layer'!K37</f>
        <v>17779</v>
      </c>
      <c r="N39" s="91" t="s">
        <v>371</v>
      </c>
      <c r="O39" s="176">
        <f ca="1">'12_Calculation_Layer'!Q14</f>
        <v>41.5</v>
      </c>
      <c r="P39" s="170" t="str">
        <f ca="1">'12_Calculation_Layer'!R14</f>
        <v>Moderate Risk</v>
      </c>
      <c r="Q39" s="91" t="str">
        <f t="shared" ca="1" si="3"/>
        <v>Monitor monthly</v>
      </c>
    </row>
    <row r="40" spans="1:17">
      <c r="A40" s="119" t="str">
        <f>'12_Calculation_Layer'!E17</f>
        <v>Human Resources</v>
      </c>
      <c r="B40" s="170">
        <f ca="1">'12_Calculation_Layer'!Q17</f>
        <v>19.3</v>
      </c>
      <c r="C40" s="170" t="str">
        <f t="shared" ca="1" si="2"/>
        <v>Low Risk</v>
      </c>
      <c r="D40" s="171">
        <f>'12_Calculation_Layer'!I17</f>
        <v>0.24</v>
      </c>
      <c r="E40" s="171">
        <f>'12_Calculation_Layer'!K17</f>
        <v>0.21052631578947367</v>
      </c>
      <c r="G40" s="169">
        <f>'12_Calculation_Layer'!F38</f>
        <v>45901</v>
      </c>
      <c r="H40" s="170">
        <f>'12_Calculation_Layer'!G38</f>
        <v>5</v>
      </c>
      <c r="I40" s="170">
        <f>'12_Calculation_Layer'!H38</f>
        <v>5</v>
      </c>
      <c r="J40" s="170">
        <f>'12_Calculation_Layer'!I38</f>
        <v>195</v>
      </c>
      <c r="K40" s="91">
        <f>'12_Calculation_Layer'!J38</f>
        <v>13302</v>
      </c>
      <c r="L40" s="91">
        <f>'12_Calculation_Layer'!K38</f>
        <v>15535</v>
      </c>
      <c r="N40" s="91" t="s">
        <v>407</v>
      </c>
      <c r="O40" s="176">
        <f ca="1">'12_Calculation_Layer'!Q15</f>
        <v>12.1</v>
      </c>
      <c r="P40" s="170" t="str">
        <f ca="1">'12_Calculation_Layer'!R15</f>
        <v>Low Risk</v>
      </c>
      <c r="Q40" s="91" t="str">
        <f t="shared" ca="1" si="3"/>
        <v>Maintain current plan</v>
      </c>
    </row>
    <row r="41" spans="1:17">
      <c r="A41" s="119" t="str">
        <f>'12_Calculation_Layer'!E18</f>
        <v>Information Technology</v>
      </c>
      <c r="B41" s="170">
        <f ca="1">'12_Calculation_Layer'!Q18</f>
        <v>19.899999999999999</v>
      </c>
      <c r="C41" s="170" t="str">
        <f t="shared" ca="1" si="2"/>
        <v>Low Risk</v>
      </c>
      <c r="D41" s="171">
        <f>'12_Calculation_Layer'!I18</f>
        <v>0.27586206896551724</v>
      </c>
      <c r="E41" s="171">
        <f>'12_Calculation_Layer'!K18</f>
        <v>0.14285714285714285</v>
      </c>
      <c r="G41" s="169">
        <f>'12_Calculation_Layer'!F39</f>
        <v>45931</v>
      </c>
      <c r="H41" s="170">
        <f>'12_Calculation_Layer'!G39</f>
        <v>8</v>
      </c>
      <c r="I41" s="170">
        <f>'12_Calculation_Layer'!H39</f>
        <v>5</v>
      </c>
      <c r="J41" s="170">
        <f>'12_Calculation_Layer'!I39</f>
        <v>195</v>
      </c>
      <c r="K41" s="91">
        <f>'12_Calculation_Layer'!J39</f>
        <v>12569</v>
      </c>
      <c r="L41" s="91">
        <f>'12_Calculation_Layer'!K39</f>
        <v>14639</v>
      </c>
      <c r="N41" s="91" t="s">
        <v>37</v>
      </c>
      <c r="O41" s="176">
        <f ca="1">'12_Calculation_Layer'!Q16</f>
        <v>16.600000000000001</v>
      </c>
      <c r="P41" s="170" t="str">
        <f ca="1">'12_Calculation_Layer'!R16</f>
        <v>Low Risk</v>
      </c>
      <c r="Q41" s="91" t="str">
        <f t="shared" ca="1" si="3"/>
        <v>Maintain current plan</v>
      </c>
    </row>
    <row r="42" spans="1:17">
      <c r="A42" s="119" t="str">
        <f>'12_Calculation_Layer'!E19</f>
        <v>Compliance</v>
      </c>
      <c r="B42" s="170">
        <f>'12_Calculation_Layer'!Q19</f>
        <v>12.1</v>
      </c>
      <c r="C42" s="170" t="str">
        <f t="shared" si="2"/>
        <v>Low Risk</v>
      </c>
      <c r="D42" s="171">
        <f>'12_Calculation_Layer'!I19</f>
        <v>0.22222222222222221</v>
      </c>
      <c r="E42" s="171">
        <f>'12_Calculation_Layer'!K19</f>
        <v>9.5238095238095233E-2</v>
      </c>
      <c r="G42" s="169">
        <f>'12_Calculation_Layer'!F40</f>
        <v>45962</v>
      </c>
      <c r="H42" s="170">
        <f>'12_Calculation_Layer'!G40</f>
        <v>8</v>
      </c>
      <c r="I42" s="170">
        <f>'12_Calculation_Layer'!H40</f>
        <v>2</v>
      </c>
      <c r="J42" s="170">
        <f>'12_Calculation_Layer'!I40</f>
        <v>205</v>
      </c>
      <c r="K42" s="91">
        <f>'12_Calculation_Layer'!J40</f>
        <v>15672</v>
      </c>
      <c r="L42" s="91">
        <f>'12_Calculation_Layer'!K40</f>
        <v>18538</v>
      </c>
      <c r="N42" s="91" t="s">
        <v>271</v>
      </c>
      <c r="O42" s="176">
        <f ca="1">'12_Calculation_Layer'!Q17</f>
        <v>19.3</v>
      </c>
      <c r="P42" s="170" t="str">
        <f ca="1">'12_Calculation_Layer'!R17</f>
        <v>Low Risk</v>
      </c>
      <c r="Q42" s="91" t="str">
        <f t="shared" ca="1" si="3"/>
        <v>Maintain current plan</v>
      </c>
    </row>
    <row r="43" spans="1:17">
      <c r="A43" s="119" t="str">
        <f>'12_Calculation_Layer'!E20</f>
        <v>Customer Service</v>
      </c>
      <c r="B43" s="170">
        <f ca="1">'12_Calculation_Layer'!Q20</f>
        <v>18.600000000000001</v>
      </c>
      <c r="C43" s="170" t="str">
        <f t="shared" ca="1" si="2"/>
        <v>Low Risk</v>
      </c>
      <c r="D43" s="171">
        <f>'12_Calculation_Layer'!I20</f>
        <v>0.22222222222222221</v>
      </c>
      <c r="E43" s="171">
        <f>'12_Calculation_Layer'!K20</f>
        <v>0.19047619047619047</v>
      </c>
      <c r="G43" s="169">
        <f>'12_Calculation_Layer'!F41</f>
        <v>45992</v>
      </c>
      <c r="H43" s="170">
        <f>'12_Calculation_Layer'!G41</f>
        <v>4</v>
      </c>
      <c r="I43" s="170">
        <f>'12_Calculation_Layer'!H41</f>
        <v>0</v>
      </c>
      <c r="J43" s="170">
        <f>'12_Calculation_Layer'!I41</f>
        <v>208</v>
      </c>
      <c r="K43" s="91">
        <f>'12_Calculation_Layer'!J41</f>
        <v>16147</v>
      </c>
      <c r="L43" s="91">
        <f>'12_Calculation_Layer'!K41</f>
        <v>17656</v>
      </c>
      <c r="N43" s="91" t="s">
        <v>416</v>
      </c>
      <c r="O43" s="176">
        <f ca="1">'12_Calculation_Layer'!Q18</f>
        <v>19.899999999999999</v>
      </c>
      <c r="P43" s="170" t="str">
        <f ca="1">'12_Calculation_Layer'!R18</f>
        <v>Low Risk</v>
      </c>
      <c r="Q43" s="91" t="str">
        <f t="shared" ca="1" si="3"/>
        <v>Maintain current plan</v>
      </c>
    </row>
    <row r="44" spans="1:17">
      <c r="G44" s="169">
        <f>'12_Calculation_Layer'!F42</f>
        <v>46023</v>
      </c>
      <c r="H44" s="170">
        <f>'12_Calculation_Layer'!G42</f>
        <v>6</v>
      </c>
      <c r="I44" s="170">
        <f>'12_Calculation_Layer'!H42</f>
        <v>5</v>
      </c>
      <c r="J44" s="170">
        <f>'12_Calculation_Layer'!I42</f>
        <v>199</v>
      </c>
      <c r="K44" s="91">
        <f>'12_Calculation_Layer'!J42</f>
        <v>13789</v>
      </c>
      <c r="L44" s="91">
        <f>'12_Calculation_Layer'!K42</f>
        <v>16156</v>
      </c>
      <c r="N44" s="91" t="s">
        <v>104</v>
      </c>
      <c r="O44" s="176">
        <f>'12_Calculation_Layer'!Q19</f>
        <v>12.1</v>
      </c>
      <c r="P44" s="170" t="str">
        <f>'12_Calculation_Layer'!R19</f>
        <v>Low Risk</v>
      </c>
      <c r="Q44" s="91" t="str">
        <f t="shared" si="3"/>
        <v>Maintain current plan</v>
      </c>
    </row>
    <row r="45" spans="1:17">
      <c r="G45" s="169">
        <f>'12_Calculation_Layer'!F43</f>
        <v>46054</v>
      </c>
      <c r="H45" s="170">
        <f>'12_Calculation_Layer'!G43</f>
        <v>10</v>
      </c>
      <c r="I45" s="170">
        <f>'12_Calculation_Layer'!H43</f>
        <v>1</v>
      </c>
      <c r="J45" s="170">
        <f>'12_Calculation_Layer'!I43</f>
        <v>202</v>
      </c>
      <c r="K45" s="91">
        <f>'12_Calculation_Layer'!J43</f>
        <v>12998</v>
      </c>
      <c r="L45" s="91">
        <f>'12_Calculation_Layer'!K43</f>
        <v>15098</v>
      </c>
      <c r="N45" s="91" t="s">
        <v>421</v>
      </c>
      <c r="O45" s="176">
        <f ca="1">'12_Calculation_Layer'!Q20</f>
        <v>18.600000000000001</v>
      </c>
      <c r="P45" s="170" t="str">
        <f ca="1">'12_Calculation_Layer'!R20</f>
        <v>Low Risk</v>
      </c>
      <c r="Q45" s="91" t="str">
        <f t="shared" ca="1" si="3"/>
        <v>Maintain current plan</v>
      </c>
    </row>
    <row r="46" spans="1:17">
      <c r="G46" s="169">
        <f>'12_Calculation_Layer'!F44</f>
        <v>46082</v>
      </c>
      <c r="H46" s="170">
        <f>'12_Calculation_Layer'!G44</f>
        <v>9</v>
      </c>
      <c r="I46" s="170">
        <f>'12_Calculation_Layer'!H44</f>
        <v>2</v>
      </c>
      <c r="J46" s="170">
        <f>'12_Calculation_Layer'!I44</f>
        <v>197</v>
      </c>
      <c r="K46" s="91">
        <f>'12_Calculation_Layer'!J44</f>
        <v>13406</v>
      </c>
      <c r="L46" s="91">
        <f>'12_Calculation_Layer'!K44</f>
        <v>15376</v>
      </c>
    </row>
    <row r="47" spans="1:17">
      <c r="G47" s="169">
        <f>'12_Calculation_Layer'!F45</f>
        <v>46113</v>
      </c>
      <c r="H47" s="170">
        <f>'12_Calculation_Layer'!G45</f>
        <v>9</v>
      </c>
      <c r="I47" s="170">
        <f>'12_Calculation_Layer'!H45</f>
        <v>2</v>
      </c>
      <c r="J47" s="170">
        <f>'12_Calculation_Layer'!I45</f>
        <v>199</v>
      </c>
      <c r="K47" s="91">
        <f>'12_Calculation_Layer'!J45</f>
        <v>13355</v>
      </c>
      <c r="L47" s="91">
        <f>'12_Calculation_Layer'!K45</f>
        <v>15513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7"/>
  <sheetViews>
    <sheetView showGridLines="0" zoomScale="50" zoomScaleNormal="60" workbookViewId="0">
      <selection activeCell="D13" sqref="A1:XFD1048576"/>
    </sheetView>
  </sheetViews>
  <sheetFormatPr baseColWidth="10" defaultColWidth="8.83203125" defaultRowHeight="14"/>
  <cols>
    <col min="1" max="14" width="30.83203125" customWidth="1"/>
  </cols>
  <sheetData>
    <row r="1" spans="1:14" ht="53" customHeight="1">
      <c r="A1" s="55" t="s">
        <v>2759</v>
      </c>
      <c r="B1" s="56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32" customHeight="1">
      <c r="A2" s="57" t="s">
        <v>2760</v>
      </c>
      <c r="B2" s="58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33" customHeight="1">
      <c r="A4" s="25" t="s">
        <v>2695</v>
      </c>
      <c r="B4" s="25"/>
      <c r="C4" s="21" t="s">
        <v>2761</v>
      </c>
      <c r="D4" s="21"/>
      <c r="E4" s="23" t="s">
        <v>2770</v>
      </c>
      <c r="F4" s="23"/>
      <c r="G4" s="44" t="s">
        <v>3029</v>
      </c>
      <c r="H4" s="44"/>
      <c r="I4" s="20" t="s">
        <v>2763</v>
      </c>
      <c r="J4" s="20"/>
      <c r="K4" s="21" t="s">
        <v>2755</v>
      </c>
      <c r="L4" s="21"/>
      <c r="M4" s="27" t="s">
        <v>2764</v>
      </c>
      <c r="N4" s="27"/>
    </row>
    <row r="5" spans="1:14" ht="35">
      <c r="A5" s="26">
        <f>'12_Calculation_Layer'!B15</f>
        <v>31</v>
      </c>
      <c r="B5" s="26"/>
      <c r="C5" s="22">
        <f>'12_Calculation_Layer'!$B$44</f>
        <v>12</v>
      </c>
      <c r="D5" s="22"/>
      <c r="E5" s="24">
        <f>'12_Calculation_Layer'!B45</f>
        <v>7</v>
      </c>
      <c r="F5" s="24"/>
      <c r="G5" s="38">
        <f>'12_Calculation_Layer'!B46</f>
        <v>12</v>
      </c>
      <c r="H5" s="38"/>
      <c r="I5" s="6">
        <f>COUNTIFS('08_Onboarding_Tracker'!$N:$N,"&lt;&gt;Complete",'08_Onboarding_Tracker'!$A:$A,"&lt;&gt;")</f>
        <v>16</v>
      </c>
      <c r="J5" s="6"/>
      <c r="K5" s="22">
        <f>COUNTIFS('08_Onboarding_Tracker'!$N:$N,"&lt;&gt;Complete",'08_Onboarding_Tracker'!$Q:$Q,"&gt;30")</f>
        <v>0</v>
      </c>
      <c r="L5" s="22"/>
      <c r="M5" s="42">
        <f>'12_Calculation_Layer'!B17</f>
        <v>38.829545454545453</v>
      </c>
      <c r="N5" s="28"/>
    </row>
    <row r="7" spans="1:14" ht="9" customHeight="1"/>
    <row r="8" spans="1:14" ht="43" customHeight="1">
      <c r="A8" s="10" t="s">
        <v>3032</v>
      </c>
      <c r="B8" s="9"/>
      <c r="C8" s="9"/>
      <c r="D8" s="9"/>
      <c r="E8" s="9"/>
      <c r="F8" s="9"/>
      <c r="G8" s="1"/>
      <c r="H8" s="10" t="s">
        <v>3033</v>
      </c>
      <c r="I8" s="8"/>
      <c r="K8" s="8"/>
      <c r="M8" s="8"/>
    </row>
    <row r="9" spans="1:14" ht="28" customHeight="1">
      <c r="A9" s="29" t="s">
        <v>2765</v>
      </c>
      <c r="B9" s="71"/>
      <c r="C9" s="72" t="s">
        <v>2739</v>
      </c>
      <c r="D9" s="73"/>
      <c r="E9" s="72" t="s">
        <v>3030</v>
      </c>
      <c r="F9" s="73"/>
      <c r="G9" s="74"/>
      <c r="H9" s="72" t="s">
        <v>2766</v>
      </c>
      <c r="I9" s="30"/>
      <c r="J9" s="31" t="s">
        <v>2762</v>
      </c>
      <c r="K9" s="30"/>
      <c r="L9" s="31" t="s">
        <v>2741</v>
      </c>
      <c r="M9" s="30"/>
      <c r="N9" s="32" t="s">
        <v>2767</v>
      </c>
    </row>
    <row r="10" spans="1:14" ht="19">
      <c r="A10" s="14" t="str">
        <f>'12_Calculation_Layer'!A34</f>
        <v>Applied</v>
      </c>
      <c r="B10" s="15"/>
      <c r="C10" s="14">
        <f>'12_Calculation_Layer'!B34</f>
        <v>41</v>
      </c>
      <c r="D10" s="15"/>
      <c r="E10" s="16">
        <f>'12_Calculation_Layer'!C34</f>
        <v>0.11581920903954802</v>
      </c>
      <c r="F10" s="15"/>
      <c r="G10" s="17"/>
      <c r="H10" s="14" t="s">
        <v>942</v>
      </c>
      <c r="I10" s="18"/>
      <c r="J10" s="14">
        <f ca="1">COUNTIFS('06_Recruitment_Pipeline'!$I:$I,$H10,'06_Recruitment_Pipeline'!$Q:$Q,"Active")</f>
        <v>7</v>
      </c>
      <c r="K10" s="18"/>
      <c r="L10" s="14">
        <f>COUNTIFS('06_Recruitment_Pipeline'!$I:$I,$H10,'06_Recruitment_Pipeline'!$G:$G,"Hired")</f>
        <v>14</v>
      </c>
      <c r="M10" s="18"/>
      <c r="N10" s="19">
        <f>COUNTIFS('05_Requisitions_MRF'!$L:$L,$H10,'05_Requisitions_MRF'!$K:$K,"Open")</f>
        <v>4</v>
      </c>
    </row>
    <row r="11" spans="1:14" ht="19">
      <c r="A11" s="14" t="str">
        <f>'12_Calculation_Layer'!A35</f>
        <v>Screened</v>
      </c>
      <c r="B11" s="15"/>
      <c r="C11" s="14">
        <f>'12_Calculation_Layer'!B35</f>
        <v>70</v>
      </c>
      <c r="D11" s="15"/>
      <c r="E11" s="16">
        <f>'12_Calculation_Layer'!C35</f>
        <v>0.19774011299435029</v>
      </c>
      <c r="F11" s="15"/>
      <c r="G11" s="17"/>
      <c r="H11" s="14" t="s">
        <v>940</v>
      </c>
      <c r="I11" s="18"/>
      <c r="J11" s="14">
        <f ca="1">COUNTIFS('06_Recruitment_Pipeline'!$I:$I,$H11,'06_Recruitment_Pipeline'!$Q:$Q,"Active")</f>
        <v>5</v>
      </c>
      <c r="K11" s="18"/>
      <c r="L11" s="14">
        <f>COUNTIFS('06_Recruitment_Pipeline'!$I:$I,$H11,'06_Recruitment_Pipeline'!$G:$G,"Hired")</f>
        <v>23</v>
      </c>
      <c r="M11" s="18"/>
      <c r="N11" s="19">
        <f>COUNTIFS('05_Requisitions_MRF'!$L:$L,$H11,'05_Requisitions_MRF'!$K:$K,"Open")</f>
        <v>8</v>
      </c>
    </row>
    <row r="12" spans="1:14" ht="19">
      <c r="A12" s="14" t="str">
        <f>'12_Calculation_Layer'!A36</f>
        <v>Interview</v>
      </c>
      <c r="B12" s="15"/>
      <c r="C12" s="14">
        <f>'12_Calculation_Layer'!B36</f>
        <v>79</v>
      </c>
      <c r="D12" s="15"/>
      <c r="E12" s="16">
        <f>'12_Calculation_Layer'!C36</f>
        <v>0.2231638418079096</v>
      </c>
      <c r="F12" s="15"/>
      <c r="G12" s="17"/>
      <c r="H12" s="14" t="s">
        <v>192</v>
      </c>
      <c r="I12" s="18"/>
      <c r="J12" s="14">
        <f ca="1">COUNTIFS('06_Recruitment_Pipeline'!$I:$I,$H12,'06_Recruitment_Pipeline'!$Q:$Q,"Active")</f>
        <v>12</v>
      </c>
      <c r="K12" s="18"/>
      <c r="L12" s="14">
        <f>COUNTIFS('06_Recruitment_Pipeline'!$I:$I,$H12,'06_Recruitment_Pipeline'!$G:$G,"Hired")</f>
        <v>27</v>
      </c>
      <c r="M12" s="18"/>
      <c r="N12" s="19">
        <f>COUNTIFS('05_Requisitions_MRF'!$L:$L,$H12,'05_Requisitions_MRF'!$K:$K,"Open")</f>
        <v>10</v>
      </c>
    </row>
    <row r="13" spans="1:14" ht="19">
      <c r="A13" s="14" t="str">
        <f>'12_Calculation_Layer'!A37</f>
        <v>Final Interview</v>
      </c>
      <c r="B13" s="15"/>
      <c r="C13" s="14">
        <f>'12_Calculation_Layer'!B37</f>
        <v>47</v>
      </c>
      <c r="D13" s="15"/>
      <c r="E13" s="16">
        <f>'12_Calculation_Layer'!C37</f>
        <v>0.1327683615819209</v>
      </c>
      <c r="F13" s="15"/>
      <c r="G13" s="17"/>
      <c r="H13" s="14" t="s">
        <v>938</v>
      </c>
      <c r="I13" s="18"/>
      <c r="J13" s="14">
        <f ca="1">COUNTIFS('06_Recruitment_Pipeline'!$I:$I,$H13,'06_Recruitment_Pipeline'!$Q:$Q,"Active")</f>
        <v>0</v>
      </c>
      <c r="K13" s="18"/>
      <c r="L13" s="14">
        <f>COUNTIFS('06_Recruitment_Pipeline'!$I:$I,$H13,'06_Recruitment_Pipeline'!$G:$G,"Hired")</f>
        <v>24</v>
      </c>
      <c r="M13" s="18"/>
      <c r="N13" s="19">
        <f>COUNTIFS('05_Requisitions_MRF'!$L:$L,$H13,'05_Requisitions_MRF'!$K:$K,"Open")</f>
        <v>9</v>
      </c>
    </row>
    <row r="14" spans="1:14" ht="19">
      <c r="A14" s="14" t="str">
        <f>'12_Calculation_Layer'!A38</f>
        <v>Offer</v>
      </c>
      <c r="B14" s="15"/>
      <c r="C14" s="14">
        <f>'12_Calculation_Layer'!B38</f>
        <v>29</v>
      </c>
      <c r="D14" s="15"/>
      <c r="E14" s="16">
        <f>'12_Calculation_Layer'!C38</f>
        <v>8.1920903954802254E-2</v>
      </c>
      <c r="F14" s="15"/>
      <c r="G14" s="17"/>
      <c r="H14" s="5"/>
      <c r="I14" s="5"/>
      <c r="J14" s="5"/>
      <c r="K14" s="5"/>
      <c r="L14" s="7"/>
      <c r="M14" s="7"/>
      <c r="N14" s="7"/>
    </row>
    <row r="15" spans="1:14" ht="19">
      <c r="A15" s="14" t="str">
        <f>'12_Calculation_Layer'!A39</f>
        <v>Hired</v>
      </c>
      <c r="B15" s="15"/>
      <c r="C15" s="14">
        <f>'12_Calculation_Layer'!B39</f>
        <v>88</v>
      </c>
      <c r="D15" s="15"/>
      <c r="E15" s="16">
        <f>'12_Calculation_Layer'!C39</f>
        <v>0.24858757062146894</v>
      </c>
      <c r="F15" s="15"/>
      <c r="G15" s="17"/>
      <c r="H15" s="5"/>
      <c r="I15" s="5"/>
      <c r="J15" s="5"/>
      <c r="K15" s="5"/>
      <c r="L15" s="7"/>
      <c r="M15" s="7"/>
      <c r="N15" s="7"/>
    </row>
    <row r="16" spans="1:14" ht="16">
      <c r="A16" s="13" t="s">
        <v>3031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12"/>
      <c r="M16" s="12"/>
      <c r="N16" s="12"/>
    </row>
    <row r="17" spans="1:10" ht="1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24">
      <c r="A18" s="34" t="s">
        <v>2768</v>
      </c>
      <c r="B18" s="32" t="s">
        <v>2695</v>
      </c>
      <c r="C18" s="32" t="s">
        <v>2769</v>
      </c>
      <c r="D18" s="32" t="s">
        <v>2770</v>
      </c>
      <c r="E18" s="32" t="s">
        <v>3029</v>
      </c>
      <c r="F18" s="32" t="s">
        <v>2771</v>
      </c>
      <c r="G18" s="32" t="s">
        <v>2772</v>
      </c>
      <c r="H18" s="32" t="s">
        <v>2773</v>
      </c>
      <c r="I18" s="32" t="s">
        <v>2774</v>
      </c>
      <c r="J18" s="32" t="s">
        <v>2756</v>
      </c>
    </row>
    <row r="19" spans="1:10" ht="19">
      <c r="A19" s="19" t="s">
        <v>2775</v>
      </c>
      <c r="B19" s="19">
        <f>'12_Calculation_Layer'!$B$43</f>
        <v>31</v>
      </c>
      <c r="C19" s="19">
        <f>'12_Calculation_Layer'!$B$44</f>
        <v>12</v>
      </c>
      <c r="D19" s="19">
        <f>'12_Calculation_Layer'!$B$45</f>
        <v>7</v>
      </c>
      <c r="E19" s="19">
        <f>'12_Calculation_Layer'!$B$46</f>
        <v>12</v>
      </c>
      <c r="F19" s="19" t="str">
        <f>"All New Hires"</f>
        <v>All New Hires</v>
      </c>
      <c r="G19" s="19">
        <f>COUNTA('08_Onboarding_Tracker'!$A$5:$A$83)</f>
        <v>79</v>
      </c>
      <c r="H19" s="33">
        <f>'12_Calculation_Layer'!B26</f>
        <v>0.95411392405063289</v>
      </c>
      <c r="I19" s="19">
        <f>COUNTIFS('08_Onboarding_Tracker'!$N:$N,"&lt;&gt;Complete",'08_Onboarding_Tracker'!$Q:$Q,"&gt;30")</f>
        <v>0</v>
      </c>
      <c r="J19" s="33">
        <f ca="1">'12_Calculation_Layer'!B27</f>
        <v>0.94805194805194803</v>
      </c>
    </row>
    <row r="21" spans="1:10">
      <c r="A21" s="35"/>
      <c r="B21" s="35"/>
      <c r="C21" s="35"/>
      <c r="D21" s="35"/>
      <c r="E21" s="35"/>
      <c r="F21" s="35"/>
      <c r="G21" s="35"/>
    </row>
    <row r="22" spans="1:10">
      <c r="A22" s="35"/>
      <c r="B22" s="35"/>
      <c r="C22" s="35"/>
      <c r="D22" s="35"/>
      <c r="E22" s="35"/>
      <c r="F22" s="35"/>
      <c r="G22" s="35"/>
    </row>
    <row r="23" spans="1:10">
      <c r="A23" s="35"/>
      <c r="B23" s="35"/>
      <c r="C23" s="35"/>
      <c r="D23" s="35"/>
      <c r="E23" s="35"/>
      <c r="F23" s="35"/>
      <c r="G23" s="35"/>
    </row>
    <row r="24" spans="1:10">
      <c r="A24" s="35"/>
      <c r="B24" s="35"/>
      <c r="C24" s="35"/>
      <c r="D24" s="35"/>
      <c r="E24" s="35"/>
      <c r="F24" s="35"/>
      <c r="G24" s="35"/>
    </row>
    <row r="25" spans="1:10">
      <c r="A25" s="35"/>
      <c r="B25" s="35"/>
      <c r="C25" s="35"/>
      <c r="D25" s="35"/>
      <c r="E25" s="35"/>
      <c r="F25" s="35"/>
      <c r="G25" s="35"/>
    </row>
    <row r="26" spans="1:10">
      <c r="A26" s="35"/>
      <c r="B26" s="35"/>
      <c r="C26" s="35"/>
      <c r="D26" s="35"/>
      <c r="E26" s="35"/>
      <c r="F26" s="35"/>
      <c r="G26" s="35"/>
    </row>
    <row r="27" spans="1:10">
      <c r="A27" s="35"/>
      <c r="B27" s="35"/>
      <c r="C27" s="35"/>
      <c r="D27" s="35"/>
      <c r="E27" s="35"/>
      <c r="F27" s="35"/>
      <c r="G27" s="35"/>
    </row>
    <row r="28" spans="1:10">
      <c r="A28" s="35"/>
      <c r="B28" s="35"/>
      <c r="C28" s="35"/>
      <c r="D28" s="35"/>
      <c r="E28" s="35"/>
      <c r="F28" s="35"/>
      <c r="G28" s="35"/>
    </row>
    <row r="29" spans="1:10">
      <c r="A29" s="35"/>
      <c r="B29" s="35"/>
      <c r="C29" s="35"/>
      <c r="D29" s="35"/>
      <c r="E29" s="35"/>
      <c r="F29" s="35"/>
      <c r="G29" s="35"/>
    </row>
    <row r="30" spans="1:10">
      <c r="A30" s="35"/>
      <c r="B30" s="35"/>
      <c r="C30" s="35"/>
      <c r="D30" s="35"/>
      <c r="E30" s="35"/>
      <c r="F30" s="35"/>
      <c r="G30" s="35"/>
    </row>
    <row r="31" spans="1:10">
      <c r="A31" s="35"/>
      <c r="B31" s="35"/>
      <c r="C31" s="35"/>
      <c r="D31" s="35"/>
      <c r="E31" s="35"/>
      <c r="F31" s="35"/>
      <c r="G31" s="35"/>
    </row>
    <row r="32" spans="1:10">
      <c r="A32" s="35"/>
      <c r="B32" s="35"/>
      <c r="C32" s="35"/>
      <c r="D32" s="35"/>
      <c r="E32" s="35"/>
      <c r="F32" s="35"/>
      <c r="G32" s="35"/>
    </row>
    <row r="33" spans="1:7">
      <c r="A33" s="35"/>
      <c r="B33" s="35"/>
      <c r="C33" s="35"/>
      <c r="D33" s="35"/>
      <c r="E33" s="35"/>
      <c r="F33" s="35"/>
      <c r="G33" s="35"/>
    </row>
    <row r="34" spans="1:7">
      <c r="A34" s="35"/>
      <c r="B34" s="35"/>
      <c r="C34" s="35"/>
      <c r="D34" s="35"/>
      <c r="E34" s="35"/>
      <c r="F34" s="35"/>
      <c r="G34" s="35"/>
    </row>
    <row r="35" spans="1:7">
      <c r="A35" s="35"/>
      <c r="B35" s="35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35"/>
      <c r="B37" s="35"/>
      <c r="C37" s="35"/>
      <c r="D37" s="35"/>
      <c r="E37" s="35"/>
      <c r="F37" s="35"/>
      <c r="G37" s="35"/>
    </row>
    <row r="38" spans="1:7">
      <c r="A38" s="35"/>
      <c r="B38" s="35"/>
      <c r="C38" s="35"/>
      <c r="D38" s="35"/>
      <c r="E38" s="35"/>
      <c r="F38" s="35"/>
      <c r="G38" s="35"/>
    </row>
    <row r="43" spans="1:7">
      <c r="D43" s="3"/>
    </row>
    <row r="57" spans="2:6" ht="118" customHeight="1">
      <c r="B57" s="221" t="s">
        <v>3071</v>
      </c>
      <c r="C57" s="222"/>
      <c r="D57" s="223"/>
      <c r="E57" s="66"/>
      <c r="F57" s="66"/>
    </row>
  </sheetData>
  <mergeCells count="1">
    <mergeCell ref="B57:D5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0"/>
  <sheetViews>
    <sheetView showGridLines="0" showRowColHeaders="0" zoomScale="111" zoomScaleNormal="111" workbookViewId="0">
      <selection activeCell="F16" sqref="F16"/>
    </sheetView>
  </sheetViews>
  <sheetFormatPr baseColWidth="10" defaultColWidth="8.83203125" defaultRowHeight="14"/>
  <cols>
    <col min="1" max="14" width="30.83203125" customWidth="1"/>
  </cols>
  <sheetData>
    <row r="1" spans="1:14" ht="43" customHeight="1">
      <c r="A1" s="53" t="s">
        <v>2776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7" customHeight="1">
      <c r="A2" s="52" t="s">
        <v>2777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31">
      <c r="A4" s="25" t="s">
        <v>2688</v>
      </c>
      <c r="B4" s="25"/>
      <c r="C4" s="25"/>
      <c r="D4" s="23" t="s">
        <v>2691</v>
      </c>
      <c r="E4" s="23"/>
      <c r="F4" s="23"/>
      <c r="G4" s="21" t="s">
        <v>2693</v>
      </c>
      <c r="H4" s="21"/>
      <c r="I4" s="23" t="s">
        <v>2778</v>
      </c>
      <c r="J4" s="23"/>
      <c r="K4" s="25" t="s">
        <v>2717</v>
      </c>
      <c r="L4" s="25"/>
      <c r="M4" s="44" t="s">
        <v>2756</v>
      </c>
      <c r="N4" s="44"/>
    </row>
    <row r="5" spans="1:14" ht="35">
      <c r="A5" s="26">
        <f>'12_Calculation_Layer'!B11</f>
        <v>202</v>
      </c>
      <c r="B5" s="26"/>
      <c r="C5" s="26"/>
      <c r="D5" s="37">
        <f>'12_Calculation_Layer'!B14</f>
        <v>0.31058020477815701</v>
      </c>
      <c r="E5" s="24"/>
      <c r="F5" s="24"/>
      <c r="G5" s="39">
        <f>'12_Calculation_Layer'!B22</f>
        <v>0.17326732673267325</v>
      </c>
      <c r="H5" s="22"/>
      <c r="I5" s="41">
        <f>'12_Calculation_Layer'!B16</f>
        <v>56.210526315789473</v>
      </c>
      <c r="J5" s="24"/>
      <c r="K5" s="43">
        <f>'12_Calculation_Layer'!B20</f>
        <v>17655.450909090912</v>
      </c>
      <c r="L5" s="43"/>
      <c r="M5" s="45">
        <f ca="1">'12_Calculation_Layer'!B27</f>
        <v>0.94805194805194803</v>
      </c>
      <c r="N5" s="45"/>
    </row>
    <row r="8" spans="1:14" ht="24">
      <c r="A8" s="46" t="s">
        <v>2687</v>
      </c>
      <c r="B8" s="46"/>
      <c r="C8" s="47" t="s">
        <v>2688</v>
      </c>
      <c r="D8" s="47" t="s">
        <v>2689</v>
      </c>
      <c r="E8" s="47" t="s">
        <v>2691</v>
      </c>
      <c r="F8" s="47" t="s">
        <v>2693</v>
      </c>
      <c r="G8" s="47" t="s">
        <v>2697</v>
      </c>
      <c r="H8" s="47" t="s">
        <v>2699</v>
      </c>
      <c r="I8" s="46" t="s">
        <v>2700</v>
      </c>
      <c r="K8" s="46" t="s">
        <v>2687</v>
      </c>
      <c r="L8" s="46" t="s">
        <v>2779</v>
      </c>
      <c r="M8" s="46" t="s">
        <v>2741</v>
      </c>
      <c r="N8" s="46" t="s">
        <v>2780</v>
      </c>
    </row>
    <row r="9" spans="1:14" ht="19">
      <c r="A9" s="5" t="str">
        <f>'12_Calculation_Layer'!E11</f>
        <v>Branch Operations</v>
      </c>
      <c r="B9" s="5"/>
      <c r="C9" s="48">
        <f>'12_Calculation_Layer'!F11</f>
        <v>25</v>
      </c>
      <c r="D9" s="48">
        <f>'12_Calculation_Layer'!G11</f>
        <v>25</v>
      </c>
      <c r="E9" s="49">
        <f>'12_Calculation_Layer'!I11</f>
        <v>0</v>
      </c>
      <c r="F9" s="49">
        <f>'12_Calculation_Layer'!K11</f>
        <v>0.08</v>
      </c>
      <c r="G9" s="49">
        <f>'12_Calculation_Layer'!O11</f>
        <v>0.96875</v>
      </c>
      <c r="H9" s="50">
        <f ca="1">'12_Calculation_Layer'!Q11</f>
        <v>2.2999999999999998</v>
      </c>
      <c r="I9" s="5" t="str">
        <f t="shared" ref="I9:I18" ca="1" si="0">IF($H9&gt;=70,"Critical Risk",IF($H9&gt;=50,"High Risk",IF($H9&gt;=25,"Moderate Risk","Low Risk")))</f>
        <v>Low Risk</v>
      </c>
      <c r="J9" s="5"/>
      <c r="K9" s="5" t="s">
        <v>152</v>
      </c>
      <c r="L9" s="59">
        <f>SUMIF('07_Hiring_Costs'!$G:$G,$K9,'07_Hiring_Costs'!$F:$F)</f>
        <v>127405.72999999998</v>
      </c>
      <c r="M9" s="19">
        <f>COUNTIFS('06_Recruitment_Pipeline'!$T:$T,A9,'06_Recruitment_Pipeline'!$G:$G,"Hired")</f>
        <v>14</v>
      </c>
      <c r="N9" s="59">
        <f t="shared" ref="N9:N18" si="1">IFERROR($L9/$M9,0)</f>
        <v>9100.4092857142841</v>
      </c>
    </row>
    <row r="10" spans="1:14" ht="19">
      <c r="A10" s="5" t="str">
        <f>'12_Calculation_Layer'!E12</f>
        <v>Credit Evaluation</v>
      </c>
      <c r="B10" s="5"/>
      <c r="C10" s="48">
        <f>'12_Calculation_Layer'!F12</f>
        <v>17</v>
      </c>
      <c r="D10" s="48">
        <f>'12_Calculation_Layer'!G12</f>
        <v>33</v>
      </c>
      <c r="E10" s="49">
        <f>'12_Calculation_Layer'!I12</f>
        <v>0.48484848484848486</v>
      </c>
      <c r="F10" s="49">
        <f>'12_Calculation_Layer'!K12</f>
        <v>0.17647058823529413</v>
      </c>
      <c r="G10" s="49">
        <f>'12_Calculation_Layer'!O12</f>
        <v>0.93055555555555558</v>
      </c>
      <c r="H10" s="50">
        <f ca="1">'12_Calculation_Layer'!Q12</f>
        <v>25.7</v>
      </c>
      <c r="I10" s="5" t="str">
        <f t="shared" ca="1" si="0"/>
        <v>Moderate Risk</v>
      </c>
      <c r="J10" s="5"/>
      <c r="K10" s="5" t="s">
        <v>379</v>
      </c>
      <c r="L10" s="59">
        <f>SUMIF('07_Hiring_Costs'!$G:$G,$K10,'07_Hiring_Costs'!$F:$F)</f>
        <v>209080.15</v>
      </c>
      <c r="M10" s="19">
        <f>COUNTIFS('06_Recruitment_Pipeline'!$T:$T,A10,'06_Recruitment_Pipeline'!$G:$G,"Hired")</f>
        <v>7</v>
      </c>
      <c r="N10" s="59">
        <f t="shared" si="1"/>
        <v>29868.592857142856</v>
      </c>
    </row>
    <row r="11" spans="1:14" ht="19">
      <c r="A11" s="5" t="str">
        <f>'12_Calculation_Layer'!E13</f>
        <v>Loan Processing</v>
      </c>
      <c r="B11" s="5"/>
      <c r="C11" s="48">
        <f>'12_Calculation_Layer'!F13</f>
        <v>18</v>
      </c>
      <c r="D11" s="48">
        <f>'12_Calculation_Layer'!G13</f>
        <v>38</v>
      </c>
      <c r="E11" s="49">
        <f>'12_Calculation_Layer'!I13</f>
        <v>0.52631578947368418</v>
      </c>
      <c r="F11" s="49">
        <f>'12_Calculation_Layer'!K13</f>
        <v>0.44444444444444442</v>
      </c>
      <c r="G11" s="49">
        <f>'12_Calculation_Layer'!O13</f>
        <v>0.82499999999999996</v>
      </c>
      <c r="H11" s="50">
        <f ca="1">'12_Calculation_Layer'!Q13</f>
        <v>43.6</v>
      </c>
      <c r="I11" s="5" t="str">
        <f t="shared" ca="1" si="0"/>
        <v>Moderate Risk</v>
      </c>
      <c r="J11" s="5"/>
      <c r="K11" s="5" t="s">
        <v>176</v>
      </c>
      <c r="L11" s="59">
        <f>SUMIF('07_Hiring_Costs'!$G:$G,$K11,'07_Hiring_Costs'!$F:$F)</f>
        <v>143941.71</v>
      </c>
      <c r="M11" s="19">
        <f>COUNTIFS('06_Recruitment_Pipeline'!$T:$T,A11,'06_Recruitment_Pipeline'!$G:$G,"Hired")</f>
        <v>11</v>
      </c>
      <c r="N11" s="59">
        <f t="shared" si="1"/>
        <v>13085.609999999999</v>
      </c>
    </row>
    <row r="12" spans="1:14" ht="19">
      <c r="A12" s="5" t="str">
        <f>'12_Calculation_Layer'!E14</f>
        <v>Collections</v>
      </c>
      <c r="B12" s="5"/>
      <c r="C12" s="48">
        <f>'12_Calculation_Layer'!F14</f>
        <v>15</v>
      </c>
      <c r="D12" s="48">
        <f>'12_Calculation_Layer'!G14</f>
        <v>39</v>
      </c>
      <c r="E12" s="49">
        <f>'12_Calculation_Layer'!I14</f>
        <v>0.61538461538461542</v>
      </c>
      <c r="F12" s="49">
        <f>'12_Calculation_Layer'!K14</f>
        <v>0.26666666666666666</v>
      </c>
      <c r="G12" s="49">
        <f>'12_Calculation_Layer'!O14</f>
        <v>0.90625</v>
      </c>
      <c r="H12" s="50">
        <f ca="1">'12_Calculation_Layer'!Q14</f>
        <v>41.5</v>
      </c>
      <c r="I12" s="5" t="str">
        <f t="shared" ca="1" si="0"/>
        <v>Moderate Risk</v>
      </c>
      <c r="J12" s="5"/>
      <c r="K12" s="5" t="s">
        <v>371</v>
      </c>
      <c r="L12" s="59">
        <f>SUMIF('07_Hiring_Costs'!$G:$G,$K12,'07_Hiring_Costs'!$F:$F)</f>
        <v>155643.54999999999</v>
      </c>
      <c r="M12" s="19">
        <f>COUNTIFS('06_Recruitment_Pipeline'!$T:$T,A12,'06_Recruitment_Pipeline'!$G:$G,"Hired")</f>
        <v>10</v>
      </c>
      <c r="N12" s="59">
        <f t="shared" si="1"/>
        <v>15564.355</v>
      </c>
    </row>
    <row r="13" spans="1:14" ht="19">
      <c r="A13" s="5" t="str">
        <f>'12_Calculation_Layer'!E15</f>
        <v>Sales &amp; Marketing</v>
      </c>
      <c r="B13" s="5"/>
      <c r="C13" s="48">
        <f>'12_Calculation_Layer'!F15</f>
        <v>22</v>
      </c>
      <c r="D13" s="48">
        <f>'12_Calculation_Layer'!G15</f>
        <v>23</v>
      </c>
      <c r="E13" s="49">
        <f>'12_Calculation_Layer'!I15</f>
        <v>4.3478260869565216E-2</v>
      </c>
      <c r="F13" s="49">
        <f>'12_Calculation_Layer'!K15</f>
        <v>9.0909090909090912E-2</v>
      </c>
      <c r="G13" s="49">
        <f>'12_Calculation_Layer'!O15</f>
        <v>0.97916666666666663</v>
      </c>
      <c r="H13" s="50">
        <f ca="1">'12_Calculation_Layer'!Q15</f>
        <v>12.1</v>
      </c>
      <c r="I13" s="5" t="str">
        <f t="shared" ca="1" si="0"/>
        <v>Low Risk</v>
      </c>
      <c r="J13" s="5"/>
      <c r="K13" s="5" t="s">
        <v>407</v>
      </c>
      <c r="L13" s="59">
        <f>SUMIF('07_Hiring_Costs'!$G:$G,$K13,'07_Hiring_Costs'!$F:$F)</f>
        <v>168636.41</v>
      </c>
      <c r="M13" s="19">
        <f>COUNTIFS('06_Recruitment_Pipeline'!$T:$T,A13,'06_Recruitment_Pipeline'!$G:$G,"Hired")</f>
        <v>13</v>
      </c>
      <c r="N13" s="59">
        <f t="shared" si="1"/>
        <v>12972.031538461539</v>
      </c>
    </row>
    <row r="14" spans="1:14" ht="19">
      <c r="A14" s="5" t="str">
        <f>'12_Calculation_Layer'!E16</f>
        <v>Finance</v>
      </c>
      <c r="B14" s="5"/>
      <c r="C14" s="48">
        <f>'12_Calculation_Layer'!F16</f>
        <v>23</v>
      </c>
      <c r="D14" s="48">
        <f>'12_Calculation_Layer'!G16</f>
        <v>27</v>
      </c>
      <c r="E14" s="49">
        <f>'12_Calculation_Layer'!I16</f>
        <v>0.14814814814814814</v>
      </c>
      <c r="F14" s="49">
        <f>'12_Calculation_Layer'!K16</f>
        <v>0.13043478260869565</v>
      </c>
      <c r="G14" s="49">
        <f>'12_Calculation_Layer'!O16</f>
        <v>0.9375</v>
      </c>
      <c r="H14" s="50">
        <f ca="1">'12_Calculation_Layer'!Q16</f>
        <v>16.600000000000001</v>
      </c>
      <c r="I14" s="5" t="str">
        <f t="shared" ca="1" si="0"/>
        <v>Low Risk</v>
      </c>
      <c r="J14" s="5"/>
      <c r="K14" s="5" t="s">
        <v>37</v>
      </c>
      <c r="L14" s="59">
        <f>SUMIF('07_Hiring_Costs'!$G:$G,$K14,'07_Hiring_Costs'!$F:$F)</f>
        <v>107136.48999999999</v>
      </c>
      <c r="M14" s="19">
        <f>COUNTIFS('06_Recruitment_Pipeline'!$T:$T,A14,'06_Recruitment_Pipeline'!$G:$G,"Hired")</f>
        <v>3</v>
      </c>
      <c r="N14" s="59">
        <f t="shared" si="1"/>
        <v>35712.16333333333</v>
      </c>
    </row>
    <row r="15" spans="1:14" ht="19">
      <c r="A15" s="5" t="str">
        <f>'12_Calculation_Layer'!E17</f>
        <v>Human Resources</v>
      </c>
      <c r="B15" s="5"/>
      <c r="C15" s="48">
        <f>'12_Calculation_Layer'!F17</f>
        <v>19</v>
      </c>
      <c r="D15" s="48">
        <f>'12_Calculation_Layer'!G17</f>
        <v>25</v>
      </c>
      <c r="E15" s="49">
        <f>'12_Calculation_Layer'!I17</f>
        <v>0.24</v>
      </c>
      <c r="F15" s="49">
        <f>'12_Calculation_Layer'!K17</f>
        <v>0.21052631578947367</v>
      </c>
      <c r="G15" s="49">
        <f>'12_Calculation_Layer'!O17</f>
        <v>0.96250000000000002</v>
      </c>
      <c r="H15" s="50">
        <f ca="1">'12_Calculation_Layer'!Q17</f>
        <v>19.3</v>
      </c>
      <c r="I15" s="5" t="str">
        <f t="shared" ca="1" si="0"/>
        <v>Low Risk</v>
      </c>
      <c r="J15" s="5"/>
      <c r="K15" s="5" t="s">
        <v>271</v>
      </c>
      <c r="L15" s="59">
        <f>SUMIF('07_Hiring_Costs'!$G:$G,$K15,'07_Hiring_Costs'!$F:$F)</f>
        <v>154247.54</v>
      </c>
      <c r="M15" s="19">
        <f>COUNTIFS('06_Recruitment_Pipeline'!$T:$T,A15,'06_Recruitment_Pipeline'!$G:$G,"Hired")</f>
        <v>6</v>
      </c>
      <c r="N15" s="59">
        <f t="shared" si="1"/>
        <v>25707.923333333336</v>
      </c>
    </row>
    <row r="16" spans="1:14" ht="19">
      <c r="A16" s="5" t="str">
        <f>'12_Calculation_Layer'!E18</f>
        <v>Information Technology</v>
      </c>
      <c r="B16" s="5"/>
      <c r="C16" s="48">
        <f>'12_Calculation_Layer'!F18</f>
        <v>21</v>
      </c>
      <c r="D16" s="48">
        <f>'12_Calculation_Layer'!G18</f>
        <v>29</v>
      </c>
      <c r="E16" s="49">
        <f>'12_Calculation_Layer'!I18</f>
        <v>0.27586206896551724</v>
      </c>
      <c r="F16" s="49">
        <f>'12_Calculation_Layer'!K18</f>
        <v>0.14285714285714285</v>
      </c>
      <c r="G16" s="49">
        <f>'12_Calculation_Layer'!O18</f>
        <v>1</v>
      </c>
      <c r="H16" s="50">
        <f ca="1">'12_Calculation_Layer'!Q18</f>
        <v>19.899999999999999</v>
      </c>
      <c r="I16" s="5" t="str">
        <f t="shared" ca="1" si="0"/>
        <v>Low Risk</v>
      </c>
      <c r="J16" s="5"/>
      <c r="K16" s="5" t="s">
        <v>416</v>
      </c>
      <c r="L16" s="59">
        <f>SUMIF('07_Hiring_Costs'!$G:$G,$K16,'07_Hiring_Costs'!$F:$F)</f>
        <v>198924.53000000003</v>
      </c>
      <c r="M16" s="19">
        <f>COUNTIFS('06_Recruitment_Pipeline'!$T:$T,A16,'06_Recruitment_Pipeline'!$G:$G,"Hired")</f>
        <v>6</v>
      </c>
      <c r="N16" s="59">
        <f t="shared" si="1"/>
        <v>33154.08833333334</v>
      </c>
    </row>
    <row r="17" spans="1:14" ht="19">
      <c r="A17" s="5" t="str">
        <f>'12_Calculation_Layer'!E19</f>
        <v>Compliance</v>
      </c>
      <c r="B17" s="5"/>
      <c r="C17" s="48">
        <f>'12_Calculation_Layer'!F19</f>
        <v>21</v>
      </c>
      <c r="D17" s="48">
        <f>'12_Calculation_Layer'!G19</f>
        <v>27</v>
      </c>
      <c r="E17" s="49">
        <f>'12_Calculation_Layer'!I19</f>
        <v>0.22222222222222221</v>
      </c>
      <c r="F17" s="49">
        <f>'12_Calculation_Layer'!K19</f>
        <v>9.5238095238095233E-2</v>
      </c>
      <c r="G17" s="49">
        <f>'12_Calculation_Layer'!O19</f>
        <v>0.98750000000000004</v>
      </c>
      <c r="H17" s="50">
        <f>'12_Calculation_Layer'!Q19</f>
        <v>12.1</v>
      </c>
      <c r="I17" s="5" t="str">
        <f t="shared" si="0"/>
        <v>Low Risk</v>
      </c>
      <c r="J17" s="5"/>
      <c r="K17" s="5" t="s">
        <v>104</v>
      </c>
      <c r="L17" s="59">
        <f>SUMIF('07_Hiring_Costs'!$G:$G,$K17,'07_Hiring_Costs'!$F:$F)</f>
        <v>118145.41999999998</v>
      </c>
      <c r="M17" s="19">
        <f>COUNTIFS('06_Recruitment_Pipeline'!$T:$T,A17,'06_Recruitment_Pipeline'!$G:$G,"Hired")</f>
        <v>9</v>
      </c>
      <c r="N17" s="59">
        <f t="shared" si="1"/>
        <v>13127.268888888888</v>
      </c>
    </row>
    <row r="18" spans="1:14" ht="19">
      <c r="A18" s="5" t="str">
        <f>'12_Calculation_Layer'!E20</f>
        <v>Customer Service</v>
      </c>
      <c r="B18" s="5"/>
      <c r="C18" s="48">
        <f>'12_Calculation_Layer'!F20</f>
        <v>21</v>
      </c>
      <c r="D18" s="48">
        <f>'12_Calculation_Layer'!G20</f>
        <v>27</v>
      </c>
      <c r="E18" s="49">
        <f>'12_Calculation_Layer'!I20</f>
        <v>0.22222222222222221</v>
      </c>
      <c r="F18" s="49">
        <f>'12_Calculation_Layer'!K20</f>
        <v>0.19047619047619047</v>
      </c>
      <c r="G18" s="49">
        <f>'12_Calculation_Layer'!O20</f>
        <v>0.984375</v>
      </c>
      <c r="H18" s="50">
        <f ca="1">'12_Calculation_Layer'!Q20</f>
        <v>18.600000000000001</v>
      </c>
      <c r="I18" s="5" t="str">
        <f t="shared" ca="1" si="0"/>
        <v>Low Risk</v>
      </c>
      <c r="J18" s="5"/>
      <c r="K18" s="5" t="s">
        <v>421</v>
      </c>
      <c r="L18" s="59">
        <f>SUMIF('07_Hiring_Costs'!$G:$G,$K18,'07_Hiring_Costs'!$F:$F)</f>
        <v>170518.14999999997</v>
      </c>
      <c r="M18" s="19">
        <f>COUNTIFS('06_Recruitment_Pipeline'!$T:$T,A18,'06_Recruitment_Pipeline'!$G:$G,"Hired")</f>
        <v>9</v>
      </c>
      <c r="N18" s="59">
        <f t="shared" si="1"/>
        <v>18946.461111111108</v>
      </c>
    </row>
    <row r="60" spans="2:6" ht="110" customHeight="1">
      <c r="B60" s="224" t="s">
        <v>3034</v>
      </c>
      <c r="C60" s="222"/>
      <c r="D60" s="223"/>
      <c r="E60" s="66"/>
      <c r="F60" s="66"/>
    </row>
  </sheetData>
  <mergeCells count="1">
    <mergeCell ref="B60:D6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5"/>
  <sheetViews>
    <sheetView showGridLines="0" zoomScale="50" zoomScaleNormal="50" workbookViewId="0">
      <selection activeCell="F9" sqref="F9"/>
    </sheetView>
  </sheetViews>
  <sheetFormatPr baseColWidth="10" defaultColWidth="8.83203125" defaultRowHeight="14"/>
  <cols>
    <col min="1" max="14" width="30.83203125" customWidth="1"/>
  </cols>
  <sheetData>
    <row r="1" spans="1:16" ht="44">
      <c r="A1" s="61" t="s">
        <v>2781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6" ht="25">
      <c r="A2" s="51" t="s">
        <v>2782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16" ht="31">
      <c r="A4" s="25" t="s">
        <v>2688</v>
      </c>
      <c r="B4" s="25"/>
      <c r="C4" s="23" t="s">
        <v>2691</v>
      </c>
      <c r="D4" s="23"/>
      <c r="E4" s="21" t="s">
        <v>2693</v>
      </c>
      <c r="F4" s="21"/>
      <c r="G4" s="21" t="s">
        <v>2783</v>
      </c>
      <c r="H4" s="21"/>
      <c r="I4" s="25" t="s">
        <v>2717</v>
      </c>
      <c r="J4" s="25"/>
      <c r="K4" s="23" t="s">
        <v>2972</v>
      </c>
      <c r="L4" s="23"/>
      <c r="M4" s="23" t="s">
        <v>2700</v>
      </c>
      <c r="N4" s="23"/>
      <c r="P4" s="2"/>
    </row>
    <row r="5" spans="1:16" ht="37">
      <c r="A5" s="26">
        <f>'12_Calculation_Layer'!B11</f>
        <v>202</v>
      </c>
      <c r="B5" s="36"/>
      <c r="C5" s="37">
        <f>'12_Calculation_Layer'!B14</f>
        <v>0.31058020477815701</v>
      </c>
      <c r="D5" s="37"/>
      <c r="E5" s="39">
        <f>'12_Calculation_Layer'!B22</f>
        <v>0.17326732673267325</v>
      </c>
      <c r="F5" s="39"/>
      <c r="G5" s="39">
        <f>'12_Calculation_Layer'!B25</f>
        <v>6.9306930693069313E-2</v>
      </c>
      <c r="H5" s="39"/>
      <c r="I5" s="43">
        <f>'12_Calculation_Layer'!B20</f>
        <v>17655.450909090912</v>
      </c>
      <c r="J5" s="26"/>
      <c r="K5" s="40">
        <f ca="1">'12_Calculation_Layer'!B30</f>
        <v>21.169999999999998</v>
      </c>
      <c r="L5" s="37"/>
      <c r="M5" s="65" t="str">
        <f ca="1">IF(K5&gt;=75,"Critical Risk",IF(K5&gt;=50,"High Risk",IF(K5&gt;=25,"Moderate Risk","Low Risk")))</f>
        <v>Low Risk</v>
      </c>
      <c r="N5" s="65"/>
    </row>
    <row r="8" spans="1:16" ht="24">
      <c r="A8" s="47" t="s">
        <v>2740</v>
      </c>
      <c r="B8" s="47" t="s">
        <v>2741</v>
      </c>
      <c r="C8" s="47" t="s">
        <v>2692</v>
      </c>
      <c r="D8" s="47" t="s">
        <v>2688</v>
      </c>
      <c r="F8" s="47" t="s">
        <v>2687</v>
      </c>
      <c r="G8" s="47" t="s">
        <v>2699</v>
      </c>
      <c r="H8" s="47" t="s">
        <v>2700</v>
      </c>
      <c r="I8" s="47" t="s">
        <v>2758</v>
      </c>
      <c r="K8" s="46" t="s">
        <v>2784</v>
      </c>
      <c r="L8" s="46"/>
      <c r="M8" s="47" t="s">
        <v>2785</v>
      </c>
      <c r="N8" s="47" t="s">
        <v>2786</v>
      </c>
    </row>
    <row r="9" spans="1:16" ht="30" customHeight="1">
      <c r="A9" s="62">
        <f>'12_Calculation_Layer'!F34</f>
        <v>45778</v>
      </c>
      <c r="B9" s="19">
        <f>'12_Calculation_Layer'!G34</f>
        <v>4</v>
      </c>
      <c r="C9" s="19">
        <f>'12_Calculation_Layer'!H34</f>
        <v>3</v>
      </c>
      <c r="D9" s="19">
        <f>'12_Calculation_Layer'!I34</f>
        <v>207</v>
      </c>
      <c r="E9" s="5"/>
      <c r="F9" s="5" t="str">
        <f>'12_Calculation_Layer'!E11</f>
        <v>Branch Operations</v>
      </c>
      <c r="G9" s="19">
        <f ca="1">'12_Calculation_Layer'!Q11</f>
        <v>2.2999999999999998</v>
      </c>
      <c r="H9" s="19" t="str">
        <f t="shared" ref="H9:H18" ca="1" si="0">IF($G9&gt;=70,"Critical Risk",IF($G9&gt;=50,"High Risk",IF($G9&gt;=25,"Moderate Risk","Low Risk")))</f>
        <v>Low Risk</v>
      </c>
      <c r="I9" s="64" t="str">
        <f ca="1">'13_Analysis_Summary'!Q36</f>
        <v>Maintain current plan</v>
      </c>
      <c r="J9" s="5"/>
      <c r="K9" s="225" t="str">
        <f ca="1">IF(MAX($G$9:$G$18)&gt;=75,"Escalate critical workforce risk department","Monitor and manage high-risk departments")</f>
        <v>Monitor and manage high-risk departments</v>
      </c>
      <c r="L9" s="225"/>
      <c r="M9" s="63" t="str">
        <f ca="1">MAX($G$9:$G$18)&amp;" highest risk score"</f>
        <v>43.6 highest risk score</v>
      </c>
      <c r="N9" s="63" t="str">
        <f ca="1">IF(MAX($G$9:$G$18)&gt;=75,"Critical","High")</f>
        <v>High</v>
      </c>
    </row>
    <row r="10" spans="1:16" ht="30" customHeight="1">
      <c r="A10" s="62">
        <f>'12_Calculation_Layer'!F35</f>
        <v>45809</v>
      </c>
      <c r="B10" s="19">
        <f>'12_Calculation_Layer'!G35</f>
        <v>1</v>
      </c>
      <c r="C10" s="19">
        <f>'12_Calculation_Layer'!H35</f>
        <v>4</v>
      </c>
      <c r="D10" s="19">
        <f>'12_Calculation_Layer'!I35</f>
        <v>201</v>
      </c>
      <c r="E10" s="5"/>
      <c r="F10" s="5" t="str">
        <f>'12_Calculation_Layer'!E12</f>
        <v>Credit Evaluation</v>
      </c>
      <c r="G10" s="19">
        <f ca="1">'12_Calculation_Layer'!Q12</f>
        <v>25.7</v>
      </c>
      <c r="H10" s="19" t="str">
        <f t="shared" ca="1" si="0"/>
        <v>Moderate Risk</v>
      </c>
      <c r="I10" s="64" t="str">
        <f ca="1">'13_Analysis_Summary'!Q37</f>
        <v>Monitor monthly</v>
      </c>
      <c r="J10" s="5"/>
      <c r="K10" s="225" t="str">
        <f>IF('12_Calculation_Layer'!B14&gt;0.1,"Prioritize vacancy closure in high-gap departments","Vacancy rate is within manageable range")</f>
        <v>Prioritize vacancy closure in high-gap departments</v>
      </c>
      <c r="L10" s="225"/>
      <c r="M10" s="63" t="str">
        <f>TEXT('12_Calculation_Layer'!B14,"0.0%")&amp;" vacancy rate"</f>
        <v>31.1% vacancy rate</v>
      </c>
      <c r="N10" s="63" t="str">
        <f>IF('12_Calculation_Layer'!B14&gt;0.1,"High","Medium")</f>
        <v>High</v>
      </c>
    </row>
    <row r="11" spans="1:16" ht="30" customHeight="1">
      <c r="A11" s="62">
        <f>'12_Calculation_Layer'!F36</f>
        <v>45839</v>
      </c>
      <c r="B11" s="19">
        <f>'12_Calculation_Layer'!G36</f>
        <v>6</v>
      </c>
      <c r="C11" s="19">
        <f>'12_Calculation_Layer'!H36</f>
        <v>2</v>
      </c>
      <c r="D11" s="19">
        <f>'12_Calculation_Layer'!I36</f>
        <v>205</v>
      </c>
      <c r="E11" s="5"/>
      <c r="F11" s="5" t="str">
        <f>'12_Calculation_Layer'!E13</f>
        <v>Loan Processing</v>
      </c>
      <c r="G11" s="19">
        <f ca="1">'12_Calculation_Layer'!Q13</f>
        <v>43.6</v>
      </c>
      <c r="H11" s="19" t="str">
        <f t="shared" ca="1" si="0"/>
        <v>Moderate Risk</v>
      </c>
      <c r="I11" s="64" t="str">
        <f ca="1">'13_Analysis_Summary'!Q38</f>
        <v>Monitor monthly</v>
      </c>
      <c r="J11" s="5"/>
      <c r="K11" s="225" t="str">
        <f>IF('12_Calculation_Layer'!B22&gt;0.15,"Review attrition drivers and regrettable exits","Continue retention monitoring")</f>
        <v>Review attrition drivers and regrettable exits</v>
      </c>
      <c r="L11" s="225"/>
      <c r="M11" s="63" t="str">
        <f>TEXT('12_Calculation_Layer'!B22,"0.0%")&amp;" attrition rate"</f>
        <v>17.3% attrition rate</v>
      </c>
      <c r="N11" s="63" t="str">
        <f>IF('12_Calculation_Layer'!B22&gt;0.15,"High","Medium")</f>
        <v>High</v>
      </c>
    </row>
    <row r="12" spans="1:16" ht="19">
      <c r="A12" s="62">
        <f>'12_Calculation_Layer'!F37</f>
        <v>45870</v>
      </c>
      <c r="B12" s="19">
        <f>'12_Calculation_Layer'!G37</f>
        <v>2</v>
      </c>
      <c r="C12" s="19">
        <f>'12_Calculation_Layer'!H37</f>
        <v>4</v>
      </c>
      <c r="D12" s="19">
        <f>'12_Calculation_Layer'!I37</f>
        <v>199</v>
      </c>
      <c r="E12" s="5"/>
      <c r="F12" s="5" t="str">
        <f>'12_Calculation_Layer'!E14</f>
        <v>Collections</v>
      </c>
      <c r="G12" s="19">
        <f ca="1">'12_Calculation_Layer'!Q14</f>
        <v>41.5</v>
      </c>
      <c r="H12" s="19" t="str">
        <f t="shared" ca="1" si="0"/>
        <v>Moderate Risk</v>
      </c>
      <c r="I12" s="64" t="str">
        <f ca="1">'13_Analysis_Summary'!Q39</f>
        <v>Monitor monthly</v>
      </c>
      <c r="J12" s="5"/>
      <c r="K12" s="5"/>
      <c r="L12" s="5"/>
      <c r="M12" s="5"/>
      <c r="N12" s="5"/>
    </row>
    <row r="13" spans="1:16" ht="19">
      <c r="A13" s="62">
        <f>'12_Calculation_Layer'!F38</f>
        <v>45901</v>
      </c>
      <c r="B13" s="19">
        <f>'12_Calculation_Layer'!G38</f>
        <v>5</v>
      </c>
      <c r="C13" s="19">
        <f>'12_Calculation_Layer'!H38</f>
        <v>5</v>
      </c>
      <c r="D13" s="19">
        <f>'12_Calculation_Layer'!I38</f>
        <v>195</v>
      </c>
      <c r="E13" s="5"/>
      <c r="F13" s="5" t="str">
        <f>'12_Calculation_Layer'!E15</f>
        <v>Sales &amp; Marketing</v>
      </c>
      <c r="G13" s="19">
        <f ca="1">'12_Calculation_Layer'!Q15</f>
        <v>12.1</v>
      </c>
      <c r="H13" s="19" t="str">
        <f t="shared" ca="1" si="0"/>
        <v>Low Risk</v>
      </c>
      <c r="I13" s="64" t="str">
        <f ca="1">'13_Analysis_Summary'!Q40</f>
        <v>Maintain current plan</v>
      </c>
      <c r="J13" s="5"/>
      <c r="K13" s="5"/>
      <c r="L13" s="5"/>
      <c r="M13" s="5"/>
      <c r="N13" s="5"/>
    </row>
    <row r="14" spans="1:16" ht="19">
      <c r="A14" s="62">
        <f>'12_Calculation_Layer'!F39</f>
        <v>45931</v>
      </c>
      <c r="B14" s="19">
        <f>'12_Calculation_Layer'!G39</f>
        <v>8</v>
      </c>
      <c r="C14" s="19">
        <f>'12_Calculation_Layer'!H39</f>
        <v>5</v>
      </c>
      <c r="D14" s="19">
        <f>'12_Calculation_Layer'!I39</f>
        <v>195</v>
      </c>
      <c r="E14" s="5"/>
      <c r="F14" s="5" t="str">
        <f>'12_Calculation_Layer'!E16</f>
        <v>Finance</v>
      </c>
      <c r="G14" s="19">
        <f ca="1">'12_Calculation_Layer'!Q16</f>
        <v>16.600000000000001</v>
      </c>
      <c r="H14" s="19" t="str">
        <f t="shared" ca="1" si="0"/>
        <v>Low Risk</v>
      </c>
      <c r="I14" s="64" t="str">
        <f ca="1">'13_Analysis_Summary'!Q41</f>
        <v>Maintain current plan</v>
      </c>
      <c r="J14" s="5"/>
      <c r="K14" s="5"/>
      <c r="L14" s="5"/>
      <c r="M14" s="5"/>
      <c r="N14" s="5"/>
    </row>
    <row r="15" spans="1:16" ht="19">
      <c r="A15" s="62">
        <f>'12_Calculation_Layer'!F40</f>
        <v>45962</v>
      </c>
      <c r="B15" s="19">
        <f>'12_Calculation_Layer'!G40</f>
        <v>8</v>
      </c>
      <c r="C15" s="19">
        <f>'12_Calculation_Layer'!H40</f>
        <v>2</v>
      </c>
      <c r="D15" s="19">
        <f>'12_Calculation_Layer'!I40</f>
        <v>205</v>
      </c>
      <c r="E15" s="5"/>
      <c r="F15" s="5" t="str">
        <f>'12_Calculation_Layer'!E17</f>
        <v>Human Resources</v>
      </c>
      <c r="G15" s="19">
        <f ca="1">'12_Calculation_Layer'!Q17</f>
        <v>19.3</v>
      </c>
      <c r="H15" s="19" t="str">
        <f t="shared" ca="1" si="0"/>
        <v>Low Risk</v>
      </c>
      <c r="I15" s="64" t="str">
        <f ca="1">'13_Analysis_Summary'!Q42</f>
        <v>Maintain current plan</v>
      </c>
      <c r="J15" s="5"/>
      <c r="K15" s="5"/>
      <c r="L15" s="5"/>
      <c r="M15" s="5"/>
      <c r="N15" s="5"/>
    </row>
    <row r="16" spans="1:16" ht="19">
      <c r="A16" s="62">
        <f>'12_Calculation_Layer'!F41</f>
        <v>45992</v>
      </c>
      <c r="B16" s="19">
        <f>'12_Calculation_Layer'!G41</f>
        <v>4</v>
      </c>
      <c r="C16" s="19">
        <f>'12_Calculation_Layer'!H41</f>
        <v>0</v>
      </c>
      <c r="D16" s="19">
        <f>'12_Calculation_Layer'!I41</f>
        <v>208</v>
      </c>
      <c r="E16" s="5"/>
      <c r="F16" s="5" t="str">
        <f>'12_Calculation_Layer'!E18</f>
        <v>Information Technology</v>
      </c>
      <c r="G16" s="19">
        <f ca="1">'12_Calculation_Layer'!Q18</f>
        <v>19.899999999999999</v>
      </c>
      <c r="H16" s="19" t="str">
        <f t="shared" ca="1" si="0"/>
        <v>Low Risk</v>
      </c>
      <c r="I16" s="64" t="str">
        <f ca="1">'13_Analysis_Summary'!Q43</f>
        <v>Maintain current plan</v>
      </c>
      <c r="J16" s="5"/>
      <c r="K16" s="5"/>
      <c r="L16" s="5"/>
      <c r="M16" s="5"/>
      <c r="N16" s="5"/>
    </row>
    <row r="17" spans="1:14" ht="19">
      <c r="A17" s="62">
        <f>'12_Calculation_Layer'!F42</f>
        <v>46023</v>
      </c>
      <c r="B17" s="19">
        <f>'12_Calculation_Layer'!G42</f>
        <v>6</v>
      </c>
      <c r="C17" s="19">
        <f>'12_Calculation_Layer'!H42</f>
        <v>5</v>
      </c>
      <c r="D17" s="19">
        <f>'12_Calculation_Layer'!I42</f>
        <v>199</v>
      </c>
      <c r="E17" s="5"/>
      <c r="F17" s="5" t="str">
        <f>'12_Calculation_Layer'!E19</f>
        <v>Compliance</v>
      </c>
      <c r="G17" s="19">
        <f>'12_Calculation_Layer'!Q19</f>
        <v>12.1</v>
      </c>
      <c r="H17" s="19" t="str">
        <f t="shared" si="0"/>
        <v>Low Risk</v>
      </c>
      <c r="I17" s="64" t="str">
        <f>'13_Analysis_Summary'!Q44</f>
        <v>Maintain current plan</v>
      </c>
      <c r="J17" s="5"/>
      <c r="K17" s="5"/>
      <c r="L17" s="5"/>
      <c r="M17" s="5"/>
      <c r="N17" s="5"/>
    </row>
    <row r="18" spans="1:14" ht="19">
      <c r="A18" s="62">
        <f>'12_Calculation_Layer'!F43</f>
        <v>46054</v>
      </c>
      <c r="B18" s="19">
        <f>'12_Calculation_Layer'!G43</f>
        <v>10</v>
      </c>
      <c r="C18" s="19">
        <f>'12_Calculation_Layer'!H43</f>
        <v>1</v>
      </c>
      <c r="D18" s="19">
        <f>'12_Calculation_Layer'!I43</f>
        <v>202</v>
      </c>
      <c r="E18" s="5"/>
      <c r="F18" s="5" t="str">
        <f>'12_Calculation_Layer'!E20</f>
        <v>Customer Service</v>
      </c>
      <c r="G18" s="19">
        <f ca="1">'12_Calculation_Layer'!Q20</f>
        <v>18.600000000000001</v>
      </c>
      <c r="H18" s="19" t="str">
        <f t="shared" ca="1" si="0"/>
        <v>Low Risk</v>
      </c>
      <c r="I18" s="64" t="str">
        <f ca="1">'13_Analysis_Summary'!Q45</f>
        <v>Maintain current plan</v>
      </c>
      <c r="J18" s="5"/>
      <c r="K18" s="5"/>
      <c r="L18" s="5"/>
      <c r="M18" s="5"/>
      <c r="N18" s="5"/>
    </row>
    <row r="19" spans="1:14" ht="19">
      <c r="A19" s="62">
        <f>'12_Calculation_Layer'!F44</f>
        <v>46082</v>
      </c>
      <c r="B19" s="19">
        <f>'12_Calculation_Layer'!G44</f>
        <v>9</v>
      </c>
      <c r="C19" s="19">
        <f>'12_Calculation_Layer'!H44</f>
        <v>2</v>
      </c>
      <c r="D19" s="19">
        <f>'12_Calculation_Layer'!I44</f>
        <v>197</v>
      </c>
      <c r="E19" s="5"/>
      <c r="F19" s="5"/>
      <c r="G19" s="19"/>
      <c r="H19" s="5"/>
      <c r="I19" s="5"/>
      <c r="J19" s="5"/>
      <c r="K19" s="5"/>
      <c r="L19" s="5"/>
      <c r="M19" s="5"/>
      <c r="N19" s="5"/>
    </row>
    <row r="20" spans="1:14" ht="19">
      <c r="A20" s="62">
        <f>'12_Calculation_Layer'!F45</f>
        <v>46113</v>
      </c>
      <c r="B20" s="19">
        <f>'12_Calculation_Layer'!G45</f>
        <v>9</v>
      </c>
      <c r="C20" s="19">
        <f>'12_Calculation_Layer'!H45</f>
        <v>2</v>
      </c>
      <c r="D20" s="19">
        <f>'12_Calculation_Layer'!I45</f>
        <v>199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55" spans="1:7" ht="121" customHeight="1">
      <c r="A55" s="1"/>
      <c r="B55" s="227" t="s">
        <v>3035</v>
      </c>
      <c r="C55" s="228"/>
      <c r="D55" s="229"/>
      <c r="E55" s="67"/>
      <c r="F55" s="67"/>
      <c r="G55" s="60"/>
    </row>
    <row r="56" spans="1:7" ht="24">
      <c r="B56" s="226"/>
      <c r="C56" s="226"/>
      <c r="D56" s="226"/>
      <c r="E56" s="226"/>
      <c r="F56" s="226"/>
      <c r="G56" s="60"/>
    </row>
    <row r="65" spans="7:7">
      <c r="G65" s="2"/>
    </row>
  </sheetData>
  <mergeCells count="5">
    <mergeCell ref="K9:L9"/>
    <mergeCell ref="K10:L10"/>
    <mergeCell ref="K11:L11"/>
    <mergeCell ref="B56:F56"/>
    <mergeCell ref="B55:D5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"/>
  <sheetViews>
    <sheetView showGridLines="0" zoomScale="130" zoomScaleNormal="130" workbookViewId="0">
      <selection activeCell="C6" sqref="A1:XFD1048576"/>
    </sheetView>
  </sheetViews>
  <sheetFormatPr baseColWidth="10" defaultColWidth="8.83203125" defaultRowHeight="15"/>
  <cols>
    <col min="1" max="1" width="12" style="91" customWidth="1"/>
    <col min="2" max="2" width="15" style="91" customWidth="1"/>
    <col min="3" max="3" width="95.6640625" style="91" bestFit="1" customWidth="1"/>
    <col min="4" max="4" width="18" style="91" customWidth="1"/>
    <col min="5" max="16384" width="8.83203125" style="91"/>
  </cols>
  <sheetData>
    <row r="1" spans="1:4" ht="44">
      <c r="A1" s="61" t="s">
        <v>2787</v>
      </c>
      <c r="B1" s="61"/>
      <c r="C1" s="61"/>
      <c r="D1" s="61"/>
    </row>
    <row r="2" spans="1:4" ht="25">
      <c r="A2" s="51" t="s">
        <v>2788</v>
      </c>
      <c r="B2" s="51"/>
      <c r="C2" s="51"/>
      <c r="D2" s="51"/>
    </row>
    <row r="4" spans="1:4" ht="16">
      <c r="A4" s="98" t="s">
        <v>2789</v>
      </c>
      <c r="B4" s="99" t="s">
        <v>125</v>
      </c>
      <c r="C4" s="99" t="s">
        <v>2790</v>
      </c>
      <c r="D4" s="109" t="s">
        <v>5</v>
      </c>
    </row>
    <row r="5" spans="1:4">
      <c r="A5" s="181">
        <v>1</v>
      </c>
      <c r="B5" s="183" t="s">
        <v>2791</v>
      </c>
      <c r="C5" s="101" t="s">
        <v>2792</v>
      </c>
      <c r="D5" s="103" t="s">
        <v>2793</v>
      </c>
    </row>
    <row r="6" spans="1:4">
      <c r="A6" s="181">
        <v>2</v>
      </c>
      <c r="B6" s="183" t="s">
        <v>2791</v>
      </c>
      <c r="C6" s="101" t="s">
        <v>2794</v>
      </c>
      <c r="D6" s="103" t="s">
        <v>2793</v>
      </c>
    </row>
    <row r="7" spans="1:4">
      <c r="A7" s="182">
        <v>2.1</v>
      </c>
      <c r="B7" s="184"/>
      <c r="C7" s="105" t="s">
        <v>2795</v>
      </c>
      <c r="D7" s="107" t="s">
        <v>2793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0"/>
  <sheetViews>
    <sheetView showGridLines="0" zoomScale="125" zoomScaleNormal="125" workbookViewId="0">
      <selection activeCell="B16" sqref="B16"/>
    </sheetView>
  </sheetViews>
  <sheetFormatPr baseColWidth="10" defaultColWidth="8.83203125" defaultRowHeight="15"/>
  <cols>
    <col min="1" max="1" width="34" style="91" customWidth="1"/>
    <col min="2" max="2" width="52" style="91" customWidth="1"/>
    <col min="3" max="3" width="14" style="91" customWidth="1"/>
    <col min="4" max="4" width="12" style="91" customWidth="1"/>
    <col min="5" max="5" width="52" style="91" customWidth="1"/>
    <col min="6" max="16384" width="8.83203125" style="91"/>
  </cols>
  <sheetData>
    <row r="1" spans="1:5" ht="44">
      <c r="A1" s="61" t="s">
        <v>2796</v>
      </c>
      <c r="B1" s="61"/>
      <c r="C1" s="61"/>
      <c r="D1" s="61"/>
      <c r="E1" s="61"/>
    </row>
    <row r="2" spans="1:5" ht="25">
      <c r="A2" s="51" t="s">
        <v>2797</v>
      </c>
      <c r="B2" s="51"/>
      <c r="C2" s="51"/>
      <c r="D2" s="51"/>
      <c r="E2" s="51"/>
    </row>
    <row r="4" spans="1:5" ht="16">
      <c r="A4" s="98" t="s">
        <v>2798</v>
      </c>
      <c r="B4" s="99" t="s">
        <v>2785</v>
      </c>
      <c r="C4" s="99" t="s">
        <v>2799</v>
      </c>
      <c r="D4" s="99" t="s">
        <v>2768</v>
      </c>
      <c r="E4" s="109" t="s">
        <v>2800</v>
      </c>
    </row>
    <row r="5" spans="1:5" ht="16">
      <c r="A5" s="80" t="s">
        <v>2801</v>
      </c>
      <c r="B5" s="82" t="s">
        <v>2802</v>
      </c>
      <c r="C5" s="83">
        <f>COUNTIFS('03_Employee_Master'!$B:$B,"&lt;&gt;",'03_Employee_Master'!$A:$A,"")</f>
        <v>0</v>
      </c>
      <c r="D5" s="83" t="str">
        <f t="shared" ref="D5:D20" si="0">IF($C5=0,"Pass",IF($C5&lt;=3,"Review","Fail"))</f>
        <v>Pass</v>
      </c>
      <c r="E5" s="84" t="s">
        <v>2803</v>
      </c>
    </row>
    <row r="6" spans="1:5" ht="16">
      <c r="A6" s="80" t="s">
        <v>2804</v>
      </c>
      <c r="B6" s="82" t="s">
        <v>2805</v>
      </c>
      <c r="C6" s="83">
        <f>SUMPRODUCT(('03_Employee_Master'!$A$5:$A$254&lt;&gt;"")*(COUNTIF('03_Employee_Master'!$A$5:$A$254,'03_Employee_Master'!$A$5:$A$254)&gt;1))</f>
        <v>0</v>
      </c>
      <c r="D6" s="83" t="str">
        <f t="shared" si="0"/>
        <v>Pass</v>
      </c>
      <c r="E6" s="84" t="s">
        <v>2806</v>
      </c>
    </row>
    <row r="7" spans="1:5" ht="16">
      <c r="A7" s="80" t="s">
        <v>2807</v>
      </c>
      <c r="B7" s="82" t="s">
        <v>2808</v>
      </c>
      <c r="C7" s="83">
        <f>COUNTIFS('03_Employee_Master'!$L$5:$L$254,"Active",'03_Employee_Master'!$U$5:$U$254,"Yes")</f>
        <v>0</v>
      </c>
      <c r="D7" s="83" t="str">
        <f t="shared" si="0"/>
        <v>Pass</v>
      </c>
      <c r="E7" s="84" t="s">
        <v>2809</v>
      </c>
    </row>
    <row r="8" spans="1:5" ht="16">
      <c r="A8" s="80" t="s">
        <v>2810</v>
      </c>
      <c r="B8" s="82" t="s">
        <v>2811</v>
      </c>
      <c r="C8" s="83">
        <f>COUNTIFS('03_Employee_Master'!$L$5:$L$254,"Resigned",'03_Employee_Master'!$U$5:$U$254,"No")</f>
        <v>0</v>
      </c>
      <c r="D8" s="83" t="str">
        <f t="shared" si="0"/>
        <v>Pass</v>
      </c>
      <c r="E8" s="84" t="s">
        <v>2812</v>
      </c>
    </row>
    <row r="9" spans="1:5" ht="16">
      <c r="A9" s="80" t="s">
        <v>2813</v>
      </c>
      <c r="B9" s="82" t="s">
        <v>2814</v>
      </c>
      <c r="C9" s="83">
        <f>SUMPRODUCT(('09_Attrition_Tracker'!$A$5:$A$52&lt;&gt;"")*('09_Attrition_Tracker'!$G$5:$G$52&lt;'09_Attrition_Tracker'!$F$5:$F$52))</f>
        <v>0</v>
      </c>
      <c r="D9" s="83" t="str">
        <f t="shared" si="0"/>
        <v>Pass</v>
      </c>
      <c r="E9" s="84" t="s">
        <v>2815</v>
      </c>
    </row>
    <row r="10" spans="1:5" ht="16">
      <c r="A10" s="80" t="s">
        <v>2816</v>
      </c>
      <c r="B10" s="82" t="s">
        <v>2817</v>
      </c>
      <c r="C10" s="83">
        <f>COUNTIFS('05_Requisitions_MRF'!$A$5:$A$254,"&lt;&gt;",'05_Requisitions_MRF'!$K$5:$K$254,"&lt;&gt;Cancelled",'05_Requisitions_MRF'!$L$5:$L$254,"")</f>
        <v>0</v>
      </c>
      <c r="D10" s="83" t="str">
        <f t="shared" si="0"/>
        <v>Pass</v>
      </c>
      <c r="E10" s="84" t="s">
        <v>2818</v>
      </c>
    </row>
    <row r="11" spans="1:5" ht="16">
      <c r="A11" s="80" t="s">
        <v>2819</v>
      </c>
      <c r="B11" s="82" t="s">
        <v>2820</v>
      </c>
      <c r="C11" s="83">
        <f>COUNTIFS('05_Requisitions_MRF'!$K:$K,"Open",'05_Requisitions_MRF'!$C:$C,"")</f>
        <v>0</v>
      </c>
      <c r="D11" s="83" t="str">
        <f t="shared" si="0"/>
        <v>Pass</v>
      </c>
      <c r="E11" s="84" t="s">
        <v>2821</v>
      </c>
    </row>
    <row r="12" spans="1:5" ht="16">
      <c r="A12" s="80" t="s">
        <v>2822</v>
      </c>
      <c r="B12" s="82" t="s">
        <v>2823</v>
      </c>
      <c r="C12" s="83">
        <f>COUNTIFS('06_Recruitment_Pipeline'!$G:$G,"Hired",'06_Recruitment_Pipeline'!$M:$M,"")</f>
        <v>0</v>
      </c>
      <c r="D12" s="83" t="str">
        <f t="shared" si="0"/>
        <v>Pass</v>
      </c>
      <c r="E12" s="84" t="s">
        <v>2824</v>
      </c>
    </row>
    <row r="13" spans="1:5" ht="16">
      <c r="A13" s="80" t="s">
        <v>2825</v>
      </c>
      <c r="B13" s="82" t="s">
        <v>2826</v>
      </c>
      <c r="C13" s="83" cm="1">
        <f t="array" ref="C13">SUMPRODUCT(--('06_Recruitment_Pipeline'!$B$5:$B$481&lt;&gt;""),--(COUNTIF('05_Requisitions_MRF'!$A$5:$A$254,'06_Recruitment_Pipeline'!$B$5:$B$481)=0))</f>
        <v>0</v>
      </c>
      <c r="D13" s="83" t="str">
        <f t="shared" si="0"/>
        <v>Pass</v>
      </c>
      <c r="E13" s="84" t="s">
        <v>2827</v>
      </c>
    </row>
    <row r="14" spans="1:5" ht="16">
      <c r="A14" s="80" t="s">
        <v>2828</v>
      </c>
      <c r="B14" s="82" t="s">
        <v>2829</v>
      </c>
      <c r="C14" s="83">
        <f>COUNTIFS('07_Hiring_Costs'!$A:$A,"&lt;&gt;",'07_Hiring_Costs'!$B:$B,"")</f>
        <v>2</v>
      </c>
      <c r="D14" s="83" t="str">
        <f t="shared" si="0"/>
        <v>Review</v>
      </c>
      <c r="E14" s="84" t="s">
        <v>2830</v>
      </c>
    </row>
    <row r="15" spans="1:5" ht="16">
      <c r="A15" s="80" t="s">
        <v>2831</v>
      </c>
      <c r="B15" s="82" t="s">
        <v>2832</v>
      </c>
      <c r="C15" s="83">
        <f>COUNTIFS('08_Onboarding_Tracker'!$A:$A,"&lt;&gt;",'08_Onboarding_Tracker'!$B:$B,"")</f>
        <v>2</v>
      </c>
      <c r="D15" s="83" t="str">
        <f t="shared" si="0"/>
        <v>Review</v>
      </c>
      <c r="E15" s="84" t="s">
        <v>2833</v>
      </c>
    </row>
    <row r="16" spans="1:5" ht="16">
      <c r="A16" s="80" t="s">
        <v>2834</v>
      </c>
      <c r="B16" s="82" t="s">
        <v>2835</v>
      </c>
      <c r="C16" s="83">
        <f>COUNTIFS('08_Onboarding_Tracker'!$N:$N,"Complete",'08_Onboarding_Tracker'!$O:$O,"&lt;1")</f>
        <v>0</v>
      </c>
      <c r="D16" s="83" t="str">
        <f t="shared" si="0"/>
        <v>Pass</v>
      </c>
      <c r="E16" s="84" t="s">
        <v>2836</v>
      </c>
    </row>
    <row r="17" spans="1:5" ht="16">
      <c r="A17" s="80" t="s">
        <v>2837</v>
      </c>
      <c r="B17" s="82" t="s">
        <v>2838</v>
      </c>
      <c r="C17" s="83">
        <f>COUNTIFS('09_Attrition_Tracker'!$A:$A,"&lt;&gt;",'09_Attrition_Tracker'!$J:$J,"")</f>
        <v>2</v>
      </c>
      <c r="D17" s="83" t="str">
        <f t="shared" si="0"/>
        <v>Review</v>
      </c>
      <c r="E17" s="84" t="s">
        <v>2839</v>
      </c>
    </row>
    <row r="18" spans="1:5" ht="32">
      <c r="A18" s="80" t="s">
        <v>2840</v>
      </c>
      <c r="B18" s="82" t="s">
        <v>2841</v>
      </c>
      <c r="C18" s="83" cm="1">
        <f t="array" ref="C18">SUMPRODUCT(--('08_Onboarding_Tracker'!$B$5:$B$83&lt;&gt;""),--('08_Onboarding_Tracker'!$D$5:$D$83&lt;&gt;IFERROR(_xlfn.XLOOKUP('08_Onboarding_Tracker'!$B$5:$B$83,'03_Employee_Master'!$A$5:$A$254,'03_Employee_Master'!$C$5:$C$254,""),"")))</f>
        <v>0</v>
      </c>
      <c r="D18" s="83" t="str">
        <f t="shared" si="0"/>
        <v>Pass</v>
      </c>
      <c r="E18" s="84" t="s">
        <v>2842</v>
      </c>
    </row>
    <row r="19" spans="1:5" ht="16">
      <c r="A19" s="80" t="s">
        <v>2843</v>
      </c>
      <c r="B19" s="82" t="s">
        <v>2844</v>
      </c>
      <c r="C19" s="83">
        <f>SUMPRODUCT(('03_Employee_Master'!$L$5:$L$254&lt;&gt;"")*('03_Employee_Master'!$L$5:$L$254&lt;&gt;"Active")*('03_Employee_Master'!$L$5:$L$254&lt;&gt;"Resigned")*('03_Employee_Master'!$L$5:$L$254&lt;&gt;"Terminated")*('03_Employee_Master'!$L$5:$L$254&lt;&gt;"On Leave"))</f>
        <v>0</v>
      </c>
      <c r="D19" s="83" t="str">
        <f t="shared" si="0"/>
        <v>Pass</v>
      </c>
      <c r="E19" s="84" t="s">
        <v>2845</v>
      </c>
    </row>
    <row r="20" spans="1:5" ht="16">
      <c r="A20" s="86" t="s">
        <v>2846</v>
      </c>
      <c r="B20" s="88" t="s">
        <v>2847</v>
      </c>
      <c r="C20" s="89">
        <f>COUNTIF('03_Employee_Master'!$A$5:$A$254,"")+COUNTIF('05_Requisitions_MRF'!$A$5:$A$84,"")+COUNTIF('06_Recruitment_Pipeline'!$A$5:$A$481,"")</f>
        <v>0</v>
      </c>
      <c r="D20" s="89" t="str">
        <f t="shared" si="0"/>
        <v>Pass</v>
      </c>
      <c r="E20" s="90" t="s">
        <v>2848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108" zoomScaleNormal="86" workbookViewId="0">
      <selection activeCell="D10" sqref="D10"/>
    </sheetView>
  </sheetViews>
  <sheetFormatPr baseColWidth="10" defaultColWidth="8.83203125" defaultRowHeight="15"/>
  <cols>
    <col min="1" max="1" width="15" style="91" customWidth="1"/>
    <col min="2" max="2" width="28" style="91" customWidth="1"/>
    <col min="3" max="3" width="20" style="91" customWidth="1"/>
    <col min="4" max="4" width="42.5" style="91" bestFit="1" customWidth="1"/>
    <col min="5" max="5" width="55" style="91" customWidth="1"/>
    <col min="6" max="6" width="28" style="91" customWidth="1"/>
    <col min="7" max="7" width="55" style="91" customWidth="1"/>
    <col min="8" max="16384" width="8.83203125" style="91"/>
  </cols>
  <sheetData>
    <row r="1" spans="1:8" ht="44">
      <c r="A1" s="61" t="s">
        <v>2849</v>
      </c>
      <c r="B1" s="61"/>
      <c r="C1" s="61"/>
      <c r="D1" s="61"/>
      <c r="E1" s="61"/>
      <c r="F1" s="61"/>
      <c r="G1" s="61"/>
      <c r="H1" s="166"/>
    </row>
    <row r="2" spans="1:8" ht="25">
      <c r="A2" s="51" t="s">
        <v>2850</v>
      </c>
      <c r="B2" s="51"/>
      <c r="C2" s="51"/>
      <c r="D2" s="51"/>
      <c r="E2" s="51"/>
      <c r="F2" s="51"/>
      <c r="G2" s="51"/>
      <c r="H2" s="167"/>
    </row>
    <row r="4" spans="1:8" ht="16">
      <c r="A4" s="98" t="s">
        <v>2851</v>
      </c>
      <c r="B4" s="99" t="s">
        <v>2852</v>
      </c>
      <c r="C4" s="99" t="s">
        <v>2853</v>
      </c>
      <c r="D4" s="99" t="s">
        <v>2854</v>
      </c>
      <c r="E4" s="99" t="s">
        <v>2855</v>
      </c>
      <c r="F4" s="99" t="s">
        <v>2856</v>
      </c>
      <c r="G4" s="109" t="s">
        <v>2857</v>
      </c>
    </row>
    <row r="5" spans="1:8" ht="16">
      <c r="A5" s="181" t="s">
        <v>2858</v>
      </c>
      <c r="B5" s="81" t="s">
        <v>2859</v>
      </c>
      <c r="C5" s="81" t="s">
        <v>2860</v>
      </c>
      <c r="D5" s="81" t="s">
        <v>2861</v>
      </c>
      <c r="E5" s="82" t="s">
        <v>2862</v>
      </c>
      <c r="F5" s="82" t="s">
        <v>91</v>
      </c>
      <c r="G5" s="84" t="s">
        <v>2863</v>
      </c>
    </row>
    <row r="6" spans="1:8" ht="16">
      <c r="A6" s="181" t="s">
        <v>2858</v>
      </c>
      <c r="B6" s="81" t="s">
        <v>2864</v>
      </c>
      <c r="C6" s="81" t="s">
        <v>2865</v>
      </c>
      <c r="D6" s="81"/>
      <c r="E6" s="82" t="s">
        <v>2866</v>
      </c>
      <c r="F6" s="82" t="s">
        <v>150</v>
      </c>
      <c r="G6" s="84" t="s">
        <v>2867</v>
      </c>
    </row>
    <row r="7" spans="1:8" ht="16">
      <c r="A7" s="181" t="s">
        <v>2858</v>
      </c>
      <c r="B7" s="81" t="s">
        <v>2868</v>
      </c>
      <c r="C7" s="81" t="s">
        <v>2869</v>
      </c>
      <c r="D7" s="81" t="s">
        <v>2865</v>
      </c>
      <c r="E7" s="82" t="s">
        <v>2870</v>
      </c>
      <c r="F7" s="82" t="s">
        <v>150</v>
      </c>
      <c r="G7" s="84" t="s">
        <v>2871</v>
      </c>
    </row>
    <row r="8" spans="1:8" ht="16">
      <c r="A8" s="181" t="s">
        <v>2858</v>
      </c>
      <c r="B8" s="81" t="s">
        <v>2872</v>
      </c>
      <c r="C8" s="81" t="s">
        <v>2873</v>
      </c>
      <c r="D8" s="81"/>
      <c r="E8" s="82" t="s">
        <v>2874</v>
      </c>
      <c r="F8" s="82" t="s">
        <v>2875</v>
      </c>
      <c r="G8" s="84" t="s">
        <v>2876</v>
      </c>
    </row>
    <row r="9" spans="1:8" ht="32">
      <c r="A9" s="181" t="s">
        <v>2858</v>
      </c>
      <c r="B9" s="81" t="s">
        <v>2877</v>
      </c>
      <c r="C9" s="81" t="s">
        <v>2878</v>
      </c>
      <c r="D9" s="81"/>
      <c r="E9" s="82" t="s">
        <v>2879</v>
      </c>
      <c r="F9" s="82" t="s">
        <v>2880</v>
      </c>
      <c r="G9" s="84" t="s">
        <v>2881</v>
      </c>
    </row>
    <row r="10" spans="1:8" ht="16">
      <c r="A10" s="181" t="s">
        <v>2858</v>
      </c>
      <c r="B10" s="81" t="s">
        <v>2882</v>
      </c>
      <c r="C10" s="81" t="s">
        <v>2883</v>
      </c>
      <c r="D10" s="81"/>
      <c r="E10" s="82" t="s">
        <v>2884</v>
      </c>
      <c r="F10" s="82" t="s">
        <v>202</v>
      </c>
      <c r="G10" s="84" t="s">
        <v>2885</v>
      </c>
    </row>
    <row r="11" spans="1:8" ht="16">
      <c r="A11" s="181" t="s">
        <v>2858</v>
      </c>
      <c r="B11" s="81" t="s">
        <v>2886</v>
      </c>
      <c r="C11" s="81" t="s">
        <v>2887</v>
      </c>
      <c r="D11" s="81"/>
      <c r="E11" s="82" t="s">
        <v>2888</v>
      </c>
      <c r="F11" s="82" t="s">
        <v>298</v>
      </c>
      <c r="G11" s="84" t="s">
        <v>2889</v>
      </c>
    </row>
    <row r="12" spans="1:8" ht="16">
      <c r="A12" s="181" t="s">
        <v>2890</v>
      </c>
      <c r="B12" s="81" t="s">
        <v>2891</v>
      </c>
      <c r="C12" s="81" t="s">
        <v>2892</v>
      </c>
      <c r="D12" s="81" t="s">
        <v>2893</v>
      </c>
      <c r="E12" s="82" t="s">
        <v>2894</v>
      </c>
      <c r="F12" s="82" t="s">
        <v>168</v>
      </c>
      <c r="G12" s="84" t="s">
        <v>2895</v>
      </c>
    </row>
    <row r="13" spans="1:8" ht="16">
      <c r="A13" s="181" t="s">
        <v>2890</v>
      </c>
      <c r="B13" s="81" t="s">
        <v>2896</v>
      </c>
      <c r="C13" s="81" t="s">
        <v>2897</v>
      </c>
      <c r="D13" s="81" t="s">
        <v>2898</v>
      </c>
      <c r="E13" s="82" t="s">
        <v>2899</v>
      </c>
      <c r="F13" s="82" t="s">
        <v>202</v>
      </c>
      <c r="G13" s="84" t="s">
        <v>2900</v>
      </c>
    </row>
    <row r="14" spans="1:8" ht="16">
      <c r="A14" s="181" t="s">
        <v>2890</v>
      </c>
      <c r="B14" s="81" t="s">
        <v>2901</v>
      </c>
      <c r="C14" s="81" t="s">
        <v>2902</v>
      </c>
      <c r="D14" s="81" t="s">
        <v>2903</v>
      </c>
      <c r="E14" s="82" t="s">
        <v>2904</v>
      </c>
      <c r="F14" s="82" t="s">
        <v>245</v>
      </c>
      <c r="G14" s="84" t="s">
        <v>2905</v>
      </c>
    </row>
    <row r="15" spans="1:8" ht="16">
      <c r="A15" s="181" t="s">
        <v>2890</v>
      </c>
      <c r="B15" s="81" t="s">
        <v>2906</v>
      </c>
      <c r="C15" s="81" t="s">
        <v>2907</v>
      </c>
      <c r="D15" s="81" t="s">
        <v>2908</v>
      </c>
      <c r="E15" s="82" t="s">
        <v>2909</v>
      </c>
      <c r="F15" s="82" t="s">
        <v>265</v>
      </c>
      <c r="G15" s="84" t="s">
        <v>2910</v>
      </c>
    </row>
    <row r="16" spans="1:8" ht="16">
      <c r="A16" s="181" t="s">
        <v>2890</v>
      </c>
      <c r="B16" s="81" t="s">
        <v>2911</v>
      </c>
      <c r="C16" s="81" t="s">
        <v>2912</v>
      </c>
      <c r="D16" s="81" t="s">
        <v>2913</v>
      </c>
      <c r="E16" s="82" t="s">
        <v>2914</v>
      </c>
      <c r="F16" s="82" t="s">
        <v>298</v>
      </c>
      <c r="G16" s="84" t="s">
        <v>2915</v>
      </c>
    </row>
    <row r="17" spans="1:7" ht="16">
      <c r="A17" s="181" t="s">
        <v>2890</v>
      </c>
      <c r="B17" s="81" t="s">
        <v>2916</v>
      </c>
      <c r="C17" s="81" t="s">
        <v>2917</v>
      </c>
      <c r="D17" s="81" t="s">
        <v>2918</v>
      </c>
      <c r="E17" s="82" t="s">
        <v>2919</v>
      </c>
      <c r="F17" s="82" t="s">
        <v>350</v>
      </c>
      <c r="G17" s="84" t="s">
        <v>2920</v>
      </c>
    </row>
    <row r="18" spans="1:7" ht="16">
      <c r="A18" s="182" t="s">
        <v>2890</v>
      </c>
      <c r="B18" s="87" t="s">
        <v>2921</v>
      </c>
      <c r="C18" s="87" t="s">
        <v>2922</v>
      </c>
      <c r="D18" s="87" t="s">
        <v>2923</v>
      </c>
      <c r="E18" s="88" t="s">
        <v>2924</v>
      </c>
      <c r="F18" s="88" t="s">
        <v>327</v>
      </c>
      <c r="G18" s="90" t="s">
        <v>2925</v>
      </c>
    </row>
    <row r="20" spans="1:7" ht="15" customHeight="1"/>
    <row r="21" spans="1:7" ht="24" customHeight="1">
      <c r="B21" s="230" t="s">
        <v>3072</v>
      </c>
      <c r="C21" s="231"/>
      <c r="D21" s="232"/>
    </row>
    <row r="22" spans="1:7" ht="15" customHeight="1">
      <c r="B22" s="233"/>
      <c r="C22" s="234"/>
      <c r="D22" s="235"/>
    </row>
    <row r="23" spans="1:7" ht="15" customHeight="1">
      <c r="B23" s="233"/>
      <c r="C23" s="234"/>
      <c r="D23" s="235"/>
    </row>
    <row r="24" spans="1:7" ht="15" customHeight="1">
      <c r="B24" s="233"/>
      <c r="C24" s="234"/>
      <c r="D24" s="235"/>
    </row>
    <row r="25" spans="1:7" ht="15" customHeight="1">
      <c r="B25" s="233"/>
      <c r="C25" s="234"/>
      <c r="D25" s="235"/>
    </row>
    <row r="26" spans="1:7" ht="15" customHeight="1">
      <c r="B26" s="233"/>
      <c r="C26" s="234"/>
      <c r="D26" s="235"/>
    </row>
    <row r="27" spans="1:7" ht="15" customHeight="1">
      <c r="B27" s="233"/>
      <c r="C27" s="234"/>
      <c r="D27" s="235"/>
    </row>
    <row r="28" spans="1:7" ht="15" customHeight="1">
      <c r="B28" s="236"/>
      <c r="C28" s="237"/>
      <c r="D28" s="238"/>
    </row>
    <row r="29" spans="1:7" ht="15" customHeight="1">
      <c r="B29" s="199"/>
      <c r="C29" s="199"/>
      <c r="D29" s="199"/>
    </row>
    <row r="30" spans="1:7" ht="15" customHeight="1">
      <c r="B30" s="199"/>
      <c r="C30" s="199"/>
      <c r="D30" s="199"/>
    </row>
    <row r="31" spans="1:7" ht="15" customHeight="1">
      <c r="B31" s="199"/>
      <c r="C31" s="199"/>
      <c r="D31" s="199"/>
    </row>
  </sheetData>
  <mergeCells count="1">
    <mergeCell ref="B21:D28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9"/>
  <sheetViews>
    <sheetView showGridLines="0" zoomScale="75" workbookViewId="0">
      <selection activeCell="B17" sqref="B17:B33"/>
    </sheetView>
  </sheetViews>
  <sheetFormatPr baseColWidth="10" defaultColWidth="8.83203125" defaultRowHeight="15"/>
  <cols>
    <col min="1" max="1" width="24" style="119" customWidth="1"/>
    <col min="2" max="2" width="69.83203125" style="119" customWidth="1"/>
    <col min="3" max="3" width="44.83203125" style="119" customWidth="1"/>
    <col min="4" max="4" width="41.5" style="119" customWidth="1"/>
    <col min="5" max="5" width="48" style="119" customWidth="1"/>
    <col min="6" max="6" width="38.83203125" style="119" customWidth="1"/>
    <col min="7" max="16384" width="8.83203125" style="119"/>
  </cols>
  <sheetData>
    <row r="1" spans="1:8" ht="44">
      <c r="A1" s="53" t="s">
        <v>2926</v>
      </c>
      <c r="B1" s="53"/>
      <c r="C1" s="53"/>
      <c r="D1" s="53"/>
      <c r="E1" s="53"/>
      <c r="F1" s="166"/>
      <c r="G1" s="166"/>
      <c r="H1" s="166"/>
    </row>
    <row r="2" spans="1:8" ht="25">
      <c r="A2" s="52" t="s">
        <v>2927</v>
      </c>
      <c r="B2" s="52"/>
      <c r="C2" s="52"/>
      <c r="D2" s="52"/>
      <c r="E2" s="52"/>
      <c r="F2" s="185"/>
      <c r="G2" s="185"/>
      <c r="H2" s="185"/>
    </row>
    <row r="4" spans="1:8" ht="16">
      <c r="A4" s="98" t="s">
        <v>2928</v>
      </c>
      <c r="B4" s="99" t="s">
        <v>2929</v>
      </c>
      <c r="C4" s="99" t="s">
        <v>2930</v>
      </c>
      <c r="D4" s="99" t="s">
        <v>2931</v>
      </c>
      <c r="E4" s="109" t="s">
        <v>2932</v>
      </c>
    </row>
    <row r="5" spans="1:8" ht="16">
      <c r="A5" s="200" t="s">
        <v>2891</v>
      </c>
      <c r="B5" s="82" t="s">
        <v>2865</v>
      </c>
      <c r="C5" s="82" t="s">
        <v>2864</v>
      </c>
      <c r="D5" s="82" t="s">
        <v>2865</v>
      </c>
      <c r="E5" s="84" t="s">
        <v>2933</v>
      </c>
    </row>
    <row r="6" spans="1:8" ht="16">
      <c r="A6" s="200" t="s">
        <v>2891</v>
      </c>
      <c r="B6" s="82" t="s">
        <v>2869</v>
      </c>
      <c r="C6" s="82" t="s">
        <v>2868</v>
      </c>
      <c r="D6" s="82" t="s">
        <v>2869</v>
      </c>
      <c r="E6" s="84" t="s">
        <v>2934</v>
      </c>
    </row>
    <row r="7" spans="1:8" ht="64">
      <c r="A7" s="200" t="s">
        <v>2896</v>
      </c>
      <c r="B7" s="82" t="s">
        <v>2892</v>
      </c>
      <c r="C7" s="82" t="s">
        <v>2891</v>
      </c>
      <c r="D7" s="82" t="s">
        <v>2892</v>
      </c>
      <c r="E7" s="84" t="s">
        <v>3074</v>
      </c>
    </row>
    <row r="8" spans="1:8" ht="64">
      <c r="A8" s="200" t="s">
        <v>2901</v>
      </c>
      <c r="B8" s="82" t="s">
        <v>2892</v>
      </c>
      <c r="C8" s="82" t="s">
        <v>2891</v>
      </c>
      <c r="D8" s="82" t="s">
        <v>2892</v>
      </c>
      <c r="E8" s="84" t="s">
        <v>3074</v>
      </c>
    </row>
    <row r="9" spans="1:8" ht="16">
      <c r="A9" s="200" t="s">
        <v>2906</v>
      </c>
      <c r="B9" s="82" t="s">
        <v>2860</v>
      </c>
      <c r="C9" s="82" t="s">
        <v>2859</v>
      </c>
      <c r="D9" s="82" t="s">
        <v>2860</v>
      </c>
      <c r="E9" s="84" t="s">
        <v>2934</v>
      </c>
    </row>
    <row r="10" spans="1:8" ht="16">
      <c r="A10" s="200" t="s">
        <v>2911</v>
      </c>
      <c r="B10" s="82" t="s">
        <v>2860</v>
      </c>
      <c r="C10" s="82" t="s">
        <v>2859</v>
      </c>
      <c r="D10" s="82" t="s">
        <v>2860</v>
      </c>
      <c r="E10" s="84" t="s">
        <v>2934</v>
      </c>
    </row>
    <row r="11" spans="1:8" ht="16">
      <c r="A11" s="200" t="s">
        <v>2916</v>
      </c>
      <c r="B11" s="82" t="s">
        <v>2865</v>
      </c>
      <c r="C11" s="82" t="s">
        <v>2864</v>
      </c>
      <c r="D11" s="82" t="s">
        <v>2865</v>
      </c>
      <c r="E11" s="84" t="s">
        <v>2934</v>
      </c>
    </row>
    <row r="12" spans="1:8" ht="16">
      <c r="A12" s="200" t="s">
        <v>2921</v>
      </c>
      <c r="B12" s="82" t="s">
        <v>2865</v>
      </c>
      <c r="C12" s="82" t="s">
        <v>2864</v>
      </c>
      <c r="D12" s="82" t="s">
        <v>2865</v>
      </c>
      <c r="E12" s="84" t="s">
        <v>2934</v>
      </c>
    </row>
    <row r="13" spans="1:8" ht="32">
      <c r="A13" s="201" t="s">
        <v>2935</v>
      </c>
      <c r="B13" s="88" t="s">
        <v>2936</v>
      </c>
      <c r="C13" s="88" t="s">
        <v>2872</v>
      </c>
      <c r="D13" s="88" t="s">
        <v>2873</v>
      </c>
      <c r="E13" s="90" t="s">
        <v>2937</v>
      </c>
    </row>
    <row r="16" spans="1:8" ht="16">
      <c r="A16" s="98" t="s">
        <v>2938</v>
      </c>
      <c r="B16" s="99" t="s">
        <v>2939</v>
      </c>
      <c r="C16" s="109" t="s">
        <v>2940</v>
      </c>
      <c r="E16" s="98" t="s">
        <v>3075</v>
      </c>
      <c r="F16" s="109" t="s">
        <v>3076</v>
      </c>
    </row>
    <row r="17" spans="1:6" ht="32">
      <c r="A17" s="80" t="s">
        <v>2701</v>
      </c>
      <c r="B17" s="82" t="s">
        <v>2941</v>
      </c>
      <c r="C17" s="84" t="s">
        <v>2942</v>
      </c>
      <c r="E17" s="202" t="s">
        <v>2859</v>
      </c>
      <c r="F17" s="164" t="s">
        <v>3077</v>
      </c>
    </row>
    <row r="18" spans="1:6" ht="16">
      <c r="A18" s="80" t="s">
        <v>2703</v>
      </c>
      <c r="B18" s="82" t="s">
        <v>2943</v>
      </c>
      <c r="C18" s="84" t="s">
        <v>2944</v>
      </c>
      <c r="E18" s="202" t="s">
        <v>2864</v>
      </c>
      <c r="F18" s="164" t="s">
        <v>3078</v>
      </c>
    </row>
    <row r="19" spans="1:6" ht="16">
      <c r="A19" s="80" t="s">
        <v>2690</v>
      </c>
      <c r="B19" s="82" t="s">
        <v>2945</v>
      </c>
      <c r="C19" s="84" t="s">
        <v>2946</v>
      </c>
      <c r="E19" s="202" t="s">
        <v>2868</v>
      </c>
      <c r="F19" s="164" t="s">
        <v>3079</v>
      </c>
    </row>
    <row r="20" spans="1:6" ht="16">
      <c r="A20" s="80" t="s">
        <v>2691</v>
      </c>
      <c r="B20" s="82" t="s">
        <v>2947</v>
      </c>
      <c r="C20" s="84" t="s">
        <v>2948</v>
      </c>
      <c r="E20" s="202" t="s">
        <v>2891</v>
      </c>
      <c r="F20" s="164" t="s">
        <v>3080</v>
      </c>
    </row>
    <row r="21" spans="1:6" ht="32">
      <c r="A21" s="80" t="s">
        <v>2707</v>
      </c>
      <c r="B21" s="82" t="s">
        <v>2949</v>
      </c>
      <c r="C21" s="84" t="s">
        <v>2950</v>
      </c>
      <c r="E21" s="202" t="s">
        <v>2896</v>
      </c>
      <c r="F21" s="164" t="s">
        <v>3081</v>
      </c>
    </row>
    <row r="22" spans="1:6" ht="32">
      <c r="A22" s="80" t="s">
        <v>2709</v>
      </c>
      <c r="B22" s="82" t="s">
        <v>3073</v>
      </c>
      <c r="C22" s="84" t="s">
        <v>2951</v>
      </c>
      <c r="E22" s="202" t="s">
        <v>2901</v>
      </c>
      <c r="F22" s="164" t="s">
        <v>3082</v>
      </c>
    </row>
    <row r="23" spans="1:6" ht="16">
      <c r="A23" s="80" t="s">
        <v>2711</v>
      </c>
      <c r="B23" s="82" t="s">
        <v>2952</v>
      </c>
      <c r="C23" s="84" t="s">
        <v>2953</v>
      </c>
      <c r="E23" s="202" t="s">
        <v>2906</v>
      </c>
      <c r="F23" s="164" t="s">
        <v>3083</v>
      </c>
    </row>
    <row r="24" spans="1:6" ht="48">
      <c r="A24" s="80" t="s">
        <v>2713</v>
      </c>
      <c r="B24" s="82" t="s">
        <v>2954</v>
      </c>
      <c r="C24" s="84" t="s">
        <v>2955</v>
      </c>
      <c r="E24" s="202" t="s">
        <v>2911</v>
      </c>
      <c r="F24" s="164" t="s">
        <v>3084</v>
      </c>
    </row>
    <row r="25" spans="1:6" ht="16">
      <c r="A25" s="80" t="s">
        <v>2715</v>
      </c>
      <c r="B25" s="82" t="s">
        <v>2956</v>
      </c>
      <c r="C25" s="84" t="s">
        <v>2957</v>
      </c>
      <c r="E25" s="202" t="s">
        <v>2916</v>
      </c>
      <c r="F25" s="164" t="s">
        <v>3085</v>
      </c>
    </row>
    <row r="26" spans="1:6" ht="32">
      <c r="A26" s="80" t="s">
        <v>2717</v>
      </c>
      <c r="B26" s="82" t="s">
        <v>2958</v>
      </c>
      <c r="C26" s="84" t="s">
        <v>2959</v>
      </c>
      <c r="E26" s="203" t="s">
        <v>2921</v>
      </c>
      <c r="F26" s="165" t="s">
        <v>3086</v>
      </c>
    </row>
    <row r="27" spans="1:6" ht="16">
      <c r="A27" s="80" t="s">
        <v>2693</v>
      </c>
      <c r="B27" s="82" t="s">
        <v>2960</v>
      </c>
      <c r="C27" s="84" t="s">
        <v>2961</v>
      </c>
    </row>
    <row r="28" spans="1:6" ht="32" customHeight="1">
      <c r="A28" s="80" t="s">
        <v>2726</v>
      </c>
      <c r="B28" s="82" t="s">
        <v>2962</v>
      </c>
      <c r="C28" s="84" t="s">
        <v>2963</v>
      </c>
      <c r="E28" s="239" t="s">
        <v>3087</v>
      </c>
      <c r="F28" s="240"/>
    </row>
    <row r="29" spans="1:6" ht="16">
      <c r="A29" s="80" t="s">
        <v>2728</v>
      </c>
      <c r="B29" s="82" t="s">
        <v>2964</v>
      </c>
      <c r="C29" s="84" t="s">
        <v>2965</v>
      </c>
      <c r="E29" s="241"/>
      <c r="F29" s="242"/>
    </row>
    <row r="30" spans="1:6" ht="48">
      <c r="A30" s="80" t="s">
        <v>2730</v>
      </c>
      <c r="B30" s="82" t="s">
        <v>2966</v>
      </c>
      <c r="C30" s="84" t="s">
        <v>2967</v>
      </c>
      <c r="E30" s="241"/>
      <c r="F30" s="242"/>
    </row>
    <row r="31" spans="1:6" ht="32">
      <c r="A31" s="80" t="s">
        <v>2732</v>
      </c>
      <c r="B31" s="82" t="s">
        <v>2968</v>
      </c>
      <c r="C31" s="84" t="s">
        <v>2969</v>
      </c>
      <c r="E31" s="241"/>
      <c r="F31" s="242"/>
    </row>
    <row r="32" spans="1:6" ht="32">
      <c r="A32" s="80" t="s">
        <v>2734</v>
      </c>
      <c r="B32" s="82" t="s">
        <v>2970</v>
      </c>
      <c r="C32" s="84" t="s">
        <v>2971</v>
      </c>
      <c r="E32" s="243"/>
      <c r="F32" s="244"/>
    </row>
    <row r="33" spans="1:4" ht="32">
      <c r="A33" s="86" t="s">
        <v>2972</v>
      </c>
      <c r="B33" s="88" t="s">
        <v>2973</v>
      </c>
      <c r="C33" s="90" t="s">
        <v>2974</v>
      </c>
    </row>
    <row r="36" spans="1:4" ht="16">
      <c r="A36" s="98" t="s">
        <v>2975</v>
      </c>
      <c r="B36" s="99" t="s">
        <v>2976</v>
      </c>
      <c r="C36" s="99" t="s">
        <v>2977</v>
      </c>
      <c r="D36" s="109" t="s">
        <v>2978</v>
      </c>
    </row>
    <row r="37" spans="1:4" ht="16">
      <c r="A37" s="181" t="s">
        <v>2979</v>
      </c>
      <c r="B37" s="82" t="s">
        <v>2980</v>
      </c>
      <c r="C37" s="82" t="s">
        <v>2981</v>
      </c>
      <c r="D37" s="84" t="s">
        <v>2982</v>
      </c>
    </row>
    <row r="38" spans="1:4" ht="32">
      <c r="A38" s="181" t="s">
        <v>2983</v>
      </c>
      <c r="B38" s="82" t="s">
        <v>2984</v>
      </c>
      <c r="C38" s="82" t="s">
        <v>2985</v>
      </c>
      <c r="D38" s="84" t="s">
        <v>2986</v>
      </c>
    </row>
    <row r="39" spans="1:4" ht="16">
      <c r="A39" s="182" t="s">
        <v>38</v>
      </c>
      <c r="B39" s="88" t="s">
        <v>2987</v>
      </c>
      <c r="C39" s="88" t="s">
        <v>2988</v>
      </c>
      <c r="D39" s="90" t="s">
        <v>2989</v>
      </c>
    </row>
  </sheetData>
  <mergeCells count="1">
    <mergeCell ref="E28:F3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"/>
  <sheetViews>
    <sheetView showGridLines="0" zoomScale="125" workbookViewId="0">
      <selection activeCell="A13" sqref="A13"/>
    </sheetView>
  </sheetViews>
  <sheetFormatPr baseColWidth="10" defaultColWidth="8.83203125" defaultRowHeight="15"/>
  <cols>
    <col min="1" max="1" width="28" style="119" customWidth="1"/>
    <col min="2" max="2" width="128.1640625" style="119" customWidth="1"/>
    <col min="3" max="16384" width="8.83203125" style="119"/>
  </cols>
  <sheetData>
    <row r="1" spans="1:4" ht="44">
      <c r="A1" s="53" t="s">
        <v>2990</v>
      </c>
      <c r="B1" s="53"/>
      <c r="C1" s="166"/>
      <c r="D1" s="166"/>
    </row>
    <row r="2" spans="1:4" ht="25">
      <c r="A2" s="52" t="s">
        <v>2991</v>
      </c>
      <c r="B2" s="52"/>
      <c r="C2" s="185"/>
      <c r="D2" s="185"/>
    </row>
    <row r="4" spans="1:4" ht="16">
      <c r="A4" s="98" t="s">
        <v>2992</v>
      </c>
      <c r="B4" s="109" t="s">
        <v>2993</v>
      </c>
    </row>
    <row r="5" spans="1:4" ht="16">
      <c r="A5" s="200" t="s">
        <v>2994</v>
      </c>
      <c r="B5" s="84" t="s">
        <v>0</v>
      </c>
    </row>
    <row r="6" spans="1:4" ht="16">
      <c r="A6" s="200" t="s">
        <v>2995</v>
      </c>
      <c r="B6" s="84" t="s">
        <v>2996</v>
      </c>
    </row>
    <row r="7" spans="1:4" ht="16">
      <c r="A7" s="200" t="s">
        <v>2997</v>
      </c>
      <c r="B7" s="84" t="s">
        <v>2998</v>
      </c>
    </row>
    <row r="8" spans="1:4" ht="32">
      <c r="A8" s="200" t="s">
        <v>2999</v>
      </c>
      <c r="B8" s="84" t="s">
        <v>3000</v>
      </c>
    </row>
    <row r="9" spans="1:4" ht="16">
      <c r="A9" s="200" t="s">
        <v>3001</v>
      </c>
      <c r="B9" s="84" t="s">
        <v>3002</v>
      </c>
    </row>
    <row r="10" spans="1:4" ht="16">
      <c r="A10" s="200" t="s">
        <v>3003</v>
      </c>
      <c r="B10" s="84" t="s">
        <v>3004</v>
      </c>
    </row>
    <row r="11" spans="1:4" ht="32">
      <c r="A11" s="200" t="s">
        <v>3005</v>
      </c>
      <c r="B11" s="84" t="s">
        <v>3006</v>
      </c>
    </row>
    <row r="12" spans="1:4" ht="32">
      <c r="A12" s="200" t="s">
        <v>3007</v>
      </c>
      <c r="B12" s="84" t="s">
        <v>3008</v>
      </c>
    </row>
    <row r="13" spans="1:4" ht="32">
      <c r="A13" s="200" t="s">
        <v>3009</v>
      </c>
      <c r="B13" s="84" t="s">
        <v>3010</v>
      </c>
    </row>
    <row r="14" spans="1:4" ht="32">
      <c r="A14" s="200" t="s">
        <v>3011</v>
      </c>
      <c r="B14" s="84" t="s">
        <v>3012</v>
      </c>
    </row>
    <row r="15" spans="1:4" ht="16">
      <c r="A15" s="201" t="s">
        <v>3013</v>
      </c>
      <c r="B15" s="90" t="s">
        <v>27</v>
      </c>
    </row>
    <row r="16" spans="1:4" ht="16">
      <c r="A16" s="204" t="s">
        <v>3088</v>
      </c>
      <c r="B16" s="84" t="s">
        <v>3089</v>
      </c>
    </row>
    <row r="17" spans="1:2" ht="32">
      <c r="A17" s="204" t="s">
        <v>3090</v>
      </c>
      <c r="B17" s="84" t="s">
        <v>3091</v>
      </c>
    </row>
    <row r="18" spans="1:2" ht="32">
      <c r="A18" s="204" t="s">
        <v>3092</v>
      </c>
      <c r="B18" s="84" t="s">
        <v>3093</v>
      </c>
    </row>
    <row r="19" spans="1:2" ht="16">
      <c r="A19" s="204" t="s">
        <v>3094</v>
      </c>
      <c r="B19" s="84" t="s">
        <v>3095</v>
      </c>
    </row>
    <row r="20" spans="1:2" ht="32">
      <c r="A20" s="205" t="s">
        <v>3096</v>
      </c>
      <c r="B20" s="90" t="s">
        <v>3097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00_ReadMe</vt:lpstr>
      <vt:lpstr>01_Data_Dictionary</vt:lpstr>
      <vt:lpstr>02_Lookup_Lists</vt:lpstr>
      <vt:lpstr>03_Employee_Master</vt:lpstr>
      <vt:lpstr>04_Department_Position_Master</vt:lpstr>
      <vt:lpstr>05_Requisitions_MRF</vt:lpstr>
      <vt:lpstr>06_Recruitment_Pipeline</vt:lpstr>
      <vt:lpstr>07_Hiring_Costs</vt:lpstr>
      <vt:lpstr>08_Onboarding_Tracker</vt:lpstr>
      <vt:lpstr>09_Attrition_Tracker</vt:lpstr>
      <vt:lpstr>10_Productivity_Inputs</vt:lpstr>
      <vt:lpstr>11_Headcount_Snapshot</vt:lpstr>
      <vt:lpstr>12_Calculation_Layer</vt:lpstr>
      <vt:lpstr>13_Analysis_Summary</vt:lpstr>
      <vt:lpstr>14_Dashboard_HR_Ops</vt:lpstr>
      <vt:lpstr>15_Dashboard_Managerial</vt:lpstr>
      <vt:lpstr>16_Dashboard_Executive</vt:lpstr>
      <vt:lpstr>17_Change_Log</vt:lpstr>
      <vt:lpstr>18_QA_Checks</vt:lpstr>
      <vt:lpstr>19_SQL_Schema</vt:lpstr>
      <vt:lpstr>20_PowerBI_Model_Guide</vt:lpstr>
      <vt:lpstr>21_Portfolio_Case_Study</vt:lpstr>
      <vt:lpstr>AttritionReasonCategories</vt:lpstr>
      <vt:lpstr>AttritionReasons</vt:lpstr>
      <vt:lpstr>AttritionTypes</vt:lpstr>
      <vt:lpstr>CandidateSources</vt:lpstr>
      <vt:lpstr>CostTypes</vt:lpstr>
      <vt:lpstr>Departments</vt:lpstr>
      <vt:lpstr>EmployeeStatuses</vt:lpstr>
      <vt:lpstr>EmploymentTypes</vt:lpstr>
      <vt:lpstr>HiringPriorities</vt:lpstr>
      <vt:lpstr>JobFamilies</vt:lpstr>
      <vt:lpstr>OfferStatuses</vt:lpstr>
      <vt:lpstr>RecruitmentStages</vt:lpstr>
      <vt:lpstr>RequisitionStatuses</vt:lpstr>
      <vt:lpstr>RiskCategories</vt:lpstr>
      <vt:lpstr>SLAStatuses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Denzel Clyde Lim</cp:lastModifiedBy>
  <dcterms:created xsi:type="dcterms:W3CDTF">2026-05-02T03:03:40Z</dcterms:created>
  <dcterms:modified xsi:type="dcterms:W3CDTF">2026-05-03T13:56:14Z</dcterms:modified>
</cp:coreProperties>
</file>